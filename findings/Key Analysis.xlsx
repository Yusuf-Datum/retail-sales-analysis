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4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5.xml" ContentType="application/vnd.openxmlformats-officedocument.spreadsheetml.pivot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20" yWindow="360" windowWidth="18820" windowHeight="7060" firstSheet="5" activeTab="7"/>
  </bookViews>
  <sheets>
    <sheet name="Sheet2" sheetId="4" r:id="rId1"/>
    <sheet name="Sheet3" sheetId="6" r:id="rId2"/>
    <sheet name="Sheet5" sheetId="8" r:id="rId3"/>
    <sheet name="Data_Audit" sheetId="2" r:id="rId4"/>
    <sheet name="Regional_Analysis" sheetId="5" r:id="rId5"/>
    <sheet name="Product Analysis." sheetId="14" r:id="rId6"/>
    <sheet name="Monthly_Analysis" sheetId="9" r:id="rId7"/>
    <sheet name="Quantity Analysis" sheetId="16" r:id="rId8"/>
    <sheet name="Segment_Analysis" sheetId="7" r:id="rId9"/>
  </sheets>
  <calcPr calcId="145621"/>
  <pivotCaches>
    <pivotCache cacheId="0" r:id="rId10"/>
  </pivotCaches>
</workbook>
</file>

<file path=xl/calcChain.xml><?xml version="1.0" encoding="utf-8"?>
<calcChain xmlns="http://schemas.openxmlformats.org/spreadsheetml/2006/main">
  <c r="E8" i="5" l="1"/>
  <c r="C17" i="8" l="1"/>
  <c r="C16" i="8"/>
  <c r="C15" i="8"/>
  <c r="C14" i="8"/>
  <c r="C13" i="8"/>
  <c r="C12" i="8"/>
  <c r="C11" i="8"/>
  <c r="C10" i="8"/>
  <c r="C9" i="8"/>
  <c r="C8" i="8"/>
  <c r="C7" i="8"/>
  <c r="C6" i="8"/>
  <c r="C5" i="8"/>
  <c r="C4" i="8"/>
  <c r="E3" i="5"/>
  <c r="E4" i="5"/>
  <c r="E5" i="5"/>
  <c r="E6" i="5"/>
  <c r="E7" i="5"/>
  <c r="B8" i="5"/>
  <c r="E2" i="5" s="1"/>
  <c r="C3" i="5"/>
  <c r="C4" i="5"/>
  <c r="C5" i="5"/>
  <c r="C6" i="5"/>
  <c r="C2" i="5"/>
</calcChain>
</file>

<file path=xl/sharedStrings.xml><?xml version="1.0" encoding="utf-8"?>
<sst xmlns="http://schemas.openxmlformats.org/spreadsheetml/2006/main" count="157" uniqueCount="95">
  <si>
    <t>CustomerID</t>
  </si>
  <si>
    <t>Product</t>
  </si>
  <si>
    <t>Region</t>
  </si>
  <si>
    <t>Quantity</t>
  </si>
  <si>
    <t>OrderDate</t>
  </si>
  <si>
    <t>Mouse</t>
  </si>
  <si>
    <t>West</t>
  </si>
  <si>
    <t>Government</t>
  </si>
  <si>
    <t>Tablet</t>
  </si>
  <si>
    <t>East</t>
  </si>
  <si>
    <t>Monitor</t>
  </si>
  <si>
    <t>Central</t>
  </si>
  <si>
    <t>Consumer</t>
  </si>
  <si>
    <t>Desktop</t>
  </si>
  <si>
    <t>North</t>
  </si>
  <si>
    <t>Laptop</t>
  </si>
  <si>
    <t>South</t>
  </si>
  <si>
    <t>Corporate</t>
  </si>
  <si>
    <t>SME</t>
  </si>
  <si>
    <t>Printer</t>
  </si>
  <si>
    <t>Keyboard</t>
  </si>
  <si>
    <t>Unknown</t>
  </si>
  <si>
    <t>Issue</t>
  </si>
  <si>
    <t>Count</t>
  </si>
  <si>
    <t>Status</t>
  </si>
  <si>
    <t xml:space="preserve">Column </t>
  </si>
  <si>
    <t>Multiple names for the same ID</t>
  </si>
  <si>
    <t>To be investigated</t>
  </si>
  <si>
    <t>Action Taken</t>
  </si>
  <si>
    <t>pending</t>
  </si>
  <si>
    <t>CUstomerName</t>
  </si>
  <si>
    <t>Missing values</t>
  </si>
  <si>
    <t>Leave blank until the correct names can be verified</t>
  </si>
  <si>
    <t>Leave blank until the correct products can be verified</t>
  </si>
  <si>
    <t>Negative values</t>
  </si>
  <si>
    <t>nvestigate whether these represent returns or data-entry errors</t>
  </si>
  <si>
    <t>Sales</t>
  </si>
  <si>
    <t>Leave blank until the correct sales amounts can be verified</t>
  </si>
  <si>
    <t>Investigate the negative sales amounts separately from negative quantities; retain the original values until verified</t>
  </si>
  <si>
    <t>Invalid date values</t>
  </si>
  <si>
    <t>all five values contain invalid dates or non-date text. Original values retained pending verification</t>
  </si>
  <si>
    <t>Month</t>
  </si>
  <si>
    <t>Day, Month, Year, MonthName, Quarter</t>
  </si>
  <si>
    <t>Formula errors caused by invalid dates</t>
  </si>
  <si>
    <t>Updated extraction formulas to return blanks for unrecognised dates</t>
  </si>
  <si>
    <t>completed</t>
  </si>
  <si>
    <t>Row Labels</t>
  </si>
  <si>
    <t>Grand Total</t>
  </si>
  <si>
    <t xml:space="preserve">Sum of  Sales </t>
  </si>
  <si>
    <t>Rank</t>
  </si>
  <si>
    <t>Total Sales</t>
  </si>
  <si>
    <t>Finding</t>
  </si>
  <si>
    <t>Highest sales among identified regions</t>
  </si>
  <si>
    <t>Second-highest sales</t>
  </si>
  <si>
    <t>Third-highest sales</t>
  </si>
  <si>
    <t>Fourth-highest sales</t>
  </si>
  <si>
    <t>Lowest sales among identified regions</t>
  </si>
  <si>
    <t>Region not identified</t>
  </si>
  <si>
    <t>Sales Contribution (%)</t>
  </si>
  <si>
    <t>Customer Segment</t>
  </si>
  <si>
    <t>Sales Contribution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</si>
  <si>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</si>
  <si>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</si>
  <si>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</si>
  <si>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</si>
  <si>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</si>
  <si>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</si>
  <si>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</si>
  <si>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</si>
  <si>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</si>
  <si>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</si>
  <si>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</si>
  <si>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</si>
  <si>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Lowest sales among the twelve named months</t>
  </si>
  <si>
    <t>Highest sales among the twelve named months</t>
  </si>
  <si>
    <t>total</t>
  </si>
  <si>
    <t>Metric</t>
  </si>
  <si>
    <t>Key insight</t>
  </si>
  <si>
    <t>(blank)</t>
  </si>
  <si>
    <t>Sum of Quantity</t>
  </si>
  <si>
    <t>Highest quantity sold</t>
  </si>
  <si>
    <t>Laptop — 15,886</t>
  </si>
  <si>
    <t>Second-highest quantity sold</t>
  </si>
  <si>
    <t>Mouse — 12,022</t>
  </si>
  <si>
    <t>Laptop share of total quantity</t>
  </si>
  <si>
    <t>Laptop and mouse combined share</t>
  </si>
  <si>
    <t>Missing product quantity</t>
  </si>
  <si>
    <t>Highest quantity</t>
  </si>
  <si>
    <t>South — 13,380 units</t>
  </si>
  <si>
    <t>Highest revenue</t>
  </si>
  <si>
    <t>West — 2,835,421,548</t>
  </si>
  <si>
    <t>Lowest revenue among named regions</t>
  </si>
  <si>
    <t>South — 2,626,931,291</t>
  </si>
  <si>
    <t>South vs West revenue difference</t>
  </si>
  <si>
    <t>The region selling the most units does not necessarily generate the highest revenue.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</si>
</sst>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43" applyNumberFormat="1" applyFont="1"/>
    <xf numFmtId="10" fontId="0" fillId="0" borderId="0" xfId="0" applyNumberFormat="1"/>
    <xf numFmtId="0" fontId="16" fillId="0" borderId="0" xfId="0" applyFont="1"/>
    <xf numFmtId="9" fontId="0" fillId="0" borderId="0" xfId="0" applyNumberFormat="1"/>
    <xf numFmtId="44" fontId="0" fillId="0" borderId="0" xfId="42" applyFont="1"/>
    <xf numFmtId="9" fontId="0" fillId="0" borderId="0" xfId="43" applyFont="1"/>
    <xf numFmtId="0" fontId="0" fillId="0" borderId="11" xfId="0" applyBorder="1"/>
    <xf numFmtId="0" fontId="16" fillId="33" borderId="0" xfId="0" applyFont="1" applyFill="1" applyBorder="1" applyAlignment="1">
      <alignment horizontal="left" vertical="center" wrapText="1"/>
    </xf>
    <xf numFmtId="10" fontId="16" fillId="33" borderId="0" xfId="0" applyNumberFormat="1" applyFont="1" applyFill="1" applyBorder="1" applyAlignment="1">
      <alignment horizontal="left" vertical="center" wrapText="1"/>
    </xf>
    <xf numFmtId="0" fontId="16" fillId="33" borderId="12" xfId="0" applyFont="1" applyFill="1" applyBorder="1"/>
    <xf numFmtId="0" fontId="16" fillId="33" borderId="13" xfId="0" applyFont="1" applyFill="1" applyBorder="1"/>
    <xf numFmtId="0" fontId="16" fillId="33" borderId="14" xfId="0" applyFont="1" applyFill="1" applyBorder="1" applyAlignment="1">
      <alignment horizontal="left"/>
    </xf>
    <xf numFmtId="0" fontId="16" fillId="33" borderId="15" xfId="0" applyNumberFormat="1" applyFont="1" applyFill="1" applyBorder="1"/>
    <xf numFmtId="0" fontId="16" fillId="33" borderId="16" xfId="0" applyFont="1" applyFill="1" applyBorder="1" applyAlignment="1">
      <alignment horizontal="left"/>
    </xf>
    <xf numFmtId="0" fontId="16" fillId="33" borderId="17" xfId="0" applyNumberFormat="1" applyFont="1" applyFill="1" applyBorder="1"/>
    <xf numFmtId="0" fontId="16" fillId="33" borderId="18" xfId="0" applyFont="1" applyFill="1" applyBorder="1"/>
    <xf numFmtId="0" fontId="16" fillId="33" borderId="0" xfId="0" applyNumberFormat="1" applyFont="1" applyFill="1" applyBorder="1"/>
    <xf numFmtId="0" fontId="16" fillId="33" borderId="16" xfId="0" applyFont="1" applyFill="1" applyBorder="1"/>
    <xf numFmtId="0" fontId="16" fillId="33" borderId="10" xfId="0" applyFont="1" applyFill="1" applyBorder="1"/>
    <xf numFmtId="0" fontId="16" fillId="33" borderId="17" xfId="0" applyFont="1" applyFill="1" applyBorder="1"/>
    <xf numFmtId="0" fontId="16" fillId="33" borderId="0" xfId="0" applyFont="1" applyFill="1" applyBorder="1" applyAlignment="1">
      <alignment horizontal="left" vertical="center" wrapText="1" indent="1"/>
    </xf>
    <xf numFmtId="3" fontId="16" fillId="33" borderId="0" xfId="0" applyNumberFormat="1" applyFont="1" applyFill="1" applyBorder="1" applyAlignment="1">
      <alignment horizontal="left" vertical="center" wrapText="1" inden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1" indent="1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1" indent="1" justifyLastLine="0" shrinkToFi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</dxf>
    <dxf>
      <fill>
        <patternFill patternType="solid">
          <bgColor theme="3" tint="0.79998168889431442"/>
        </patternFill>
      </fill>
    </dxf>
    <dxf>
      <numFmt numFmtId="14" formatCode="0.00%"/>
    </dxf>
    <dxf>
      <font>
        <b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1" indent="0" justifyLastLine="0" shrinkToFit="0" readingOrder="0"/>
    </dxf>
    <dxf>
      <font>
        <b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1" indent="0" justifyLastLine="0" shrinkToFit="0" readingOrder="0"/>
    </dxf>
    <dxf>
      <fill>
        <patternFill>
          <bgColor theme="3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</dxf>
    <dxf>
      <fill>
        <patternFill patternType="solid">
          <bgColor theme="3" tint="0.39997558519241921"/>
        </patternFill>
      </fill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[Key Analysis.xlsx]Sheet5!PivotTable2</c:name>
    <c:fmtId val="2"/>
  </c:pivotSource>
  <c:chart>
    <c:title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Sheet5!$A$4:$A$17</c:f>
              <c:strCache>
                <c:ptCount val="1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Sheet5!$B$4:$B$17</c:f>
              <c:numCache>
                <c:formatCode>General</c:formatCode>
                <c:ptCount val="13"/>
                <c:pt idx="0">
                  <c:v>1160189377</c:v>
                </c:pt>
                <c:pt idx="1">
                  <c:v>1031493222</c:v>
                </c:pt>
                <c:pt idx="2">
                  <c:v>1175224763</c:v>
                </c:pt>
                <c:pt idx="3">
                  <c:v>1140190294</c:v>
                </c:pt>
                <c:pt idx="4">
                  <c:v>1162690993</c:v>
                </c:pt>
                <c:pt idx="5">
                  <c:v>1119679401</c:v>
                </c:pt>
                <c:pt idx="6">
                  <c:v>1132941239</c:v>
                </c:pt>
                <c:pt idx="7">
                  <c:v>1118802389</c:v>
                </c:pt>
                <c:pt idx="8">
                  <c:v>1129756638</c:v>
                </c:pt>
                <c:pt idx="9">
                  <c:v>1144640708</c:v>
                </c:pt>
                <c:pt idx="10">
                  <c:v>1043221237</c:v>
                </c:pt>
                <c:pt idx="11">
                  <c:v>1192091091</c:v>
                </c:pt>
                <c:pt idx="12">
                  <c:v>9557418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8117248"/>
        <c:axId val="218118784"/>
      </c:barChart>
      <c:catAx>
        <c:axId val="218117248"/>
        <c:scaling>
          <c:orientation val="minMax"/>
        </c:scaling>
        <c:delete val="0"/>
        <c:axPos val="b"/>
        <c:majorTickMark val="out"/>
        <c:minorTickMark val="none"/>
        <c:tickLblPos val="nextTo"/>
        <c:crossAx val="218118784"/>
        <c:crosses val="autoZero"/>
        <c:auto val="1"/>
        <c:lblAlgn val="ctr"/>
        <c:lblOffset val="100"/>
        <c:noMultiLvlLbl val="0"/>
      </c:catAx>
      <c:valAx>
        <c:axId val="2181187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81172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498475</xdr:colOff>
      <xdr:row>2</xdr:row>
      <xdr:rowOff>9525</xdr:rowOff>
    </xdr:from>
    <xdr:to>
      <xdr:col>12</xdr:col>
      <xdr:colOff>193675</xdr:colOff>
      <xdr:row>16</xdr:row>
      <xdr:rowOff>174625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-PC" refreshedDate="46314.213871874999" missingItemsLimit="0" createdVersion="4" refreshedVersion="4" minRefreshableVersion="3" recordCount="12000">
  <cacheSource type="worksheet">
    <worksheetSource name="RetailSales"/>
  </cacheSource>
  <cacheFields count="15">
    <cacheField name="OrderID" numFmtId="0">
      <sharedItems/>
    </cacheField>
    <cacheField name="CustomerID" numFmtId="0">
      <sharedItems count="800">
        <s v="C0006"/>
        <s v="C0121"/>
        <s v="C0044"/>
        <s v="C0293"/>
        <s v="C0061"/>
        <s v="C0204"/>
        <s v="C0153"/>
        <s v="C0749"/>
        <s v="C0222"/>
        <s v="C0531"/>
        <s v="C0294"/>
        <s v="C0149"/>
        <s v="C0227"/>
        <s v="C0519"/>
        <s v="C0723"/>
        <s v="C0644"/>
        <s v="C0170"/>
        <s v="C0711"/>
        <s v="C0767"/>
        <s v="C0274"/>
        <s v="C0085"/>
        <s v="C0685"/>
        <s v="C0533"/>
        <s v="C0314"/>
        <s v="C0109"/>
        <s v="C0621"/>
        <s v="C0718"/>
        <s v="C0103"/>
        <s v="C0616"/>
        <s v="C0183"/>
        <s v="C0727"/>
        <s v="C0346"/>
        <s v="C0480"/>
        <s v="C0694"/>
        <s v="C0438"/>
        <s v="C0478"/>
        <s v="C0660"/>
        <s v="C0499"/>
        <s v="C0145"/>
        <s v="C0082"/>
        <s v="C0320"/>
        <s v="C0725"/>
        <s v="C0150"/>
        <s v="C0354"/>
        <s v="C0651"/>
        <s v="C0538"/>
        <s v="C0120"/>
        <s v="C0192"/>
        <s v="C0479"/>
        <s v="C0330"/>
        <s v="C0084"/>
        <s v="C0773"/>
        <s v="C0520"/>
        <s v="C0285"/>
        <s v="C0599"/>
        <s v="C0481"/>
        <s v="C0766"/>
        <s v="C0098"/>
        <s v="C0398"/>
        <s v="C0454"/>
        <s v="C0269"/>
        <s v="C0403"/>
        <s v="C0337"/>
        <s v="C0693"/>
        <s v="C0147"/>
        <s v="C0261"/>
        <s v="C0191"/>
        <s v="C0650"/>
        <s v="C0017"/>
        <s v="C0690"/>
        <s v="C0128"/>
        <s v="C0279"/>
        <s v="C0012"/>
        <s v="C0542"/>
        <s v="C0489"/>
        <s v="C0783"/>
        <s v="C0557"/>
        <s v="C0468"/>
        <s v="C0307"/>
        <s v="C0381"/>
        <s v="C0496"/>
        <s v="C0308"/>
        <s v="C0252"/>
        <s v="C0736"/>
        <s v="C0740"/>
        <s v="C0298"/>
        <s v="C0583"/>
        <s v="C0262"/>
        <s v="C0593"/>
        <s v="C0047"/>
        <s v="C0729"/>
        <s v="C0513"/>
        <s v="C0182"/>
        <s v="C0585"/>
        <s v="C0623"/>
        <s v="C0238"/>
        <s v="C0037"/>
        <s v="C0437"/>
        <s v="C0746"/>
        <s v="C0075"/>
        <s v="C0530"/>
        <s v="C0571"/>
        <s v="C0242"/>
        <s v="C0211"/>
        <s v="C0271"/>
        <s v="C0360"/>
        <s v="C0003"/>
        <s v="C0161"/>
        <s v="C0406"/>
        <s v="C0762"/>
        <s v="C0247"/>
        <s v="C0614"/>
        <s v="C0471"/>
        <s v="C0159"/>
        <s v="C0343"/>
        <s v="C0205"/>
        <s v="C0643"/>
        <s v="C0411"/>
        <s v="C0172"/>
        <s v="C0414"/>
        <s v="C0051"/>
        <s v="C0100"/>
        <s v="C0359"/>
        <s v="C0547"/>
        <s v="C0517"/>
        <s v="C0270"/>
        <s v="C0039"/>
        <s v="C0167"/>
        <s v="C0119"/>
        <s v="C0132"/>
        <s v="C0540"/>
        <s v="C0671"/>
        <s v="C0137"/>
        <s v="C0505"/>
        <s v="C0663"/>
        <s v="C0311"/>
        <s v="C0581"/>
        <s v="C0035"/>
        <s v="C0554"/>
        <s v="C0316"/>
        <s v="C0304"/>
        <s v="C0230"/>
        <s v="C0336"/>
        <s v="C0034"/>
        <s v="C0038"/>
        <s v="C0798"/>
        <s v="C0228"/>
        <s v="C0425"/>
        <s v="C0475"/>
        <s v="C0546"/>
        <s v="C0387"/>
        <s v="C0637"/>
        <s v="C0582"/>
        <s v="C0473"/>
        <s v="C0059"/>
        <s v="C0386"/>
        <s v="C0404"/>
        <s v="C0732"/>
        <s v="C0453"/>
        <s v="C0642"/>
        <s v="C0769"/>
        <s v="C0507"/>
        <s v="C0235"/>
        <s v="C0633"/>
        <s v="C0058"/>
        <s v="C0050"/>
        <s v="C0579"/>
        <s v="C0007"/>
        <s v="C0341"/>
        <s v="C0784"/>
        <s v="C0194"/>
        <s v="C0011"/>
        <s v="C0326"/>
        <s v="C0315"/>
        <s v="C0054"/>
        <s v="C0467"/>
        <s v="C0134"/>
        <s v="C0395"/>
        <s v="C0174"/>
        <s v="C0133"/>
        <s v="C0521"/>
        <s v="C0258"/>
        <s v="C0372"/>
        <s v="C0501"/>
        <s v="C0705"/>
        <s v="C0706"/>
        <s v="C0416"/>
        <s v="C0568"/>
        <s v="C0757"/>
        <s v="C0368"/>
        <s v="C0385"/>
        <s v="C0171"/>
        <s v="C0544"/>
        <s v="C0390"/>
        <s v="C0383"/>
        <s v="C0703"/>
        <s v="C0572"/>
        <s v="C0062"/>
        <s v="C0309"/>
        <s v="C0329"/>
        <s v="C0127"/>
        <s v="C0125"/>
        <s v="C0448"/>
        <s v="C0728"/>
        <s v="C0042"/>
        <s v="C0464"/>
        <s v="C0160"/>
        <s v="C0043"/>
        <s v="C0083"/>
        <s v="C0646"/>
        <s v="C0420"/>
        <s v="C0233"/>
        <s v="C0634"/>
        <s v="C0781"/>
        <s v="C0719"/>
        <s v="C0701"/>
        <s v="C0099"/>
        <s v="C0522"/>
        <s v="C0250"/>
        <s v="C0508"/>
        <s v="C0567"/>
        <s v="C0528"/>
        <s v="C0339"/>
        <s v="C0073"/>
        <s v="C0004"/>
        <s v="C0303"/>
        <s v="C0129"/>
        <s v="C0607"/>
        <s v="C0065"/>
        <s v="C0529"/>
        <s v="C0763"/>
        <s v="C0433"/>
        <s v="C0364"/>
        <s v="C0632"/>
        <s v="C0592"/>
        <s v="C0384"/>
        <s v="C0048"/>
        <s v="C0257"/>
        <s v="C0063"/>
        <s v="C0278"/>
        <s v="C0221"/>
        <s v="C0707"/>
        <s v="C0131"/>
        <s v="C0620"/>
        <s v="C0096"/>
        <s v="C0559"/>
        <s v="C0378"/>
        <s v="C0514"/>
        <s v="C0669"/>
        <s v="C0081"/>
        <s v="C0635"/>
        <s v="C0066"/>
        <s v="C0502"/>
        <s v="C0095"/>
        <s v="C0112"/>
        <s v="C0070"/>
        <s v="C0402"/>
        <s v="C0611"/>
        <s v="C0790"/>
        <s v="C0675"/>
        <s v="C0312"/>
        <s v="C0700"/>
        <s v="C0463"/>
        <s v="C0031"/>
        <s v="C0324"/>
        <s v="C0556"/>
        <s v="C0022"/>
        <s v="C0276"/>
        <s v="C0466"/>
        <s v="C0447"/>
        <s v="C0716"/>
        <s v="C0714"/>
        <s v="C0373"/>
        <s v="C0184"/>
        <s v="C0253"/>
        <s v="C0552"/>
        <s v="C0322"/>
        <s v="C0678"/>
        <s v="C0302"/>
        <s v="C0077"/>
        <s v="C0752"/>
        <s v="C0234"/>
        <s v="C0412"/>
        <s v="C0366"/>
        <s v="C0185"/>
        <s v="C0427"/>
        <s v="C0709"/>
        <s v="C0452"/>
        <s v="C0142"/>
        <s v="C0014"/>
        <s v="C0350"/>
        <s v="C0169"/>
        <s v="C0045"/>
        <s v="C0141"/>
        <s v="C0510"/>
        <s v="C0335"/>
        <s v="C0562"/>
        <s v="C0267"/>
        <s v="C0215"/>
        <s v="C0759"/>
        <s v="C0176"/>
        <s v="C0397"/>
        <s v="C0421"/>
        <s v="C0670"/>
        <s v="C0060"/>
        <s v="C0662"/>
        <s v="C0025"/>
        <s v="C0301"/>
        <s v="C0254"/>
        <s v="C0796"/>
        <s v="C0476"/>
        <s v="C0731"/>
        <s v="C0396"/>
        <s v="C0432"/>
        <s v="C0219"/>
        <s v="C0079"/>
        <s v="C0590"/>
        <s v="C0764"/>
        <s v="C0013"/>
        <s v="C0722"/>
        <s v="C0021"/>
        <s v="C0492"/>
        <s v="C0376"/>
        <s v="C0203"/>
        <s v="C0800"/>
        <s v="C0536"/>
        <s v="C0284"/>
        <s v="C0110"/>
        <s v="C0754"/>
        <s v="C0626"/>
        <s v="C0500"/>
        <s v="C0681"/>
        <s v="C0282"/>
        <s v="C0345"/>
        <s v="C0122"/>
        <s v="C0032"/>
        <s v="C0516"/>
        <s v="C0092"/>
        <s v="C0210"/>
        <s v="C0197"/>
        <s v="C0484"/>
        <s v="C0772"/>
        <s v="C0442"/>
        <s v="C0617"/>
        <s v="C0186"/>
        <s v="C0756"/>
        <s v="C0774"/>
        <s v="C0055"/>
        <s v="C0407"/>
        <s v="C0356"/>
        <s v="C0199"/>
        <s v="C0680"/>
        <s v="C0010"/>
        <s v="C0102"/>
        <s v="C0715"/>
        <s v="C0588"/>
        <s v="C0779"/>
        <s v="C0024"/>
        <s v="C0649"/>
        <s v="C0027"/>
        <s v="C0292"/>
        <s v="C0435"/>
        <s v="C0577"/>
        <s v="C0625"/>
        <s v="C0318"/>
        <s v="C0576"/>
        <s v="C0151"/>
        <s v="C0733"/>
        <s v="C0352"/>
        <s v="C0786"/>
        <s v="C0765"/>
        <s v="C0080"/>
        <s v="C0462"/>
        <s v="C0243"/>
        <s v="C0108"/>
        <s v="C0465"/>
        <s v="C0338"/>
        <s v="C0111"/>
        <s v="C0792"/>
        <s v="C0761"/>
        <s v="C0653"/>
        <s v="C0263"/>
        <s v="C0429"/>
        <s v="C0357"/>
        <s v="C0600"/>
        <s v="C0072"/>
        <s v="C0144"/>
        <s v="C0249"/>
        <s v="C0735"/>
        <s v="C0291"/>
        <s v="C0477"/>
        <s v="C0409"/>
        <s v="C0760"/>
        <s v="C0256"/>
        <s v="C0189"/>
        <s v="C0430"/>
        <s v="C0214"/>
        <s v="C0595"/>
        <s v="C0321"/>
        <s v="C0154"/>
        <s v="C0619"/>
        <s v="C0008"/>
        <s v="C0535"/>
        <s v="C0515"/>
        <s v="C0603"/>
        <s v="C0745"/>
        <s v="C0739"/>
        <s v="C0246"/>
        <s v="C0686"/>
        <s v="C0349"/>
        <s v="C0105"/>
        <s v="C0591"/>
        <s v="C0380"/>
        <s v="C0457"/>
        <s v="C0594"/>
        <s v="C0712"/>
        <s v="C0609"/>
        <s v="C0268"/>
        <s v="C0260"/>
        <s v="C0173"/>
        <s v="C0512"/>
        <s v="C0408"/>
        <s v="C0776"/>
        <s v="C0672"/>
        <s v="C0162"/>
        <s v="C0030"/>
        <s v="C0469"/>
        <s v="C0126"/>
        <s v="C0068"/>
        <s v="C0334"/>
        <s v="C0382"/>
        <s v="C0668"/>
        <s v="C0290"/>
        <s v="C0682"/>
        <s v="C0212"/>
        <s v="C0046"/>
        <s v="C0220"/>
        <s v="C0363"/>
        <s v="C0026"/>
        <s v="C0136"/>
        <s v="C0333"/>
        <s v="C0687"/>
        <s v="C0394"/>
        <s v="C0799"/>
        <s v="C0289"/>
        <s v="C0743"/>
        <s v="C0622"/>
        <s v="C0449"/>
        <s v="C0074"/>
        <s v="C0698"/>
        <s v="C0319"/>
        <s v="C0332"/>
        <s v="C0524"/>
        <s v="C0440"/>
        <s v="C0615"/>
        <s v="C0139"/>
        <s v="C0392"/>
        <s v="C0638"/>
        <s v="C0575"/>
        <s v="C0713"/>
        <s v="C0306"/>
        <s v="C0560"/>
        <s v="C0426"/>
        <s v="C0088"/>
        <s v="C0417"/>
        <s v="C0187"/>
        <s v="C0229"/>
        <s v="C0785"/>
        <s v="C0726"/>
        <s v="C0237"/>
        <s v="C0656"/>
        <s v="C0553"/>
        <s v="C0699"/>
        <s v="C0163"/>
        <s v="C0550"/>
        <s v="C0490"/>
        <s v="C0041"/>
        <s v="C0661"/>
        <s v="C0020"/>
        <s v="C0089"/>
        <s v="C0696"/>
        <s v="C0369"/>
        <s v="C0584"/>
        <s v="C0451"/>
        <s v="C0498"/>
        <s v="C0273"/>
        <s v="C0456"/>
        <s v="C0101"/>
        <s v="C0277"/>
        <s v="C0434"/>
        <s v="C0327"/>
        <s v="C0780"/>
        <s v="C0747"/>
        <s v="C0455"/>
        <s v="C0193"/>
        <s v="C0610"/>
        <s v="C0207"/>
        <s v="C0146"/>
        <s v="C0511"/>
        <s v="C0602"/>
        <s v="C0093"/>
        <s v="C0374"/>
        <s v="C0444"/>
        <s v="C0036"/>
        <s v="C0541"/>
        <s v="C0446"/>
        <s v="C0459"/>
        <s v="C0226"/>
        <s v="C0370"/>
        <s v="C0296"/>
        <s v="C0751"/>
        <s v="C0697"/>
        <s v="C0342"/>
        <s v="C0201"/>
        <s v="C0777"/>
        <s v="C0388"/>
        <s v="C0069"/>
        <s v="C0710"/>
        <s v="C0565"/>
        <s v="C0280"/>
        <s v="C0106"/>
        <s v="C0431"/>
        <s v="C0659"/>
        <s v="C0509"/>
        <s v="C0445"/>
        <s v="C0371"/>
        <s v="C0424"/>
        <s v="C0778"/>
        <s v="C0720"/>
        <s v="C0138"/>
        <s v="C0181"/>
        <s v="C0580"/>
        <s v="C0436"/>
        <s v="C0023"/>
        <s v="C0450"/>
        <s v="C0140"/>
        <s v="C0631"/>
        <s v="C0734"/>
        <s v="C0787"/>
        <s v="C0741"/>
        <s v="C0362"/>
        <s v="C0118"/>
        <s v="C0217"/>
        <s v="C0654"/>
        <s v="C0331"/>
        <s v="C0684"/>
        <s v="C0460"/>
        <s v="C0213"/>
        <s v="C0241"/>
        <s v="C0704"/>
        <s v="C0052"/>
        <s v="C0135"/>
        <s v="C0753"/>
        <s v="C0317"/>
        <s v="C0683"/>
        <s v="C0482"/>
        <s v="C0724"/>
        <s v="C0758"/>
        <s v="C0056"/>
        <s v="C0775"/>
        <s v="C0677"/>
        <s v="C0483"/>
        <s v="C0458"/>
        <s v="C0629"/>
        <s v="C0652"/>
        <s v="C0606"/>
        <s v="C0493"/>
        <s v="C0158"/>
        <s v="C0748"/>
        <s v="C0087"/>
        <s v="C0152"/>
        <s v="C0645"/>
        <s v="C0742"/>
        <s v="C0117"/>
        <s v="C0288"/>
        <s v="C0655"/>
        <s v="C0248"/>
        <s v="C0400"/>
        <s v="C0367"/>
        <s v="C0340"/>
        <s v="C0539"/>
        <s v="C0265"/>
        <s v="C0527"/>
        <s v="C0608"/>
        <s v="C0310"/>
        <s v="C0300"/>
        <s v="C0526"/>
        <s v="C0782"/>
        <s v="C0097"/>
        <s v="C0114"/>
        <s v="C0179"/>
        <s v="C0393"/>
        <s v="C0419"/>
        <s v="C0389"/>
        <s v="C0688"/>
        <s v="C0180"/>
        <s v="C0795"/>
        <s v="C0076"/>
        <s v="C0236"/>
        <s v="C0196"/>
        <s v="C0165"/>
        <s v="C0485"/>
        <s v="C0624"/>
        <s v="C0143"/>
        <s v="C0157"/>
        <s v="C0287"/>
        <s v="C0737"/>
        <s v="C0497"/>
        <s v="C0549"/>
        <s v="C0053"/>
        <s v="C0674"/>
        <s v="C0534"/>
        <s v="C0673"/>
        <s v="C0078"/>
        <s v="C0266"/>
        <s v="C0543"/>
        <s v="C0206"/>
        <s v="C0348"/>
        <s v="C0495"/>
        <s v="C0461"/>
        <s v="C0328"/>
        <s v="C0487"/>
        <s v="C0264"/>
        <s v="C0399"/>
        <s v="C0415"/>
        <s v="C0124"/>
        <s v="C0002"/>
        <s v="C0612"/>
        <s v="C0506"/>
        <s v="C0156"/>
        <s v="C0586"/>
        <s v="C0239"/>
        <s v="C0750"/>
        <s v="C0123"/>
        <s v="C0305"/>
        <s v="C0545"/>
        <s v="C0665"/>
        <s v="C0548"/>
        <s v="C0202"/>
        <s v="C0005"/>
        <s v="C0208"/>
        <s v="C0439"/>
        <s v="C0597"/>
        <s v="C0009"/>
        <s v="C0297"/>
        <s v="C0566"/>
        <s v="C0379"/>
        <s v="C0639"/>
        <s v="C0630"/>
        <s v="C0628"/>
        <s v="C0223"/>
        <s v="C0064"/>
        <s v="C0570"/>
        <s v="C0679"/>
        <s v="C0086"/>
        <s v="C0428"/>
        <s v="C0441"/>
        <s v="C0232"/>
        <s v="C0040"/>
        <s v="C0188"/>
        <s v="C0771"/>
        <s v="C0365"/>
        <s v="C0323"/>
        <s v="C0405"/>
        <s v="C0178"/>
        <s v="C0325"/>
        <s v="C0788"/>
        <s v="C0358"/>
        <s v="C0494"/>
        <s v="C0175"/>
        <s v="C0470"/>
        <s v="C0245"/>
        <s v="C0057"/>
        <s v="C0666"/>
        <s v="C0104"/>
        <s v="C0558"/>
        <s v="C0605"/>
        <s v="C0472"/>
        <s v="C0721"/>
        <s v="C0391"/>
        <s v="C0695"/>
        <s v="C0768"/>
        <s v="C0569"/>
        <s v="C0016"/>
        <s v="C0525"/>
        <s v="C0355"/>
        <s v="C0523"/>
        <s v="C0295"/>
        <s v="C0113"/>
        <s v="C0640"/>
        <s v="C0474"/>
        <s v="C0791"/>
        <s v="C0272"/>
        <s v="C0503"/>
        <s v="C0231"/>
        <s v="C0148"/>
        <s v="C0601"/>
        <s v="C0344"/>
        <s v="C0090"/>
        <s v="C0738"/>
        <s v="C0351"/>
        <s v="C0486"/>
        <s v="C0251"/>
        <s v="C0664"/>
        <s v="C0107"/>
        <s v="C0255"/>
        <s v="C0691"/>
        <s v="C0647"/>
        <s v="C0168"/>
        <s v="C0443"/>
        <s v="C0283"/>
        <s v="C0667"/>
        <s v="C0604"/>
        <s v="C0518"/>
        <s v="C0410"/>
        <s v="C0504"/>
        <s v="C0689"/>
        <s v="C0413"/>
        <s v="C0401"/>
        <s v="C0532"/>
        <s v="C0018"/>
        <s v="C0033"/>
        <s v="C0281"/>
        <s v="C0347"/>
        <s v="C0702"/>
        <s v="C0797"/>
        <s v="C0755"/>
        <s v="C0744"/>
        <s v="C0596"/>
        <s v="C0071"/>
        <s v="C0658"/>
        <s v="C0423"/>
        <s v="C0224"/>
        <s v="C0561"/>
        <s v="C0216"/>
        <s v="C0574"/>
        <s v="C0200"/>
        <s v="C0361"/>
        <s v="C0708"/>
        <s v="C0491"/>
        <s v="C0198"/>
        <s v="C0578"/>
        <s v="C0555"/>
        <s v="C0564"/>
        <s v="C0789"/>
        <s v="C0377"/>
        <s v="C0019"/>
        <s v="C0794"/>
        <s v="C0240"/>
        <s v="C0793"/>
        <s v="C0613"/>
        <s v="C0488"/>
        <s v="C0563"/>
        <s v="C0422"/>
        <s v="C0627"/>
        <s v="C0717"/>
        <s v="C0190"/>
        <s v="C0116"/>
        <s v="C0299"/>
        <s v="C0094"/>
        <s v="C0155"/>
        <s v="C0676"/>
        <s v="C0225"/>
        <s v="C0598"/>
        <s v="C0166"/>
        <s v="C0730"/>
        <s v="C0259"/>
        <s v="C0029"/>
        <s v="C0648"/>
        <s v="C0067"/>
        <s v="C0692"/>
        <s v="C0618"/>
        <s v="C0115"/>
        <s v="C0587"/>
        <s v="C0028"/>
        <s v="C0218"/>
        <s v="C0049"/>
        <s v="C0375"/>
        <s v="C0418"/>
        <s v="C0573"/>
        <s v="C0130"/>
        <s v="C0177"/>
        <s v="C0551"/>
        <s v="C0209"/>
        <s v="C0015"/>
        <s v="C0313"/>
        <s v="C0589"/>
        <s v="C0636"/>
        <s v="C0641"/>
        <s v="C0001"/>
        <s v="C0091"/>
        <s v="C0275"/>
        <s v="C0244"/>
        <s v="C0164"/>
        <s v="C0657"/>
        <s v="C0537"/>
        <s v="C0195"/>
        <s v="C0286"/>
        <s v="C0353"/>
        <s v="C0770"/>
      </sharedItems>
    </cacheField>
    <cacheField name="CustomerName" numFmtId="0">
      <sharedItems containsBlank="1" count="11">
        <s v="David James"/>
        <s v="Aisha Yusuf"/>
        <s v="Grace Musa"/>
        <s v="Mary Johnson"/>
        <s v="Daniel Ali"/>
        <s v="Fatima Ibrahim"/>
        <s v="John Okafor"/>
        <m/>
        <s v="Peter Ade"/>
        <s v="Musa Bello"/>
        <s v="Ali Hassan"/>
      </sharedItems>
    </cacheField>
    <cacheField name="Product" numFmtId="0">
      <sharedItems containsBlank="1" count="8">
        <s v="Laptop"/>
        <m/>
        <s v="Desktop"/>
        <s v="Tablet"/>
        <s v="Monitor"/>
        <s v="Printer"/>
        <s v="Keyboard"/>
        <s v="Mouse"/>
      </sharedItems>
    </cacheField>
    <cacheField name="Region" numFmtId="0">
      <sharedItems count="11">
        <s v="Central"/>
        <s v="West"/>
        <s v="East"/>
        <s v="South"/>
        <s v="North"/>
        <s v="unknown"/>
        <s v=" NORTH "/>
        <s v=" SOUTH "/>
        <s v=" EAST "/>
        <s v=" CENTRAL "/>
        <s v=" WEST "/>
      </sharedItems>
    </cacheField>
    <cacheField name="Segment" numFmtId="0">
      <sharedItems count="5">
        <s v="SME"/>
        <s v="Government"/>
        <s v="Consumer"/>
        <s v="Corporate"/>
        <s v="Unknown"/>
      </sharedItems>
    </cacheField>
    <cacheField name="Quantity" numFmtId="0">
      <sharedItems containsSemiMixedTypes="0" containsString="0" containsNumber="1" containsInteger="1" minValue="-5" maxValue="10"/>
    </cacheField>
    <cacheField name=" Sales " numFmtId="0">
      <sharedItems containsString="0" containsBlank="1" containsNumber="1" containsInteger="1" minValue="-145762" maxValue="5621551"/>
    </cacheField>
    <cacheField name="OrderDate" numFmtId="0">
      <sharedItems containsDate="1" containsBlank="1" containsMixedTypes="1" minDate="2025-01-01T00:00:00" maxDate="2027-01-01T00:00:00"/>
    </cacheField>
    <cacheField name="Month" numFmtId="0">
      <sharedItems containsMixedTypes="1" containsNumber="1" containsInteger="1" minValue="1" maxValue="12"/>
    </cacheField>
    <cacheField name="Day" numFmtId="0">
      <sharedItems containsMixedTypes="1" containsNumber="1" containsInteger="1" minValue="1" maxValue="31"/>
    </cacheField>
    <cacheField name="Year" numFmtId="0">
      <sharedItems containsMixedTypes="1" containsNumber="1" containsInteger="1" minValue="2025" maxValue="2026"/>
    </cacheField>
    <cacheField name="MonthName" numFmtId="0">
      <sharedItems count="13">
        <s v="November"/>
        <s v="September"/>
        <s v="June"/>
        <s v="May"/>
        <s v="February"/>
        <s v="March"/>
        <s v="January"/>
        <s v="December"/>
        <s v="August"/>
        <s v="October"/>
        <s v="July"/>
        <s v="April"/>
        <s v=""/>
      </sharedItems>
    </cacheField>
    <cacheField name="Quarter" numFmtId="0">
      <sharedItems containsBlank="1"/>
    </cacheField>
    <cacheField name="new" numFmtId="0">
      <sharedItems count="6">
        <s v="Central"/>
        <s v="West"/>
        <s v="East"/>
        <s v="South"/>
        <s v="North"/>
        <s v="Unknow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0">
  <r>
    <s v="O103668"/>
    <x v="0"/>
    <x v="0"/>
    <x v="0"/>
    <x v="0"/>
    <x v="0"/>
    <n v="10"/>
    <n v="5621551"/>
    <d v="2025-11-08T00:00:00"/>
    <n v="11"/>
    <n v="8"/>
    <n v="2025"/>
    <x v="0"/>
    <s v="Q4"/>
    <x v="0"/>
  </r>
  <r>
    <s v="O104211"/>
    <x v="1"/>
    <x v="1"/>
    <x v="0"/>
    <x v="1"/>
    <x v="1"/>
    <n v="10"/>
    <n v="5616300"/>
    <d v="2025-09-13T00:00:00"/>
    <n v="9"/>
    <n v="13"/>
    <n v="2025"/>
    <x v="1"/>
    <s v="Q3"/>
    <x v="1"/>
  </r>
  <r>
    <s v="O100598"/>
    <x v="2"/>
    <x v="2"/>
    <x v="0"/>
    <x v="2"/>
    <x v="2"/>
    <n v="10"/>
    <n v="5612493"/>
    <d v="2025-06-02T00:00:00"/>
    <n v="6"/>
    <n v="2"/>
    <n v="2025"/>
    <x v="2"/>
    <s v="Q2"/>
    <x v="2"/>
  </r>
  <r>
    <s v="O108406"/>
    <x v="3"/>
    <x v="3"/>
    <x v="0"/>
    <x v="1"/>
    <x v="2"/>
    <n v="10"/>
    <n v="5609578"/>
    <d v="2026-05-26T00:00:00"/>
    <n v="5"/>
    <n v="26"/>
    <n v="2026"/>
    <x v="3"/>
    <s v="Q2"/>
    <x v="1"/>
  </r>
  <r>
    <s v="O106719"/>
    <x v="4"/>
    <x v="4"/>
    <x v="0"/>
    <x v="3"/>
    <x v="0"/>
    <n v="10"/>
    <n v="5600393"/>
    <d v="2026-02-13T00:00:00"/>
    <n v="2"/>
    <n v="13"/>
    <n v="2026"/>
    <x v="4"/>
    <s v="Q1"/>
    <x v="3"/>
  </r>
  <r>
    <s v="O105487"/>
    <x v="5"/>
    <x v="0"/>
    <x v="0"/>
    <x v="3"/>
    <x v="2"/>
    <n v="10"/>
    <n v="5597538"/>
    <d v="2025-11-30T00:00:00"/>
    <n v="11"/>
    <n v="30"/>
    <n v="2025"/>
    <x v="0"/>
    <s v="Q4"/>
    <x v="3"/>
  </r>
  <r>
    <s v="O102633"/>
    <x v="6"/>
    <x v="2"/>
    <x v="0"/>
    <x v="3"/>
    <x v="3"/>
    <n v="10"/>
    <n v="5595229"/>
    <d v="2025-09-06T00:00:00"/>
    <n v="9"/>
    <n v="6"/>
    <n v="2025"/>
    <x v="1"/>
    <s v="Q3"/>
    <x v="3"/>
  </r>
  <r>
    <s v="O106095"/>
    <x v="7"/>
    <x v="2"/>
    <x v="0"/>
    <x v="1"/>
    <x v="3"/>
    <n v="10"/>
    <n v="5589259"/>
    <d v="2026-06-01T00:00:00"/>
    <n v="6"/>
    <n v="1"/>
    <n v="2026"/>
    <x v="2"/>
    <s v="Q2"/>
    <x v="1"/>
  </r>
  <r>
    <s v="O101296"/>
    <x v="8"/>
    <x v="4"/>
    <x v="0"/>
    <x v="0"/>
    <x v="1"/>
    <n v="10"/>
    <n v="5583588"/>
    <d v="2025-03-20T00:00:00"/>
    <n v="3"/>
    <n v="20"/>
    <n v="2025"/>
    <x v="5"/>
    <s v="Q1"/>
    <x v="0"/>
  </r>
  <r>
    <s v="O105506"/>
    <x v="9"/>
    <x v="5"/>
    <x v="0"/>
    <x v="4"/>
    <x v="2"/>
    <n v="10"/>
    <n v="5580915"/>
    <d v="2025-01-12T00:00:00"/>
    <n v="1"/>
    <n v="12"/>
    <n v="2025"/>
    <x v="6"/>
    <s v="Q1"/>
    <x v="4"/>
  </r>
  <r>
    <s v="O107369"/>
    <x v="10"/>
    <x v="5"/>
    <x v="0"/>
    <x v="3"/>
    <x v="2"/>
    <n v="10"/>
    <n v="5578393"/>
    <d v="2026-03-24T00:00:00"/>
    <n v="3"/>
    <n v="24"/>
    <n v="2026"/>
    <x v="5"/>
    <s v="Q1"/>
    <x v="3"/>
  </r>
  <r>
    <s v="O101234"/>
    <x v="11"/>
    <x v="1"/>
    <x v="0"/>
    <x v="1"/>
    <x v="0"/>
    <n v="10"/>
    <n v="5575127"/>
    <d v="2025-03-16T00:00:00"/>
    <n v="3"/>
    <n v="16"/>
    <n v="2025"/>
    <x v="5"/>
    <s v="Q1"/>
    <x v="1"/>
  </r>
  <r>
    <s v="O101160"/>
    <x v="12"/>
    <x v="3"/>
    <x v="0"/>
    <x v="2"/>
    <x v="0"/>
    <n v="10"/>
    <n v="5570960"/>
    <d v="2025-12-03T00:00:00"/>
    <n v="12"/>
    <n v="3"/>
    <n v="2025"/>
    <x v="7"/>
    <s v="Q4"/>
    <x v="2"/>
  </r>
  <r>
    <s v="O103845"/>
    <x v="13"/>
    <x v="5"/>
    <x v="0"/>
    <x v="4"/>
    <x v="2"/>
    <n v="10"/>
    <n v="5570842"/>
    <d v="2025-08-22T00:00:00"/>
    <n v="8"/>
    <n v="22"/>
    <n v="2025"/>
    <x v="8"/>
    <s v="Q3"/>
    <x v="4"/>
  </r>
  <r>
    <s v="O102061"/>
    <x v="14"/>
    <x v="0"/>
    <x v="0"/>
    <x v="0"/>
    <x v="2"/>
    <n v="10"/>
    <n v="5569811"/>
    <d v="2025-06-05T00:00:00"/>
    <n v="6"/>
    <n v="5"/>
    <n v="2025"/>
    <x v="2"/>
    <s v="Q2"/>
    <x v="0"/>
  </r>
  <r>
    <s v="O111721"/>
    <x v="15"/>
    <x v="6"/>
    <x v="0"/>
    <x v="1"/>
    <x v="0"/>
    <n v="10"/>
    <n v="5567526"/>
    <d v="2026-12-14T00:00:00"/>
    <n v="12"/>
    <n v="14"/>
    <n v="2026"/>
    <x v="7"/>
    <s v="Q4"/>
    <x v="1"/>
  </r>
  <r>
    <s v="O107651"/>
    <x v="16"/>
    <x v="4"/>
    <x v="0"/>
    <x v="1"/>
    <x v="0"/>
    <n v="10"/>
    <n v="5562316"/>
    <d v="2026-10-04T00:00:00"/>
    <n v="10"/>
    <n v="4"/>
    <n v="2026"/>
    <x v="9"/>
    <s v="Q4"/>
    <x v="1"/>
  </r>
  <r>
    <s v="O108210"/>
    <x v="17"/>
    <x v="3"/>
    <x v="0"/>
    <x v="0"/>
    <x v="1"/>
    <n v="10"/>
    <n v="5549368"/>
    <d v="2026-05-14T00:00:00"/>
    <n v="5"/>
    <n v="14"/>
    <n v="2026"/>
    <x v="3"/>
    <s v="Q2"/>
    <x v="0"/>
  </r>
  <r>
    <s v="O103884"/>
    <x v="18"/>
    <x v="2"/>
    <x v="0"/>
    <x v="0"/>
    <x v="1"/>
    <n v="10"/>
    <n v="5542465"/>
    <d v="2025-08-24T00:00:00"/>
    <n v="8"/>
    <n v="24"/>
    <n v="2025"/>
    <x v="8"/>
    <s v="Q3"/>
    <x v="0"/>
  </r>
  <r>
    <s v="O103456"/>
    <x v="19"/>
    <x v="1"/>
    <x v="0"/>
    <x v="0"/>
    <x v="0"/>
    <n v="10"/>
    <n v="5540609"/>
    <d v="2025-07-29T00:00:00"/>
    <n v="7"/>
    <n v="29"/>
    <n v="2025"/>
    <x v="10"/>
    <s v="Q3"/>
    <x v="0"/>
  </r>
  <r>
    <s v="O103842"/>
    <x v="20"/>
    <x v="7"/>
    <x v="0"/>
    <x v="3"/>
    <x v="1"/>
    <n v="10"/>
    <n v="5533365"/>
    <d v="2025-08-22T00:00:00"/>
    <n v="8"/>
    <n v="22"/>
    <n v="2025"/>
    <x v="8"/>
    <s v="Q3"/>
    <x v="3"/>
  </r>
  <r>
    <s v="O107148"/>
    <x v="21"/>
    <x v="6"/>
    <x v="0"/>
    <x v="0"/>
    <x v="0"/>
    <n v="10"/>
    <n v="5527368"/>
    <d v="2026-11-03T00:00:00"/>
    <n v="11"/>
    <n v="3"/>
    <n v="2026"/>
    <x v="0"/>
    <s v="Q4"/>
    <x v="0"/>
  </r>
  <r>
    <s v="O100022"/>
    <x v="22"/>
    <x v="0"/>
    <x v="0"/>
    <x v="4"/>
    <x v="2"/>
    <n v="10"/>
    <n v="5518716"/>
    <d v="2025-02-01T00:00:00"/>
    <n v="2"/>
    <n v="1"/>
    <n v="2025"/>
    <x v="4"/>
    <s v="Q1"/>
    <x v="4"/>
  </r>
  <r>
    <s v="O110703"/>
    <x v="23"/>
    <x v="6"/>
    <x v="0"/>
    <x v="2"/>
    <x v="3"/>
    <n v="10"/>
    <n v="5512528"/>
    <d v="2026-10-13T00:00:00"/>
    <n v="10"/>
    <n v="13"/>
    <n v="2026"/>
    <x v="9"/>
    <s v="Q4"/>
    <x v="2"/>
  </r>
  <r>
    <s v="O107278"/>
    <x v="24"/>
    <x v="5"/>
    <x v="0"/>
    <x v="3"/>
    <x v="3"/>
    <n v="10"/>
    <n v="5497559"/>
    <d v="2026-03-19T00:00:00"/>
    <n v="3"/>
    <n v="19"/>
    <n v="2026"/>
    <x v="5"/>
    <s v="Q1"/>
    <x v="3"/>
  </r>
  <r>
    <s v="O100371"/>
    <x v="25"/>
    <x v="1"/>
    <x v="0"/>
    <x v="2"/>
    <x v="1"/>
    <n v="10"/>
    <n v="5496716"/>
    <d v="2025-01-23T00:00:00"/>
    <n v="1"/>
    <n v="23"/>
    <n v="2025"/>
    <x v="6"/>
    <s v="Q1"/>
    <x v="2"/>
  </r>
  <r>
    <s v="O109674"/>
    <x v="26"/>
    <x v="4"/>
    <x v="0"/>
    <x v="2"/>
    <x v="3"/>
    <n v="10"/>
    <n v="5493671"/>
    <d v="2026-11-08T00:00:00"/>
    <n v="11"/>
    <n v="8"/>
    <n v="2026"/>
    <x v="0"/>
    <s v="Q4"/>
    <x v="2"/>
  </r>
  <r>
    <s v="O101403"/>
    <x v="27"/>
    <x v="2"/>
    <x v="0"/>
    <x v="0"/>
    <x v="2"/>
    <n v="10"/>
    <n v="5491744"/>
    <d v="2025-03-27T00:00:00"/>
    <n v="3"/>
    <n v="27"/>
    <n v="2025"/>
    <x v="5"/>
    <s v="Q1"/>
    <x v="0"/>
  </r>
  <r>
    <s v="O111809"/>
    <x v="28"/>
    <x v="6"/>
    <x v="0"/>
    <x v="4"/>
    <x v="2"/>
    <n v="10"/>
    <n v="5485614"/>
    <d v="2026-12-19T00:00:00"/>
    <n v="12"/>
    <n v="19"/>
    <n v="2026"/>
    <x v="7"/>
    <s v="Q4"/>
    <x v="4"/>
  </r>
  <r>
    <s v="O102550"/>
    <x v="29"/>
    <x v="5"/>
    <x v="0"/>
    <x v="4"/>
    <x v="2"/>
    <n v="10"/>
    <n v="5481074"/>
    <d v="2025-04-06T00:00:00"/>
    <n v="4"/>
    <n v="6"/>
    <n v="2025"/>
    <x v="11"/>
    <s v="Q2"/>
    <x v="4"/>
  </r>
  <r>
    <s v="O110672"/>
    <x v="30"/>
    <x v="8"/>
    <x v="0"/>
    <x v="2"/>
    <x v="1"/>
    <n v="10"/>
    <n v="5457172"/>
    <d v="2026-11-10T00:00:00"/>
    <n v="11"/>
    <n v="10"/>
    <n v="2026"/>
    <x v="0"/>
    <s v="Q4"/>
    <x v="2"/>
  </r>
  <r>
    <s v="O102936"/>
    <x v="31"/>
    <x v="1"/>
    <x v="0"/>
    <x v="0"/>
    <x v="2"/>
    <n v="10"/>
    <n v="5451315"/>
    <d v="2025-06-28T00:00:00"/>
    <n v="6"/>
    <n v="28"/>
    <n v="2025"/>
    <x v="2"/>
    <s v="Q2"/>
    <x v="0"/>
  </r>
  <r>
    <s v="O103791"/>
    <x v="32"/>
    <x v="1"/>
    <x v="0"/>
    <x v="4"/>
    <x v="3"/>
    <n v="10"/>
    <n v="5449964"/>
    <d v="2025-08-19T00:00:00"/>
    <n v="8"/>
    <n v="19"/>
    <n v="2025"/>
    <x v="8"/>
    <s v="Q3"/>
    <x v="4"/>
  </r>
  <r>
    <s v="O105223"/>
    <x v="2"/>
    <x v="1"/>
    <x v="0"/>
    <x v="2"/>
    <x v="2"/>
    <n v="10"/>
    <n v="5449602"/>
    <d v="2025-11-14T00:00:00"/>
    <n v="11"/>
    <n v="14"/>
    <n v="2025"/>
    <x v="0"/>
    <s v="Q4"/>
    <x v="2"/>
  </r>
  <r>
    <s v="O108043"/>
    <x v="33"/>
    <x v="3"/>
    <x v="0"/>
    <x v="4"/>
    <x v="0"/>
    <n v="10"/>
    <n v="5445963"/>
    <d v="2026-04-05T00:00:00"/>
    <n v="4"/>
    <n v="5"/>
    <n v="2026"/>
    <x v="11"/>
    <s v="Q2"/>
    <x v="4"/>
  </r>
  <r>
    <s v="O101402"/>
    <x v="34"/>
    <x v="3"/>
    <x v="0"/>
    <x v="2"/>
    <x v="2"/>
    <n v="10"/>
    <n v="5435354"/>
    <d v="2025-03-27T00:00:00"/>
    <n v="3"/>
    <n v="27"/>
    <n v="2025"/>
    <x v="5"/>
    <s v="Q1"/>
    <x v="2"/>
  </r>
  <r>
    <s v="O109551"/>
    <x v="35"/>
    <x v="0"/>
    <x v="0"/>
    <x v="2"/>
    <x v="2"/>
    <n v="10"/>
    <n v="5429767"/>
    <d v="2026-04-08T00:00:00"/>
    <n v="4"/>
    <n v="8"/>
    <n v="2026"/>
    <x v="11"/>
    <s v="Q2"/>
    <x v="2"/>
  </r>
  <r>
    <s v="O103224"/>
    <x v="36"/>
    <x v="4"/>
    <x v="0"/>
    <x v="1"/>
    <x v="0"/>
    <n v="10"/>
    <n v="5408890"/>
    <d v="2025-07-15T00:00:00"/>
    <n v="7"/>
    <n v="15"/>
    <n v="2025"/>
    <x v="10"/>
    <s v="Q3"/>
    <x v="1"/>
  </r>
  <r>
    <s v="O109232"/>
    <x v="37"/>
    <x v="0"/>
    <x v="0"/>
    <x v="1"/>
    <x v="2"/>
    <n v="10"/>
    <n v="5404507"/>
    <d v="2026-07-15T00:00:00"/>
    <n v="7"/>
    <n v="15"/>
    <n v="2026"/>
    <x v="10"/>
    <s v="Q3"/>
    <x v="1"/>
  </r>
  <r>
    <s v="O106047"/>
    <x v="38"/>
    <x v="9"/>
    <x v="0"/>
    <x v="1"/>
    <x v="2"/>
    <n v="10"/>
    <n v="5402364"/>
    <d v="2026-03-01T00:00:00"/>
    <n v="3"/>
    <n v="1"/>
    <n v="2026"/>
    <x v="5"/>
    <s v="Q1"/>
    <x v="1"/>
  </r>
  <r>
    <s v="O100996"/>
    <x v="39"/>
    <x v="9"/>
    <x v="0"/>
    <x v="0"/>
    <x v="1"/>
    <n v="10"/>
    <n v="5398722"/>
    <d v="2025-02-03T00:00:00"/>
    <n v="2"/>
    <n v="3"/>
    <n v="2025"/>
    <x v="4"/>
    <s v="Q1"/>
    <x v="0"/>
  </r>
  <r>
    <s v="O103120"/>
    <x v="40"/>
    <x v="10"/>
    <x v="0"/>
    <x v="0"/>
    <x v="1"/>
    <n v="10"/>
    <n v="5393832"/>
    <d v="2025-09-07T00:00:00"/>
    <n v="9"/>
    <n v="7"/>
    <n v="2025"/>
    <x v="1"/>
    <s v="Q3"/>
    <x v="0"/>
  </r>
  <r>
    <s v="O105343"/>
    <x v="41"/>
    <x v="1"/>
    <x v="0"/>
    <x v="4"/>
    <x v="3"/>
    <n v="10"/>
    <n v="5384323"/>
    <d v="2025-11-21T00:00:00"/>
    <n v="11"/>
    <n v="21"/>
    <n v="2025"/>
    <x v="0"/>
    <s v="Q4"/>
    <x v="4"/>
  </r>
  <r>
    <s v="O100100"/>
    <x v="42"/>
    <x v="4"/>
    <x v="0"/>
    <x v="3"/>
    <x v="1"/>
    <n v="10"/>
    <n v="5382119"/>
    <d v="2025-07-01T00:00:00"/>
    <n v="7"/>
    <n v="1"/>
    <n v="2025"/>
    <x v="10"/>
    <s v="Q3"/>
    <x v="3"/>
  </r>
  <r>
    <s v="O108272"/>
    <x v="43"/>
    <x v="8"/>
    <x v="0"/>
    <x v="0"/>
    <x v="0"/>
    <n v="10"/>
    <n v="5372712"/>
    <d v="2026-05-18T00:00:00"/>
    <n v="5"/>
    <n v="18"/>
    <n v="2026"/>
    <x v="3"/>
    <s v="Q2"/>
    <x v="0"/>
  </r>
  <r>
    <s v="O102679"/>
    <x v="44"/>
    <x v="3"/>
    <x v="0"/>
    <x v="4"/>
    <x v="2"/>
    <n v="10"/>
    <n v="5367549"/>
    <d v="2025-12-06T00:00:00"/>
    <n v="12"/>
    <n v="6"/>
    <n v="2025"/>
    <x v="7"/>
    <s v="Q4"/>
    <x v="4"/>
  </r>
  <r>
    <s v="O103951"/>
    <x v="45"/>
    <x v="9"/>
    <x v="0"/>
    <x v="3"/>
    <x v="3"/>
    <n v="10"/>
    <n v="5361841"/>
    <d v="2025-08-28T00:00:00"/>
    <n v="8"/>
    <n v="28"/>
    <n v="2025"/>
    <x v="8"/>
    <s v="Q3"/>
    <x v="3"/>
  </r>
  <r>
    <s v="O108280"/>
    <x v="46"/>
    <x v="1"/>
    <x v="0"/>
    <x v="0"/>
    <x v="0"/>
    <n v="10"/>
    <n v="5352272"/>
    <d v="2026-05-18T00:00:00"/>
    <n v="5"/>
    <n v="18"/>
    <n v="2026"/>
    <x v="3"/>
    <s v="Q2"/>
    <x v="0"/>
  </r>
  <r>
    <s v="O108000"/>
    <x v="43"/>
    <x v="8"/>
    <x v="0"/>
    <x v="3"/>
    <x v="0"/>
    <n v="10"/>
    <n v="5349158"/>
    <d v="2026-01-05T00:00:00"/>
    <n v="1"/>
    <n v="5"/>
    <n v="2026"/>
    <x v="6"/>
    <s v="Q1"/>
    <x v="3"/>
  </r>
  <r>
    <s v="O107872"/>
    <x v="28"/>
    <x v="8"/>
    <x v="0"/>
    <x v="2"/>
    <x v="0"/>
    <n v="10"/>
    <n v="5340129"/>
    <d v="2026-04-24T00:00:00"/>
    <n v="4"/>
    <n v="24"/>
    <n v="2026"/>
    <x v="11"/>
    <s v="Q2"/>
    <x v="2"/>
  </r>
  <r>
    <s v="O107870"/>
    <x v="47"/>
    <x v="2"/>
    <x v="0"/>
    <x v="2"/>
    <x v="2"/>
    <n v="10"/>
    <n v="5333685"/>
    <d v="2026-04-24T00:00:00"/>
    <n v="4"/>
    <n v="24"/>
    <n v="2026"/>
    <x v="11"/>
    <s v="Q2"/>
    <x v="2"/>
  </r>
  <r>
    <s v="O109573"/>
    <x v="48"/>
    <x v="4"/>
    <x v="0"/>
    <x v="2"/>
    <x v="0"/>
    <n v="10"/>
    <n v="5328780"/>
    <d v="2026-05-08T00:00:00"/>
    <n v="5"/>
    <n v="8"/>
    <n v="2026"/>
    <x v="3"/>
    <s v="Q2"/>
    <x v="2"/>
  </r>
  <r>
    <s v="O105381"/>
    <x v="49"/>
    <x v="5"/>
    <x v="0"/>
    <x v="1"/>
    <x v="1"/>
    <n v="10"/>
    <n v="5319488"/>
    <d v="2025-11-23T00:00:00"/>
    <n v="11"/>
    <n v="23"/>
    <n v="2025"/>
    <x v="0"/>
    <s v="Q4"/>
    <x v="1"/>
  </r>
  <r>
    <s v="O104467"/>
    <x v="50"/>
    <x v="10"/>
    <x v="0"/>
    <x v="2"/>
    <x v="0"/>
    <n v="10"/>
    <n v="5284950"/>
    <d v="2025-09-29T00:00:00"/>
    <n v="9"/>
    <n v="29"/>
    <n v="2025"/>
    <x v="1"/>
    <s v="Q3"/>
    <x v="2"/>
  </r>
  <r>
    <s v="O100834"/>
    <x v="51"/>
    <x v="4"/>
    <x v="0"/>
    <x v="0"/>
    <x v="1"/>
    <n v="10"/>
    <n v="5236500"/>
    <d v="2025-02-20T00:00:00"/>
    <n v="2"/>
    <n v="20"/>
    <n v="2025"/>
    <x v="4"/>
    <m/>
    <x v="0"/>
  </r>
  <r>
    <s v="O101868"/>
    <x v="52"/>
    <x v="1"/>
    <x v="0"/>
    <x v="2"/>
    <x v="1"/>
    <n v="10"/>
    <n v="5235547"/>
    <d v="2025-04-24T00:00:00"/>
    <n v="4"/>
    <n v="24"/>
    <n v="2025"/>
    <x v="11"/>
    <s v="Q2"/>
    <x v="2"/>
  </r>
  <r>
    <s v="O100319"/>
    <x v="53"/>
    <x v="1"/>
    <x v="0"/>
    <x v="1"/>
    <x v="1"/>
    <n v="10"/>
    <n v="5204796"/>
    <d v="2025-01-20T00:00:00"/>
    <n v="1"/>
    <n v="20"/>
    <n v="2025"/>
    <x v="6"/>
    <s v="Q1"/>
    <x v="1"/>
  </r>
  <r>
    <s v="O105550"/>
    <x v="54"/>
    <x v="4"/>
    <x v="0"/>
    <x v="1"/>
    <x v="1"/>
    <n v="10"/>
    <n v="5170979"/>
    <d v="2025-04-12T00:00:00"/>
    <n v="4"/>
    <n v="12"/>
    <n v="2025"/>
    <x v="11"/>
    <s v="Q2"/>
    <x v="1"/>
  </r>
  <r>
    <s v="O107966"/>
    <x v="55"/>
    <x v="9"/>
    <x v="0"/>
    <x v="1"/>
    <x v="0"/>
    <n v="10"/>
    <n v="5131562"/>
    <d v="2026-04-29T00:00:00"/>
    <n v="4"/>
    <n v="29"/>
    <n v="2026"/>
    <x v="11"/>
    <s v="Q2"/>
    <x v="1"/>
  </r>
  <r>
    <s v="O110157"/>
    <x v="56"/>
    <x v="1"/>
    <x v="0"/>
    <x v="0"/>
    <x v="3"/>
    <n v="10"/>
    <n v="5128919"/>
    <d v="2026-10-09T00:00:00"/>
    <n v="10"/>
    <n v="9"/>
    <n v="2026"/>
    <x v="9"/>
    <s v="Q4"/>
    <x v="0"/>
  </r>
  <r>
    <s v="O110924"/>
    <x v="57"/>
    <x v="4"/>
    <x v="0"/>
    <x v="0"/>
    <x v="1"/>
    <n v="10"/>
    <n v="5121136"/>
    <d v="2026-10-26T00:00:00"/>
    <n v="10"/>
    <n v="26"/>
    <n v="2026"/>
    <x v="9"/>
    <s v="Q4"/>
    <x v="0"/>
  </r>
  <r>
    <s v="O105157"/>
    <x v="58"/>
    <x v="6"/>
    <x v="0"/>
    <x v="4"/>
    <x v="0"/>
    <n v="10"/>
    <n v="5117493"/>
    <d v="2025-10-11T00:00:00"/>
    <n v="10"/>
    <n v="11"/>
    <n v="2025"/>
    <x v="9"/>
    <s v="Q4"/>
    <x v="4"/>
  </r>
  <r>
    <s v="O111910"/>
    <x v="59"/>
    <x v="1"/>
    <x v="0"/>
    <x v="1"/>
    <x v="1"/>
    <n v="10"/>
    <n v="5112070"/>
    <d v="2026-12-25T00:00:00"/>
    <n v="12"/>
    <n v="25"/>
    <n v="2026"/>
    <x v="7"/>
    <s v="Q4"/>
    <x v="1"/>
  </r>
  <r>
    <s v="O105633"/>
    <x v="60"/>
    <x v="3"/>
    <x v="0"/>
    <x v="2"/>
    <x v="0"/>
    <n v="10"/>
    <n v="5110258"/>
    <d v="2025-09-12T00:00:00"/>
    <n v="9"/>
    <n v="12"/>
    <n v="2025"/>
    <x v="1"/>
    <s v="Q3"/>
    <x v="2"/>
  </r>
  <r>
    <s v="O105296"/>
    <x v="61"/>
    <x v="0"/>
    <x v="0"/>
    <x v="2"/>
    <x v="2"/>
    <n v="10"/>
    <n v="5106854"/>
    <d v="2025-11-18T00:00:00"/>
    <n v="11"/>
    <n v="18"/>
    <n v="2025"/>
    <x v="0"/>
    <s v="Q4"/>
    <x v="2"/>
  </r>
  <r>
    <s v="O104820"/>
    <x v="62"/>
    <x v="6"/>
    <x v="0"/>
    <x v="1"/>
    <x v="3"/>
    <n v="10"/>
    <n v="5104437"/>
    <d v="2025-10-20T00:00:00"/>
    <n v="10"/>
    <n v="20"/>
    <n v="2025"/>
    <x v="9"/>
    <s v="Q4"/>
    <x v="1"/>
  </r>
  <r>
    <s v="O101494"/>
    <x v="63"/>
    <x v="2"/>
    <x v="0"/>
    <x v="2"/>
    <x v="2"/>
    <n v="10"/>
    <n v="5086996"/>
    <d v="2025-01-04T00:00:00"/>
    <n v="1"/>
    <n v="4"/>
    <n v="2025"/>
    <x v="6"/>
    <s v="Q1"/>
    <x v="2"/>
  </r>
  <r>
    <s v="O109443"/>
    <x v="64"/>
    <x v="4"/>
    <x v="0"/>
    <x v="1"/>
    <x v="3"/>
    <n v="10"/>
    <n v="5083583"/>
    <d v="2026-07-28T00:00:00"/>
    <n v="7"/>
    <n v="28"/>
    <n v="2026"/>
    <x v="10"/>
    <s v="Q3"/>
    <x v="1"/>
  </r>
  <r>
    <s v="O100235"/>
    <x v="65"/>
    <x v="10"/>
    <x v="0"/>
    <x v="1"/>
    <x v="3"/>
    <n v="10"/>
    <n v="5073042"/>
    <d v="2025-01-15T00:00:00"/>
    <n v="1"/>
    <n v="15"/>
    <n v="2025"/>
    <x v="6"/>
    <s v="Q1"/>
    <x v="1"/>
  </r>
  <r>
    <s v="O110845"/>
    <x v="66"/>
    <x v="0"/>
    <x v="0"/>
    <x v="0"/>
    <x v="0"/>
    <n v="10"/>
    <n v="5068662"/>
    <d v="2026-10-21T00:00:00"/>
    <n v="10"/>
    <n v="21"/>
    <n v="2026"/>
    <x v="9"/>
    <s v="Q4"/>
    <x v="0"/>
  </r>
  <r>
    <s v="O110026"/>
    <x v="67"/>
    <x v="6"/>
    <x v="0"/>
    <x v="0"/>
    <x v="1"/>
    <n v="10"/>
    <n v="5058049"/>
    <d v="2026-02-09T00:00:00"/>
    <n v="2"/>
    <n v="9"/>
    <n v="2026"/>
    <x v="4"/>
    <s v="Q1"/>
    <x v="0"/>
  </r>
  <r>
    <s v="O104979"/>
    <x v="68"/>
    <x v="8"/>
    <x v="0"/>
    <x v="4"/>
    <x v="3"/>
    <n v="10"/>
    <n v="5055982"/>
    <d v="2025-10-30T00:00:00"/>
    <n v="10"/>
    <n v="30"/>
    <n v="2025"/>
    <x v="9"/>
    <s v="Q4"/>
    <x v="4"/>
  </r>
  <r>
    <s v="O106159"/>
    <x v="69"/>
    <x v="4"/>
    <x v="0"/>
    <x v="2"/>
    <x v="3"/>
    <n v="9"/>
    <n v="5054979"/>
    <d v="2026-10-01T00:00:00"/>
    <n v="10"/>
    <n v="1"/>
    <n v="2026"/>
    <x v="9"/>
    <s v="Q4"/>
    <x v="2"/>
  </r>
  <r>
    <s v="O110395"/>
    <x v="70"/>
    <x v="3"/>
    <x v="0"/>
    <x v="1"/>
    <x v="2"/>
    <n v="10"/>
    <n v="5054727"/>
    <d v="2026-09-24T00:00:00"/>
    <n v="9"/>
    <n v="24"/>
    <n v="2026"/>
    <x v="1"/>
    <s v="Q3"/>
    <x v="1"/>
  </r>
  <r>
    <s v="O107056"/>
    <x v="71"/>
    <x v="1"/>
    <x v="0"/>
    <x v="3"/>
    <x v="1"/>
    <n v="10"/>
    <n v="5047992"/>
    <d v="2026-05-03T00:00:00"/>
    <n v="5"/>
    <n v="3"/>
    <n v="2026"/>
    <x v="3"/>
    <s v="Q2"/>
    <x v="3"/>
  </r>
  <r>
    <s v="O105384"/>
    <x v="72"/>
    <x v="9"/>
    <x v="0"/>
    <x v="3"/>
    <x v="1"/>
    <n v="9"/>
    <n v="5047833"/>
    <d v="2025-11-24T00:00:00"/>
    <n v="11"/>
    <n v="24"/>
    <n v="2025"/>
    <x v="0"/>
    <s v="Q4"/>
    <x v="3"/>
  </r>
  <r>
    <s v="O111933"/>
    <x v="73"/>
    <x v="8"/>
    <x v="0"/>
    <x v="3"/>
    <x v="0"/>
    <n v="9"/>
    <n v="5041436"/>
    <d v="2026-12-26T00:00:00"/>
    <n v="12"/>
    <n v="26"/>
    <n v="2026"/>
    <x v="7"/>
    <s v="Q4"/>
    <x v="3"/>
  </r>
  <r>
    <s v="O108778"/>
    <x v="74"/>
    <x v="10"/>
    <x v="0"/>
    <x v="1"/>
    <x v="4"/>
    <n v="9"/>
    <n v="5041298"/>
    <d v="2026-06-18T00:00:00"/>
    <n v="6"/>
    <n v="18"/>
    <n v="2026"/>
    <x v="2"/>
    <s v="Q2"/>
    <x v="1"/>
  </r>
  <r>
    <s v="O103987"/>
    <x v="75"/>
    <x v="1"/>
    <x v="0"/>
    <x v="2"/>
    <x v="3"/>
    <n v="10"/>
    <n v="5039030"/>
    <d v="2025-08-31T00:00:00"/>
    <n v="8"/>
    <n v="31"/>
    <n v="2025"/>
    <x v="8"/>
    <m/>
    <x v="2"/>
  </r>
  <r>
    <s v="O108964"/>
    <x v="76"/>
    <x v="2"/>
    <x v="0"/>
    <x v="2"/>
    <x v="2"/>
    <n v="10"/>
    <n v="5037864"/>
    <d v="2026-06-29T00:00:00"/>
    <n v="6"/>
    <n v="29"/>
    <n v="2026"/>
    <x v="2"/>
    <s v="Q2"/>
    <x v="2"/>
  </r>
  <r>
    <s v="O101439"/>
    <x v="77"/>
    <x v="6"/>
    <x v="0"/>
    <x v="0"/>
    <x v="1"/>
    <n v="9"/>
    <n v="5037079"/>
    <d v="2025-03-29T00:00:00"/>
    <n v="3"/>
    <n v="29"/>
    <n v="2025"/>
    <x v="5"/>
    <s v="Q1"/>
    <x v="0"/>
  </r>
  <r>
    <s v="O101867"/>
    <x v="78"/>
    <x v="2"/>
    <x v="0"/>
    <x v="1"/>
    <x v="3"/>
    <n v="9"/>
    <n v="5035928"/>
    <d v="2025-04-24T00:00:00"/>
    <n v="4"/>
    <n v="24"/>
    <n v="2025"/>
    <x v="11"/>
    <s v="Q2"/>
    <x v="1"/>
  </r>
  <r>
    <s v="O103383"/>
    <x v="9"/>
    <x v="0"/>
    <x v="0"/>
    <x v="2"/>
    <x v="1"/>
    <n v="10"/>
    <n v="5023190"/>
    <d v="2025-07-25T00:00:00"/>
    <n v="7"/>
    <n v="25"/>
    <n v="2025"/>
    <x v="10"/>
    <s v="Q3"/>
    <x v="2"/>
  </r>
  <r>
    <s v="O102978"/>
    <x v="79"/>
    <x v="10"/>
    <x v="0"/>
    <x v="0"/>
    <x v="0"/>
    <n v="9"/>
    <n v="5021974"/>
    <d v="2025-06-30T00:00:00"/>
    <n v="6"/>
    <n v="30"/>
    <n v="2025"/>
    <x v="2"/>
    <s v="Q2"/>
    <x v="0"/>
  </r>
  <r>
    <s v="O105951"/>
    <x v="80"/>
    <x v="8"/>
    <x v="0"/>
    <x v="0"/>
    <x v="0"/>
    <n v="10"/>
    <n v="5015325"/>
    <d v="2025-12-28T00:00:00"/>
    <n v="12"/>
    <n v="28"/>
    <n v="2025"/>
    <x v="7"/>
    <s v="Q4"/>
    <x v="0"/>
  </r>
  <r>
    <s v="O100441"/>
    <x v="81"/>
    <x v="5"/>
    <x v="0"/>
    <x v="4"/>
    <x v="3"/>
    <n v="9"/>
    <n v="5009557"/>
    <d v="2025-01-27T00:00:00"/>
    <n v="1"/>
    <n v="27"/>
    <n v="2025"/>
    <x v="6"/>
    <s v="Q1"/>
    <x v="4"/>
  </r>
  <r>
    <s v="O101524"/>
    <x v="82"/>
    <x v="10"/>
    <x v="0"/>
    <x v="1"/>
    <x v="1"/>
    <n v="9"/>
    <n v="5005117"/>
    <d v="2025-03-04T00:00:00"/>
    <n v="3"/>
    <n v="4"/>
    <n v="2025"/>
    <x v="5"/>
    <s v="Q1"/>
    <x v="1"/>
  </r>
  <r>
    <s v="O107946"/>
    <x v="83"/>
    <x v="6"/>
    <x v="0"/>
    <x v="1"/>
    <x v="2"/>
    <n v="9"/>
    <n v="5001960"/>
    <d v="2026-04-28T00:00:00"/>
    <n v="4"/>
    <n v="28"/>
    <n v="2026"/>
    <x v="11"/>
    <s v="Q2"/>
    <x v="1"/>
  </r>
  <r>
    <s v="O106260"/>
    <x v="84"/>
    <x v="3"/>
    <x v="0"/>
    <x v="1"/>
    <x v="0"/>
    <n v="10"/>
    <n v="4999482"/>
    <d v="2026-01-16T00:00:00"/>
    <n v="1"/>
    <n v="16"/>
    <n v="2026"/>
    <x v="6"/>
    <s v="Q1"/>
    <x v="1"/>
  </r>
  <r>
    <s v="O102316"/>
    <x v="85"/>
    <x v="4"/>
    <x v="0"/>
    <x v="0"/>
    <x v="0"/>
    <n v="10"/>
    <n v="4997931"/>
    <d v="2025-05-21T00:00:00"/>
    <n v="5"/>
    <n v="21"/>
    <n v="2025"/>
    <x v="3"/>
    <s v="Q2"/>
    <x v="0"/>
  </r>
  <r>
    <s v="O101952"/>
    <x v="86"/>
    <x v="0"/>
    <x v="0"/>
    <x v="2"/>
    <x v="1"/>
    <n v="9"/>
    <n v="4995420"/>
    <d v="2025-04-29T00:00:00"/>
    <n v="4"/>
    <n v="29"/>
    <n v="2025"/>
    <x v="11"/>
    <s v="Q2"/>
    <x v="2"/>
  </r>
  <r>
    <s v="O107074"/>
    <x v="87"/>
    <x v="2"/>
    <x v="0"/>
    <x v="3"/>
    <x v="2"/>
    <n v="10"/>
    <n v="4991156"/>
    <d v="2026-06-03T00:00:00"/>
    <n v="6"/>
    <n v="3"/>
    <n v="2026"/>
    <x v="2"/>
    <s v="Q2"/>
    <x v="3"/>
  </r>
  <r>
    <s v="O111754"/>
    <x v="88"/>
    <x v="4"/>
    <x v="0"/>
    <x v="0"/>
    <x v="0"/>
    <n v="9"/>
    <n v="4990051"/>
    <d v="2026-12-16T00:00:00"/>
    <n v="12"/>
    <n v="16"/>
    <n v="2026"/>
    <x v="7"/>
    <s v="Q4"/>
    <x v="0"/>
  </r>
  <r>
    <s v="O110492"/>
    <x v="89"/>
    <x v="0"/>
    <x v="0"/>
    <x v="3"/>
    <x v="0"/>
    <n v="9"/>
    <n v="4982063"/>
    <d v="2026-09-30T00:00:00"/>
    <n v="9"/>
    <n v="30"/>
    <n v="2026"/>
    <x v="1"/>
    <s v="Q3"/>
    <x v="3"/>
  </r>
  <r>
    <s v="O101106"/>
    <x v="90"/>
    <x v="3"/>
    <x v="0"/>
    <x v="4"/>
    <x v="2"/>
    <n v="9"/>
    <n v="4967239"/>
    <d v="2025-09-03T00:00:00"/>
    <n v="9"/>
    <n v="3"/>
    <n v="2025"/>
    <x v="1"/>
    <s v="Q3"/>
    <x v="4"/>
  </r>
  <r>
    <s v="O105236"/>
    <x v="91"/>
    <x v="9"/>
    <x v="0"/>
    <x v="1"/>
    <x v="0"/>
    <n v="9"/>
    <n v="4959753"/>
    <d v="2025-11-15T00:00:00"/>
    <n v="11"/>
    <n v="15"/>
    <n v="2025"/>
    <x v="0"/>
    <s v="Q4"/>
    <x v="1"/>
  </r>
  <r>
    <s v="O110090"/>
    <x v="92"/>
    <x v="9"/>
    <x v="0"/>
    <x v="1"/>
    <x v="0"/>
    <n v="9"/>
    <n v="4958139"/>
    <d v="2026-05-09T00:00:00"/>
    <n v="5"/>
    <n v="9"/>
    <n v="2026"/>
    <x v="3"/>
    <s v="Q2"/>
    <x v="1"/>
  </r>
  <r>
    <s v="O104736"/>
    <x v="93"/>
    <x v="1"/>
    <x v="0"/>
    <x v="3"/>
    <x v="3"/>
    <n v="10"/>
    <n v="4955643"/>
    <d v="2025-10-15T00:00:00"/>
    <n v="10"/>
    <n v="15"/>
    <n v="2025"/>
    <x v="9"/>
    <s v="Q4"/>
    <x v="3"/>
  </r>
  <r>
    <s v="O103786"/>
    <x v="94"/>
    <x v="2"/>
    <x v="0"/>
    <x v="3"/>
    <x v="0"/>
    <n v="10"/>
    <n v="4954292"/>
    <d v="2025-08-18T00:00:00"/>
    <n v="8"/>
    <n v="18"/>
    <n v="2025"/>
    <x v="8"/>
    <s v="Q3"/>
    <x v="3"/>
  </r>
  <r>
    <s v="O104005"/>
    <x v="95"/>
    <x v="10"/>
    <x v="0"/>
    <x v="1"/>
    <x v="0"/>
    <n v="9"/>
    <n v="4943875"/>
    <d v="2025-01-09T00:00:00"/>
    <n v="1"/>
    <n v="9"/>
    <n v="2025"/>
    <x v="6"/>
    <s v="Q1"/>
    <x v="1"/>
  </r>
  <r>
    <s v="O106155"/>
    <x v="96"/>
    <x v="0"/>
    <x v="0"/>
    <x v="2"/>
    <x v="0"/>
    <n v="10"/>
    <n v="4939634"/>
    <d v="2026-09-01T00:00:00"/>
    <n v="9"/>
    <n v="1"/>
    <n v="2026"/>
    <x v="1"/>
    <s v="Q3"/>
    <x v="2"/>
  </r>
  <r>
    <s v="O107959"/>
    <x v="32"/>
    <x v="1"/>
    <x v="0"/>
    <x v="2"/>
    <x v="0"/>
    <n v="10"/>
    <n v="4938769"/>
    <d v="2026-04-29T00:00:00"/>
    <n v="4"/>
    <n v="29"/>
    <n v="2026"/>
    <x v="11"/>
    <s v="Q2"/>
    <x v="2"/>
  </r>
  <r>
    <s v="O109995"/>
    <x v="97"/>
    <x v="8"/>
    <x v="0"/>
    <x v="4"/>
    <x v="0"/>
    <n v="9"/>
    <n v="4934880"/>
    <d v="2026-08-31T00:00:00"/>
    <n v="8"/>
    <n v="31"/>
    <n v="2026"/>
    <x v="8"/>
    <s v="Q3"/>
    <x v="4"/>
  </r>
  <r>
    <s v="O105277"/>
    <x v="98"/>
    <x v="4"/>
    <x v="0"/>
    <x v="3"/>
    <x v="3"/>
    <n v="9"/>
    <n v="4933941"/>
    <d v="2025-11-17T00:00:00"/>
    <n v="11"/>
    <n v="17"/>
    <n v="2025"/>
    <x v="0"/>
    <s v="Q4"/>
    <x v="3"/>
  </r>
  <r>
    <s v="O104151"/>
    <x v="99"/>
    <x v="6"/>
    <x v="0"/>
    <x v="2"/>
    <x v="2"/>
    <n v="10"/>
    <n v="4930070"/>
    <d v="2025-10-09T00:00:00"/>
    <n v="10"/>
    <n v="9"/>
    <n v="2025"/>
    <x v="9"/>
    <s v="Q4"/>
    <x v="2"/>
  </r>
  <r>
    <s v="O103654"/>
    <x v="100"/>
    <x v="0"/>
    <x v="0"/>
    <x v="3"/>
    <x v="0"/>
    <n v="9"/>
    <n v="4928058"/>
    <d v="2025-10-08T00:00:00"/>
    <n v="10"/>
    <n v="8"/>
    <n v="2025"/>
    <x v="9"/>
    <s v="Q4"/>
    <x v="3"/>
  </r>
  <r>
    <s v="O107409"/>
    <x v="101"/>
    <x v="8"/>
    <x v="0"/>
    <x v="4"/>
    <x v="1"/>
    <n v="9"/>
    <n v="4926866"/>
    <d v="2026-03-27T00:00:00"/>
    <n v="3"/>
    <n v="27"/>
    <n v="2026"/>
    <x v="5"/>
    <s v="Q1"/>
    <x v="4"/>
  </r>
  <r>
    <s v="O105863"/>
    <x v="102"/>
    <x v="2"/>
    <x v="0"/>
    <x v="5"/>
    <x v="3"/>
    <n v="9"/>
    <n v="4924731"/>
    <d v="2025-12-23T00:00:00"/>
    <n v="12"/>
    <n v="23"/>
    <n v="2025"/>
    <x v="7"/>
    <s v="Q4"/>
    <x v="5"/>
  </r>
  <r>
    <s v="O102762"/>
    <x v="103"/>
    <x v="5"/>
    <x v="0"/>
    <x v="4"/>
    <x v="0"/>
    <n v="9"/>
    <n v="4924447"/>
    <d v="2025-06-17T00:00:00"/>
    <n v="6"/>
    <n v="17"/>
    <n v="2025"/>
    <x v="2"/>
    <s v="Q2"/>
    <x v="4"/>
  </r>
  <r>
    <s v="O111407"/>
    <x v="104"/>
    <x v="1"/>
    <x v="0"/>
    <x v="2"/>
    <x v="1"/>
    <n v="9"/>
    <n v="4915387"/>
    <d v="2026-11-24T00:00:00"/>
    <n v="11"/>
    <n v="24"/>
    <n v="2026"/>
    <x v="0"/>
    <s v="Q4"/>
    <x v="2"/>
  </r>
  <r>
    <s v="O101759"/>
    <x v="105"/>
    <x v="3"/>
    <x v="0"/>
    <x v="2"/>
    <x v="3"/>
    <n v="10"/>
    <n v="4915235"/>
    <d v="2025-04-17T00:00:00"/>
    <n v="4"/>
    <n v="17"/>
    <n v="2025"/>
    <x v="11"/>
    <s v="Q2"/>
    <x v="2"/>
  </r>
  <r>
    <s v="O107776"/>
    <x v="106"/>
    <x v="10"/>
    <x v="0"/>
    <x v="2"/>
    <x v="2"/>
    <n v="10"/>
    <n v="4912798"/>
    <d v="2026-04-18T00:00:00"/>
    <n v="4"/>
    <n v="18"/>
    <n v="2026"/>
    <x v="11"/>
    <s v="Q2"/>
    <x v="2"/>
  </r>
  <r>
    <s v="O108146"/>
    <x v="107"/>
    <x v="3"/>
    <x v="0"/>
    <x v="0"/>
    <x v="1"/>
    <n v="9"/>
    <n v="4911704"/>
    <d v="2026-10-05T00:00:00"/>
    <n v="10"/>
    <n v="5"/>
    <n v="2026"/>
    <x v="9"/>
    <s v="Q4"/>
    <x v="0"/>
  </r>
  <r>
    <s v="O100255"/>
    <x v="60"/>
    <x v="4"/>
    <x v="0"/>
    <x v="0"/>
    <x v="3"/>
    <n v="9"/>
    <n v="4909598"/>
    <d v="2025-01-16T00:00:00"/>
    <n v="1"/>
    <n v="16"/>
    <n v="2025"/>
    <x v="6"/>
    <s v="Q1"/>
    <x v="0"/>
  </r>
  <r>
    <s v="O111328"/>
    <x v="108"/>
    <x v="0"/>
    <x v="0"/>
    <x v="2"/>
    <x v="2"/>
    <n v="10"/>
    <n v="4899952"/>
    <d v="2026-11-20T00:00:00"/>
    <n v="11"/>
    <n v="20"/>
    <n v="2026"/>
    <x v="0"/>
    <s v="Q4"/>
    <x v="2"/>
  </r>
  <r>
    <s v="O106803"/>
    <x v="109"/>
    <x v="3"/>
    <x v="0"/>
    <x v="1"/>
    <x v="0"/>
    <n v="9"/>
    <n v="4895392"/>
    <d v="2026-02-18T00:00:00"/>
    <n v="2"/>
    <n v="18"/>
    <n v="2026"/>
    <x v="4"/>
    <s v="Q1"/>
    <x v="1"/>
  </r>
  <r>
    <s v="O100590"/>
    <x v="110"/>
    <x v="8"/>
    <x v="0"/>
    <x v="2"/>
    <x v="3"/>
    <n v="10"/>
    <n v="4893695"/>
    <d v="2025-05-02T00:00:00"/>
    <n v="5"/>
    <n v="2"/>
    <n v="2025"/>
    <x v="3"/>
    <s v="Q2"/>
    <x v="2"/>
  </r>
  <r>
    <s v="O104235"/>
    <x v="111"/>
    <x v="6"/>
    <x v="0"/>
    <x v="1"/>
    <x v="3"/>
    <n v="9"/>
    <n v="4885693"/>
    <d v="2025-09-15T00:00:00"/>
    <n v="9"/>
    <n v="15"/>
    <n v="2025"/>
    <x v="1"/>
    <s v="Q3"/>
    <x v="1"/>
  </r>
  <r>
    <s v="O110787"/>
    <x v="112"/>
    <x v="8"/>
    <x v="0"/>
    <x v="4"/>
    <x v="0"/>
    <n v="10"/>
    <n v="4885336"/>
    <d v="2026-10-18T00:00:00"/>
    <n v="10"/>
    <n v="18"/>
    <n v="2026"/>
    <x v="9"/>
    <s v="Q4"/>
    <x v="4"/>
  </r>
  <r>
    <s v="O102398"/>
    <x v="113"/>
    <x v="0"/>
    <x v="0"/>
    <x v="4"/>
    <x v="1"/>
    <n v="9"/>
    <n v="4884154"/>
    <d v="2025-05-26T00:00:00"/>
    <n v="5"/>
    <n v="26"/>
    <n v="2025"/>
    <x v="3"/>
    <s v="Q2"/>
    <x v="4"/>
  </r>
  <r>
    <s v="O101555"/>
    <x v="20"/>
    <x v="8"/>
    <x v="0"/>
    <x v="0"/>
    <x v="0"/>
    <n v="9"/>
    <n v="4881289"/>
    <d v="2025-05-04T00:00:00"/>
    <n v="5"/>
    <n v="4"/>
    <n v="2025"/>
    <x v="3"/>
    <s v="Q2"/>
    <x v="0"/>
  </r>
  <r>
    <s v="O102797"/>
    <x v="114"/>
    <x v="8"/>
    <x v="0"/>
    <x v="4"/>
    <x v="1"/>
    <n v="9"/>
    <n v="4876838"/>
    <d v="2025-06-19T00:00:00"/>
    <n v="6"/>
    <n v="19"/>
    <n v="2025"/>
    <x v="2"/>
    <s v="Q2"/>
    <x v="4"/>
  </r>
  <r>
    <s v="O108765"/>
    <x v="115"/>
    <x v="10"/>
    <x v="0"/>
    <x v="0"/>
    <x v="2"/>
    <n v="10"/>
    <n v="4874589"/>
    <d v="2026-06-17T00:00:00"/>
    <n v="6"/>
    <n v="17"/>
    <n v="2026"/>
    <x v="2"/>
    <s v="Q2"/>
    <x v="0"/>
  </r>
  <r>
    <s v="O109438"/>
    <x v="116"/>
    <x v="2"/>
    <x v="0"/>
    <x v="2"/>
    <x v="3"/>
    <n v="10"/>
    <n v="4866067"/>
    <d v="2026-07-28T00:00:00"/>
    <n v="7"/>
    <n v="28"/>
    <n v="2026"/>
    <x v="10"/>
    <s v="Q3"/>
    <x v="2"/>
  </r>
  <r>
    <s v="O103525"/>
    <x v="117"/>
    <x v="10"/>
    <x v="0"/>
    <x v="2"/>
    <x v="3"/>
    <n v="10"/>
    <n v="4845273"/>
    <d v="2025-03-08T00:00:00"/>
    <n v="3"/>
    <n v="8"/>
    <n v="2025"/>
    <x v="5"/>
    <s v="Q1"/>
    <x v="2"/>
  </r>
  <r>
    <s v="O101098"/>
    <x v="118"/>
    <x v="0"/>
    <x v="0"/>
    <x v="4"/>
    <x v="0"/>
    <n v="10"/>
    <n v="4840769"/>
    <d v="2025-08-03T00:00:00"/>
    <n v="8"/>
    <n v="3"/>
    <n v="2025"/>
    <x v="8"/>
    <s v="Q3"/>
    <x v="4"/>
  </r>
  <r>
    <s v="O110528"/>
    <x v="119"/>
    <x v="2"/>
    <x v="0"/>
    <x v="0"/>
    <x v="0"/>
    <n v="9"/>
    <n v="4840432"/>
    <d v="2026-02-10T00:00:00"/>
    <n v="2"/>
    <n v="10"/>
    <n v="2026"/>
    <x v="4"/>
    <s v="Q1"/>
    <x v="0"/>
  </r>
  <r>
    <s v="O103062"/>
    <x v="120"/>
    <x v="4"/>
    <x v="0"/>
    <x v="3"/>
    <x v="2"/>
    <n v="9"/>
    <n v="4840320"/>
    <d v="2025-05-07T00:00:00"/>
    <n v="5"/>
    <n v="7"/>
    <n v="2025"/>
    <x v="3"/>
    <s v="Q2"/>
    <x v="3"/>
  </r>
  <r>
    <s v="O106017"/>
    <x v="121"/>
    <x v="10"/>
    <x v="0"/>
    <x v="2"/>
    <x v="1"/>
    <n v="9"/>
    <n v="4836243"/>
    <d v="2026-01-01T00:00:00"/>
    <n v="1"/>
    <n v="1"/>
    <n v="2026"/>
    <x v="6"/>
    <s v="Q1"/>
    <x v="2"/>
  </r>
  <r>
    <s v="O106171"/>
    <x v="122"/>
    <x v="2"/>
    <x v="0"/>
    <x v="3"/>
    <x v="0"/>
    <n v="10"/>
    <n v="4835850"/>
    <d v="2026-10-01T00:00:00"/>
    <n v="10"/>
    <n v="1"/>
    <n v="2026"/>
    <x v="9"/>
    <s v="Q4"/>
    <x v="3"/>
  </r>
  <r>
    <s v="O103524"/>
    <x v="123"/>
    <x v="6"/>
    <x v="0"/>
    <x v="3"/>
    <x v="1"/>
    <n v="9"/>
    <n v="4830411"/>
    <d v="2025-03-08T00:00:00"/>
    <n v="3"/>
    <n v="8"/>
    <n v="2025"/>
    <x v="5"/>
    <s v="Q1"/>
    <x v="3"/>
  </r>
  <r>
    <s v="O103083"/>
    <x v="124"/>
    <x v="2"/>
    <x v="0"/>
    <x v="1"/>
    <x v="2"/>
    <n v="9"/>
    <n v="4829621"/>
    <d v="2025-07-07T00:00:00"/>
    <n v="7"/>
    <n v="7"/>
    <n v="2025"/>
    <x v="10"/>
    <s v="Q3"/>
    <x v="1"/>
  </r>
  <r>
    <s v="O100434"/>
    <x v="125"/>
    <x v="4"/>
    <x v="0"/>
    <x v="4"/>
    <x v="2"/>
    <n v="10"/>
    <n v="4828317"/>
    <d v="2025-01-27T00:00:00"/>
    <n v="1"/>
    <n v="27"/>
    <n v="2025"/>
    <x v="6"/>
    <s v="Q1"/>
    <x v="4"/>
  </r>
  <r>
    <s v="O101906"/>
    <x v="126"/>
    <x v="3"/>
    <x v="0"/>
    <x v="3"/>
    <x v="0"/>
    <n v="9"/>
    <n v="4824695"/>
    <d v="2025-04-26T00:00:00"/>
    <n v="4"/>
    <n v="26"/>
    <n v="2025"/>
    <x v="11"/>
    <s v="Q2"/>
    <x v="3"/>
  </r>
  <r>
    <s v="O101259"/>
    <x v="127"/>
    <x v="0"/>
    <x v="0"/>
    <x v="1"/>
    <x v="0"/>
    <n v="9"/>
    <n v="4823659"/>
    <d v="2025-03-18T00:00:00"/>
    <n v="3"/>
    <n v="18"/>
    <n v="2025"/>
    <x v="5"/>
    <s v="Q1"/>
    <x v="1"/>
  </r>
  <r>
    <s v="O109174"/>
    <x v="128"/>
    <x v="10"/>
    <x v="0"/>
    <x v="3"/>
    <x v="2"/>
    <n v="9"/>
    <n v="4810053"/>
    <d v="2026-12-07T00:00:00"/>
    <n v="12"/>
    <n v="7"/>
    <n v="2026"/>
    <x v="7"/>
    <s v="Q4"/>
    <x v="3"/>
  </r>
  <r>
    <s v="O102119"/>
    <x v="129"/>
    <x v="9"/>
    <x v="0"/>
    <x v="0"/>
    <x v="0"/>
    <n v="9"/>
    <n v="4807495"/>
    <d v="2025-09-05T00:00:00"/>
    <n v="9"/>
    <n v="5"/>
    <n v="2025"/>
    <x v="1"/>
    <s v="Q3"/>
    <x v="0"/>
  </r>
  <r>
    <s v="O111808"/>
    <x v="130"/>
    <x v="1"/>
    <x v="0"/>
    <x v="0"/>
    <x v="3"/>
    <n v="10"/>
    <n v="4807227"/>
    <d v="2026-12-19T00:00:00"/>
    <n v="12"/>
    <n v="19"/>
    <n v="2026"/>
    <x v="7"/>
    <s v="Q4"/>
    <x v="0"/>
  </r>
  <r>
    <s v="O111900"/>
    <x v="131"/>
    <x v="8"/>
    <x v="0"/>
    <x v="2"/>
    <x v="0"/>
    <n v="10"/>
    <n v="4807218"/>
    <d v="2026-12-24T00:00:00"/>
    <n v="12"/>
    <n v="24"/>
    <n v="2026"/>
    <x v="7"/>
    <s v="Q4"/>
    <x v="2"/>
  </r>
  <r>
    <s v="O101455"/>
    <x v="132"/>
    <x v="9"/>
    <x v="0"/>
    <x v="4"/>
    <x v="2"/>
    <n v="10"/>
    <n v="4805924"/>
    <d v="2025-03-30T00:00:00"/>
    <n v="3"/>
    <n v="30"/>
    <n v="2025"/>
    <x v="5"/>
    <s v="Q1"/>
    <x v="4"/>
  </r>
  <r>
    <s v="O109488"/>
    <x v="133"/>
    <x v="6"/>
    <x v="0"/>
    <x v="0"/>
    <x v="0"/>
    <n v="10"/>
    <n v="4798187"/>
    <d v="2026-07-31T00:00:00"/>
    <n v="7"/>
    <n v="31"/>
    <n v="2026"/>
    <x v="10"/>
    <s v="Q3"/>
    <x v="0"/>
  </r>
  <r>
    <s v="O108046"/>
    <x v="134"/>
    <x v="0"/>
    <x v="0"/>
    <x v="4"/>
    <x v="0"/>
    <n v="9"/>
    <n v="4795622"/>
    <d v="2026-04-05T00:00:00"/>
    <n v="4"/>
    <n v="5"/>
    <n v="2026"/>
    <x v="11"/>
    <s v="Q2"/>
    <x v="4"/>
  </r>
  <r>
    <s v="O105815"/>
    <x v="135"/>
    <x v="10"/>
    <x v="0"/>
    <x v="4"/>
    <x v="1"/>
    <n v="10"/>
    <n v="4792998"/>
    <d v="2025-12-20T00:00:00"/>
    <n v="12"/>
    <n v="20"/>
    <n v="2025"/>
    <x v="7"/>
    <s v="Q4"/>
    <x v="4"/>
  </r>
  <r>
    <s v="O109541"/>
    <x v="23"/>
    <x v="8"/>
    <x v="0"/>
    <x v="1"/>
    <x v="2"/>
    <n v="9"/>
    <n v="4792728"/>
    <d v="2026-03-08T00:00:00"/>
    <n v="3"/>
    <n v="8"/>
    <n v="2026"/>
    <x v="5"/>
    <s v="Q1"/>
    <x v="1"/>
  </r>
  <r>
    <s v="O108653"/>
    <x v="67"/>
    <x v="2"/>
    <x v="0"/>
    <x v="0"/>
    <x v="1"/>
    <n v="9"/>
    <n v="4789183"/>
    <d v="2026-10-06T00:00:00"/>
    <n v="10"/>
    <n v="6"/>
    <n v="2026"/>
    <x v="9"/>
    <s v="Q4"/>
    <x v="0"/>
  </r>
  <r>
    <s v="O106505"/>
    <x v="136"/>
    <x v="6"/>
    <x v="0"/>
    <x v="4"/>
    <x v="3"/>
    <n v="9"/>
    <n v="4784838"/>
    <d v="2026-01-31T00:00:00"/>
    <n v="1"/>
    <n v="31"/>
    <n v="2026"/>
    <x v="6"/>
    <s v="Q1"/>
    <x v="4"/>
  </r>
  <r>
    <s v="O110356"/>
    <x v="137"/>
    <x v="10"/>
    <x v="0"/>
    <x v="2"/>
    <x v="2"/>
    <n v="9"/>
    <n v="4781297"/>
    <d v="2026-09-22T00:00:00"/>
    <n v="9"/>
    <n v="22"/>
    <n v="2026"/>
    <x v="1"/>
    <s v="Q3"/>
    <x v="2"/>
  </r>
  <r>
    <s v="O101265"/>
    <x v="138"/>
    <x v="10"/>
    <x v="0"/>
    <x v="3"/>
    <x v="1"/>
    <n v="9"/>
    <n v="4780572"/>
    <d v="2025-03-18T00:00:00"/>
    <n v="3"/>
    <n v="18"/>
    <n v="2025"/>
    <x v="5"/>
    <s v="Q1"/>
    <x v="3"/>
  </r>
  <r>
    <s v="O109416"/>
    <x v="98"/>
    <x v="8"/>
    <x v="0"/>
    <x v="1"/>
    <x v="0"/>
    <n v="10"/>
    <n v="4780241"/>
    <d v="2026-07-27T00:00:00"/>
    <n v="7"/>
    <n v="27"/>
    <n v="2026"/>
    <x v="10"/>
    <s v="Q3"/>
    <x v="1"/>
  </r>
  <r>
    <s v="O104726"/>
    <x v="139"/>
    <x v="8"/>
    <x v="0"/>
    <x v="2"/>
    <x v="0"/>
    <n v="9"/>
    <n v="4778987"/>
    <d v="2025-10-15T00:00:00"/>
    <n v="10"/>
    <n v="15"/>
    <n v="2025"/>
    <x v="9"/>
    <s v="Q4"/>
    <x v="2"/>
  </r>
  <r>
    <s v="O102830"/>
    <x v="140"/>
    <x v="3"/>
    <x v="0"/>
    <x v="3"/>
    <x v="3"/>
    <n v="9"/>
    <n v="4776425"/>
    <d v="2025-06-21T00:00:00"/>
    <n v="6"/>
    <n v="21"/>
    <n v="2025"/>
    <x v="2"/>
    <s v="Q2"/>
    <x v="3"/>
  </r>
  <r>
    <s v="O106669"/>
    <x v="141"/>
    <x v="5"/>
    <x v="0"/>
    <x v="2"/>
    <x v="2"/>
    <n v="9"/>
    <n v="4773097"/>
    <d v="2026-10-02T00:00:00"/>
    <n v="10"/>
    <n v="2"/>
    <n v="2026"/>
    <x v="9"/>
    <s v="Q4"/>
    <x v="2"/>
  </r>
  <r>
    <s v="O102761"/>
    <x v="142"/>
    <x v="9"/>
    <x v="0"/>
    <x v="2"/>
    <x v="0"/>
    <n v="9"/>
    <n v="4765635"/>
    <d v="2025-06-17T00:00:00"/>
    <n v="6"/>
    <n v="17"/>
    <n v="2025"/>
    <x v="2"/>
    <s v="Q2"/>
    <x v="2"/>
  </r>
  <r>
    <s v="O108305"/>
    <x v="143"/>
    <x v="2"/>
    <x v="0"/>
    <x v="0"/>
    <x v="3"/>
    <n v="9"/>
    <n v="4765149"/>
    <d v="2026-05-20T00:00:00"/>
    <n v="5"/>
    <n v="20"/>
    <n v="2026"/>
    <x v="3"/>
    <s v="Q2"/>
    <x v="0"/>
  </r>
  <r>
    <s v="O100450"/>
    <x v="144"/>
    <x v="5"/>
    <x v="0"/>
    <x v="0"/>
    <x v="2"/>
    <n v="10"/>
    <n v="4765031"/>
    <d v="2025-01-28T00:00:00"/>
    <n v="1"/>
    <n v="28"/>
    <n v="2025"/>
    <x v="6"/>
    <s v="Q1"/>
    <x v="0"/>
  </r>
  <r>
    <s v="O101961"/>
    <x v="145"/>
    <x v="5"/>
    <x v="0"/>
    <x v="0"/>
    <x v="2"/>
    <n v="9"/>
    <n v="4754934"/>
    <d v="2025-04-30T00:00:00"/>
    <n v="4"/>
    <n v="30"/>
    <n v="2025"/>
    <x v="11"/>
    <m/>
    <x v="0"/>
  </r>
  <r>
    <s v="O110403"/>
    <x v="146"/>
    <x v="1"/>
    <x v="0"/>
    <x v="2"/>
    <x v="3"/>
    <n v="10"/>
    <n v="4752919"/>
    <d v="2026-09-24T00:00:00"/>
    <n v="9"/>
    <n v="24"/>
    <n v="2026"/>
    <x v="1"/>
    <s v="Q3"/>
    <x v="2"/>
  </r>
  <r>
    <s v="O101274"/>
    <x v="147"/>
    <x v="9"/>
    <x v="0"/>
    <x v="0"/>
    <x v="3"/>
    <n v="10"/>
    <n v="4750541"/>
    <d v="2025-03-19T00:00:00"/>
    <n v="3"/>
    <n v="19"/>
    <n v="2025"/>
    <x v="5"/>
    <s v="Q1"/>
    <x v="0"/>
  </r>
  <r>
    <s v="O102047"/>
    <x v="148"/>
    <x v="9"/>
    <x v="0"/>
    <x v="1"/>
    <x v="0"/>
    <n v="9"/>
    <n v="4749817"/>
    <d v="2025-05-05T00:00:00"/>
    <n v="5"/>
    <n v="5"/>
    <n v="2025"/>
    <x v="3"/>
    <s v="Q2"/>
    <x v="1"/>
  </r>
  <r>
    <s v="O107705"/>
    <x v="149"/>
    <x v="9"/>
    <x v="0"/>
    <x v="3"/>
    <x v="2"/>
    <n v="9"/>
    <n v="4749181"/>
    <d v="2026-04-14T00:00:00"/>
    <n v="4"/>
    <n v="14"/>
    <n v="2026"/>
    <x v="11"/>
    <s v="Q2"/>
    <x v="3"/>
  </r>
  <r>
    <s v="O100617"/>
    <x v="150"/>
    <x v="3"/>
    <x v="0"/>
    <x v="2"/>
    <x v="3"/>
    <n v="9"/>
    <n v="4735711"/>
    <d v="2025-07-02T00:00:00"/>
    <n v="7"/>
    <n v="2"/>
    <n v="2025"/>
    <x v="10"/>
    <s v="Q3"/>
    <x v="2"/>
  </r>
  <r>
    <s v="O100886"/>
    <x v="151"/>
    <x v="2"/>
    <x v="0"/>
    <x v="0"/>
    <x v="1"/>
    <n v="10"/>
    <n v="4733374"/>
    <d v="2025-02-23T00:00:00"/>
    <n v="2"/>
    <n v="23"/>
    <n v="2025"/>
    <x v="4"/>
    <s v="Q1"/>
    <x v="0"/>
  </r>
  <r>
    <s v="O109702"/>
    <x v="152"/>
    <x v="8"/>
    <x v="0"/>
    <x v="4"/>
    <x v="2"/>
    <n v="9"/>
    <n v="4732370"/>
    <d v="2026-08-13T00:00:00"/>
    <n v="8"/>
    <n v="13"/>
    <n v="2026"/>
    <x v="8"/>
    <s v="Q3"/>
    <x v="4"/>
  </r>
  <r>
    <s v="O111927"/>
    <x v="153"/>
    <x v="1"/>
    <x v="0"/>
    <x v="4"/>
    <x v="2"/>
    <n v="10"/>
    <n v="4732145"/>
    <d v="2026-12-26T00:00:00"/>
    <n v="12"/>
    <n v="26"/>
    <n v="2026"/>
    <x v="7"/>
    <s v="Q4"/>
    <x v="4"/>
  </r>
  <r>
    <s v="O110429"/>
    <x v="154"/>
    <x v="2"/>
    <x v="0"/>
    <x v="1"/>
    <x v="2"/>
    <n v="10"/>
    <n v="4731089"/>
    <d v="2026-09-26T00:00:00"/>
    <n v="9"/>
    <n v="26"/>
    <n v="2026"/>
    <x v="1"/>
    <s v="Q3"/>
    <x v="1"/>
  </r>
  <r>
    <s v="O104281"/>
    <x v="155"/>
    <x v="10"/>
    <x v="0"/>
    <x v="3"/>
    <x v="0"/>
    <n v="9"/>
    <n v="4730168"/>
    <d v="2025-09-18T00:00:00"/>
    <n v="9"/>
    <n v="18"/>
    <n v="2025"/>
    <x v="1"/>
    <s v="Q3"/>
    <x v="3"/>
  </r>
  <r>
    <s v="O105768"/>
    <x v="156"/>
    <x v="9"/>
    <x v="0"/>
    <x v="3"/>
    <x v="1"/>
    <n v="10"/>
    <n v="4722954"/>
    <d v="2025-12-17T00:00:00"/>
    <n v="12"/>
    <n v="17"/>
    <n v="2025"/>
    <x v="7"/>
    <s v="Q4"/>
    <x v="3"/>
  </r>
  <r>
    <s v="O101562"/>
    <x v="157"/>
    <x v="1"/>
    <x v="0"/>
    <x v="2"/>
    <x v="3"/>
    <n v="9"/>
    <n v="4722659"/>
    <d v="2025-05-04T00:00:00"/>
    <n v="5"/>
    <n v="4"/>
    <n v="2025"/>
    <x v="3"/>
    <s v="Q2"/>
    <x v="2"/>
  </r>
  <r>
    <s v="O106520"/>
    <x v="158"/>
    <x v="5"/>
    <x v="0"/>
    <x v="3"/>
    <x v="0"/>
    <n v="10"/>
    <n v="4721324"/>
    <d v="2026-01-02T00:00:00"/>
    <n v="1"/>
    <n v="2"/>
    <n v="2026"/>
    <x v="6"/>
    <s v="Q1"/>
    <x v="3"/>
  </r>
  <r>
    <s v="O110775"/>
    <x v="150"/>
    <x v="6"/>
    <x v="0"/>
    <x v="3"/>
    <x v="2"/>
    <n v="9"/>
    <n v="4720035"/>
    <d v="2026-10-17T00:00:00"/>
    <n v="10"/>
    <n v="17"/>
    <n v="2026"/>
    <x v="9"/>
    <s v="Q4"/>
    <x v="3"/>
  </r>
  <r>
    <s v="O108253"/>
    <x v="159"/>
    <x v="2"/>
    <x v="0"/>
    <x v="2"/>
    <x v="2"/>
    <n v="9"/>
    <n v="4717942"/>
    <d v="2026-05-17T00:00:00"/>
    <n v="5"/>
    <n v="17"/>
    <n v="2026"/>
    <x v="3"/>
    <s v="Q2"/>
    <x v="2"/>
  </r>
  <r>
    <s v="O110913"/>
    <x v="160"/>
    <x v="1"/>
    <x v="0"/>
    <x v="6"/>
    <x v="0"/>
    <n v="10"/>
    <n v="4715692"/>
    <d v="2026-10-25T00:00:00"/>
    <n v="10"/>
    <n v="25"/>
    <n v="2026"/>
    <x v="9"/>
    <s v="Q4"/>
    <x v="4"/>
  </r>
  <r>
    <s v="O109439"/>
    <x v="161"/>
    <x v="4"/>
    <x v="0"/>
    <x v="4"/>
    <x v="0"/>
    <n v="10"/>
    <n v="4714492"/>
    <d v="2026-07-28T00:00:00"/>
    <n v="7"/>
    <n v="28"/>
    <n v="2026"/>
    <x v="10"/>
    <s v="Q3"/>
    <x v="4"/>
  </r>
  <r>
    <s v="O105639"/>
    <x v="120"/>
    <x v="4"/>
    <x v="0"/>
    <x v="1"/>
    <x v="1"/>
    <n v="10"/>
    <n v="4712706"/>
    <d v="2025-09-12T00:00:00"/>
    <n v="9"/>
    <n v="12"/>
    <n v="2025"/>
    <x v="1"/>
    <s v="Q3"/>
    <x v="1"/>
  </r>
  <r>
    <s v="O109177"/>
    <x v="71"/>
    <x v="2"/>
    <x v="0"/>
    <x v="4"/>
    <x v="1"/>
    <n v="9"/>
    <n v="4708649"/>
    <d v="2026-12-07T00:00:00"/>
    <n v="12"/>
    <n v="7"/>
    <n v="2026"/>
    <x v="7"/>
    <s v="Q4"/>
    <x v="4"/>
  </r>
  <r>
    <s v="O108489"/>
    <x v="162"/>
    <x v="2"/>
    <x v="0"/>
    <x v="4"/>
    <x v="0"/>
    <n v="10"/>
    <n v="4702519"/>
    <d v="2026-05-31T00:00:00"/>
    <n v="5"/>
    <n v="31"/>
    <n v="2026"/>
    <x v="3"/>
    <s v="Q2"/>
    <x v="4"/>
  </r>
  <r>
    <s v="O100883"/>
    <x v="163"/>
    <x v="3"/>
    <x v="0"/>
    <x v="3"/>
    <x v="2"/>
    <n v="9"/>
    <n v="4700317"/>
    <d v="2025-02-23T00:00:00"/>
    <n v="2"/>
    <n v="23"/>
    <n v="2025"/>
    <x v="4"/>
    <s v="Q1"/>
    <x v="3"/>
  </r>
  <r>
    <s v="O103870"/>
    <x v="164"/>
    <x v="0"/>
    <x v="0"/>
    <x v="4"/>
    <x v="3"/>
    <n v="10"/>
    <n v="4697321"/>
    <d v="2025-08-24T00:00:00"/>
    <n v="8"/>
    <n v="24"/>
    <n v="2025"/>
    <x v="8"/>
    <s v="Q3"/>
    <x v="4"/>
  </r>
  <r>
    <s v="O105319"/>
    <x v="165"/>
    <x v="1"/>
    <x v="0"/>
    <x v="1"/>
    <x v="3"/>
    <n v="10"/>
    <n v="4696122"/>
    <d v="2025-11-20T00:00:00"/>
    <n v="11"/>
    <n v="20"/>
    <n v="2025"/>
    <x v="0"/>
    <s v="Q4"/>
    <x v="1"/>
  </r>
  <r>
    <s v="O111193"/>
    <x v="166"/>
    <x v="4"/>
    <x v="0"/>
    <x v="2"/>
    <x v="2"/>
    <n v="9"/>
    <n v="4687933"/>
    <d v="2026-11-11T00:00:00"/>
    <n v="11"/>
    <n v="11"/>
    <n v="2026"/>
    <x v="0"/>
    <s v="Q4"/>
    <x v="2"/>
  </r>
  <r>
    <s v="O102128"/>
    <x v="167"/>
    <x v="4"/>
    <x v="0"/>
    <x v="3"/>
    <x v="2"/>
    <n v="10"/>
    <n v="4685697"/>
    <d v="2025-10-05T00:00:00"/>
    <n v="10"/>
    <n v="5"/>
    <n v="2025"/>
    <x v="9"/>
    <s v="Q4"/>
    <x v="3"/>
  </r>
  <r>
    <s v="O111427"/>
    <x v="168"/>
    <x v="0"/>
    <x v="0"/>
    <x v="0"/>
    <x v="0"/>
    <n v="9"/>
    <n v="4681874"/>
    <d v="2026-11-26T00:00:00"/>
    <n v="11"/>
    <n v="26"/>
    <n v="2026"/>
    <x v="0"/>
    <s v="Q4"/>
    <x v="0"/>
  </r>
  <r>
    <s v="O111295"/>
    <x v="169"/>
    <x v="9"/>
    <x v="0"/>
    <x v="2"/>
    <x v="0"/>
    <n v="9"/>
    <n v="4680200"/>
    <d v="2026-11-18T00:00:00"/>
    <n v="11"/>
    <n v="18"/>
    <n v="2026"/>
    <x v="0"/>
    <m/>
    <x v="2"/>
  </r>
  <r>
    <s v="O105174"/>
    <x v="139"/>
    <x v="9"/>
    <x v="0"/>
    <x v="0"/>
    <x v="0"/>
    <n v="9"/>
    <n v="4678152"/>
    <d v="2025-11-11T00:00:00"/>
    <n v="11"/>
    <n v="11"/>
    <n v="2025"/>
    <x v="0"/>
    <s v="Q4"/>
    <x v="0"/>
  </r>
  <r>
    <s v="O102242"/>
    <x v="170"/>
    <x v="1"/>
    <x v="0"/>
    <x v="3"/>
    <x v="0"/>
    <n v="10"/>
    <n v="4673917"/>
    <d v="2025-05-17T00:00:00"/>
    <n v="5"/>
    <n v="17"/>
    <n v="2025"/>
    <x v="3"/>
    <s v="Q2"/>
    <x v="3"/>
  </r>
  <r>
    <s v="O108895"/>
    <x v="171"/>
    <x v="6"/>
    <x v="0"/>
    <x v="0"/>
    <x v="3"/>
    <n v="10"/>
    <n v="4672682"/>
    <d v="2026-06-25T00:00:00"/>
    <n v="6"/>
    <n v="25"/>
    <n v="2026"/>
    <x v="2"/>
    <s v="Q2"/>
    <x v="0"/>
  </r>
  <r>
    <s v="O106351"/>
    <x v="172"/>
    <x v="10"/>
    <x v="0"/>
    <x v="2"/>
    <x v="1"/>
    <n v="10"/>
    <n v="4672272"/>
    <d v="2026-01-21T00:00:00"/>
    <n v="1"/>
    <n v="21"/>
    <n v="2026"/>
    <x v="6"/>
    <s v="Q1"/>
    <x v="2"/>
  </r>
  <r>
    <s v="O100635"/>
    <x v="173"/>
    <x v="0"/>
    <x v="0"/>
    <x v="1"/>
    <x v="2"/>
    <n v="9"/>
    <n v="4649328"/>
    <d v="2025-08-02T00:00:00"/>
    <n v="8"/>
    <n v="2"/>
    <n v="2025"/>
    <x v="8"/>
    <s v="Q3"/>
    <x v="1"/>
  </r>
  <r>
    <s v="O103175"/>
    <x v="28"/>
    <x v="1"/>
    <x v="0"/>
    <x v="4"/>
    <x v="1"/>
    <n v="9"/>
    <n v="4648450"/>
    <d v="2025-12-07T00:00:00"/>
    <n v="12"/>
    <n v="7"/>
    <n v="2025"/>
    <x v="7"/>
    <s v="Q4"/>
    <x v="4"/>
  </r>
  <r>
    <s v="O100889"/>
    <x v="73"/>
    <x v="0"/>
    <x v="0"/>
    <x v="1"/>
    <x v="2"/>
    <n v="9"/>
    <n v="4646228"/>
    <d v="2025-02-23T00:00:00"/>
    <n v="2"/>
    <n v="23"/>
    <n v="2025"/>
    <x v="4"/>
    <s v="Q1"/>
    <x v="1"/>
  </r>
  <r>
    <s v="O105239"/>
    <x v="174"/>
    <x v="0"/>
    <x v="0"/>
    <x v="3"/>
    <x v="3"/>
    <n v="10"/>
    <n v="4644338"/>
    <d v="2025-11-15T00:00:00"/>
    <n v="11"/>
    <n v="15"/>
    <n v="2025"/>
    <x v="0"/>
    <s v="Q4"/>
    <x v="3"/>
  </r>
  <r>
    <s v="O108799"/>
    <x v="175"/>
    <x v="5"/>
    <x v="0"/>
    <x v="2"/>
    <x v="3"/>
    <n v="9"/>
    <n v="4642758"/>
    <d v="2026-06-19T00:00:00"/>
    <n v="6"/>
    <n v="19"/>
    <n v="2026"/>
    <x v="2"/>
    <s v="Q2"/>
    <x v="2"/>
  </r>
  <r>
    <s v="O104802"/>
    <x v="24"/>
    <x v="2"/>
    <x v="0"/>
    <x v="1"/>
    <x v="0"/>
    <n v="10"/>
    <n v="4641451"/>
    <d v="2025-10-19T00:00:00"/>
    <n v="10"/>
    <n v="19"/>
    <n v="2025"/>
    <x v="9"/>
    <s v="Q4"/>
    <x v="1"/>
  </r>
  <r>
    <s v="O100777"/>
    <x v="91"/>
    <x v="2"/>
    <x v="0"/>
    <x v="1"/>
    <x v="3"/>
    <n v="10"/>
    <n v="4639585"/>
    <d v="2025-02-17T00:00:00"/>
    <n v="2"/>
    <n v="17"/>
    <n v="2025"/>
    <x v="4"/>
    <s v="Q1"/>
    <x v="1"/>
  </r>
  <r>
    <s v="O110827"/>
    <x v="176"/>
    <x v="1"/>
    <x v="0"/>
    <x v="3"/>
    <x v="0"/>
    <n v="9"/>
    <n v="4634710"/>
    <d v="2026-10-20T00:00:00"/>
    <n v="10"/>
    <n v="20"/>
    <n v="2026"/>
    <x v="9"/>
    <s v="Q4"/>
    <x v="3"/>
  </r>
  <r>
    <s v="O108231"/>
    <x v="177"/>
    <x v="1"/>
    <x v="0"/>
    <x v="0"/>
    <x v="1"/>
    <n v="9"/>
    <n v="4629525"/>
    <d v="2026-05-16T00:00:00"/>
    <n v="5"/>
    <n v="16"/>
    <n v="2026"/>
    <x v="3"/>
    <s v="Q2"/>
    <x v="0"/>
  </r>
  <r>
    <s v="O100802"/>
    <x v="178"/>
    <x v="1"/>
    <x v="0"/>
    <x v="0"/>
    <x v="1"/>
    <n v="9"/>
    <n v="4629118"/>
    <d v="2025-02-18T00:00:00"/>
    <n v="2"/>
    <n v="18"/>
    <n v="2025"/>
    <x v="4"/>
    <s v="Q1"/>
    <x v="0"/>
  </r>
  <r>
    <s v="O107685"/>
    <x v="179"/>
    <x v="6"/>
    <x v="0"/>
    <x v="1"/>
    <x v="2"/>
    <n v="9"/>
    <n v="4628030"/>
    <s v="2026-02-30"/>
    <s v=""/>
    <s v=""/>
    <s v=""/>
    <x v="12"/>
    <e v="#VALUE!"/>
    <x v="1"/>
  </r>
  <r>
    <s v="O105528"/>
    <x v="180"/>
    <x v="1"/>
    <x v="0"/>
    <x v="2"/>
    <x v="3"/>
    <n v="9"/>
    <n v="4627513"/>
    <d v="2025-02-12T00:00:00"/>
    <n v="2"/>
    <n v="12"/>
    <n v="2025"/>
    <x v="4"/>
    <s v="Q1"/>
    <x v="2"/>
  </r>
  <r>
    <s v="O106326"/>
    <x v="181"/>
    <x v="8"/>
    <x v="0"/>
    <x v="2"/>
    <x v="2"/>
    <n v="10"/>
    <n v="4627474"/>
    <d v="2026-01-20T00:00:00"/>
    <n v="1"/>
    <n v="20"/>
    <n v="2026"/>
    <x v="6"/>
    <s v="Q1"/>
    <x v="2"/>
  </r>
  <r>
    <s v="O109654"/>
    <x v="113"/>
    <x v="10"/>
    <x v="0"/>
    <x v="4"/>
    <x v="3"/>
    <n v="10"/>
    <n v="4617945"/>
    <d v="2026-10-08T00:00:00"/>
    <n v="10"/>
    <n v="8"/>
    <n v="2026"/>
    <x v="9"/>
    <s v="Q4"/>
    <x v="4"/>
  </r>
  <r>
    <s v="O107099"/>
    <x v="182"/>
    <x v="3"/>
    <x v="0"/>
    <x v="0"/>
    <x v="2"/>
    <n v="10"/>
    <n v="4615846"/>
    <d v="2026-08-03T00:00:00"/>
    <n v="8"/>
    <n v="3"/>
    <n v="2026"/>
    <x v="8"/>
    <s v="Q3"/>
    <x v="0"/>
  </r>
  <r>
    <s v="O111866"/>
    <x v="183"/>
    <x v="8"/>
    <x v="0"/>
    <x v="1"/>
    <x v="1"/>
    <n v="10"/>
    <n v="4614566"/>
    <d v="2026-12-22T00:00:00"/>
    <n v="12"/>
    <n v="22"/>
    <n v="2026"/>
    <x v="7"/>
    <s v="Q4"/>
    <x v="1"/>
  </r>
  <r>
    <s v="O111646"/>
    <x v="184"/>
    <x v="4"/>
    <x v="0"/>
    <x v="4"/>
    <x v="3"/>
    <n v="10"/>
    <n v="4613039"/>
    <d v="2026-09-12T00:00:00"/>
    <n v="9"/>
    <n v="12"/>
    <n v="2026"/>
    <x v="1"/>
    <s v="Q3"/>
    <x v="4"/>
  </r>
  <r>
    <s v="O106690"/>
    <x v="185"/>
    <x v="5"/>
    <x v="0"/>
    <x v="2"/>
    <x v="0"/>
    <n v="9"/>
    <n v="4610983"/>
    <d v="2026-11-02T00:00:00"/>
    <n v="11"/>
    <n v="2"/>
    <n v="2026"/>
    <x v="0"/>
    <s v="Q4"/>
    <x v="2"/>
  </r>
  <r>
    <s v="O102285"/>
    <x v="186"/>
    <x v="9"/>
    <x v="0"/>
    <x v="2"/>
    <x v="0"/>
    <n v="9"/>
    <n v="4608207"/>
    <d v="2025-05-19T00:00:00"/>
    <n v="5"/>
    <n v="19"/>
    <n v="2025"/>
    <x v="3"/>
    <s v="Q2"/>
    <x v="2"/>
  </r>
  <r>
    <s v="O106005"/>
    <x v="187"/>
    <x v="0"/>
    <x v="0"/>
    <x v="2"/>
    <x v="3"/>
    <n v="10"/>
    <n v="4605448"/>
    <d v="2025-12-31T00:00:00"/>
    <n v="12"/>
    <n v="31"/>
    <n v="2025"/>
    <x v="7"/>
    <s v="Q4"/>
    <x v="2"/>
  </r>
  <r>
    <s v="O106954"/>
    <x v="188"/>
    <x v="10"/>
    <x v="0"/>
    <x v="2"/>
    <x v="3"/>
    <n v="9"/>
    <n v="4602656"/>
    <d v="2026-02-27T00:00:00"/>
    <n v="2"/>
    <n v="27"/>
    <n v="2026"/>
    <x v="4"/>
    <s v="Q1"/>
    <x v="2"/>
  </r>
  <r>
    <s v="O107387"/>
    <x v="189"/>
    <x v="6"/>
    <x v="0"/>
    <x v="3"/>
    <x v="0"/>
    <n v="9"/>
    <n v="4585969"/>
    <d v="2026-03-25T00:00:00"/>
    <n v="3"/>
    <n v="25"/>
    <n v="2026"/>
    <x v="5"/>
    <s v="Q1"/>
    <x v="3"/>
  </r>
  <r>
    <s v="O105581"/>
    <x v="179"/>
    <x v="2"/>
    <x v="0"/>
    <x v="1"/>
    <x v="1"/>
    <n v="9"/>
    <n v="4582305"/>
    <d v="2025-06-12T00:00:00"/>
    <n v="6"/>
    <n v="12"/>
    <n v="2025"/>
    <x v="2"/>
    <s v="Q2"/>
    <x v="1"/>
  </r>
  <r>
    <s v="O101577"/>
    <x v="190"/>
    <x v="3"/>
    <x v="0"/>
    <x v="1"/>
    <x v="3"/>
    <n v="10"/>
    <n v="4581769"/>
    <d v="2025-06-04T00:00:00"/>
    <n v="6"/>
    <n v="4"/>
    <n v="2025"/>
    <x v="2"/>
    <s v="Q2"/>
    <x v="1"/>
  </r>
  <r>
    <s v="O100881"/>
    <x v="141"/>
    <x v="4"/>
    <x v="0"/>
    <x v="4"/>
    <x v="2"/>
    <n v="9"/>
    <n v="4579236"/>
    <d v="2025-02-23T00:00:00"/>
    <n v="2"/>
    <n v="23"/>
    <n v="2025"/>
    <x v="4"/>
    <s v="Q1"/>
    <x v="4"/>
  </r>
  <r>
    <s v="O102987"/>
    <x v="39"/>
    <x v="1"/>
    <x v="0"/>
    <x v="0"/>
    <x v="2"/>
    <n v="10"/>
    <n v="4578316"/>
    <d v="2025-01-07T00:00:00"/>
    <n v="1"/>
    <n v="7"/>
    <n v="2025"/>
    <x v="6"/>
    <s v="Q1"/>
    <x v="0"/>
  </r>
  <r>
    <s v="O100974"/>
    <x v="182"/>
    <x v="5"/>
    <x v="0"/>
    <x v="2"/>
    <x v="3"/>
    <n v="9"/>
    <n v="4576800"/>
    <d v="2025-01-03T00:00:00"/>
    <n v="1"/>
    <n v="3"/>
    <n v="2025"/>
    <x v="6"/>
    <s v="Q1"/>
    <x v="2"/>
  </r>
  <r>
    <s v="O107997"/>
    <x v="191"/>
    <x v="5"/>
    <x v="0"/>
    <x v="1"/>
    <x v="3"/>
    <n v="10"/>
    <n v="4573524"/>
    <d v="2026-01-05T00:00:00"/>
    <n v="1"/>
    <n v="5"/>
    <n v="2026"/>
    <x v="6"/>
    <s v="Q1"/>
    <x v="1"/>
  </r>
  <r>
    <s v="O110795"/>
    <x v="192"/>
    <x v="8"/>
    <x v="0"/>
    <x v="1"/>
    <x v="1"/>
    <n v="9"/>
    <n v="4568679"/>
    <d v="2026-10-18T00:00:00"/>
    <n v="10"/>
    <n v="18"/>
    <n v="2026"/>
    <x v="9"/>
    <s v="Q4"/>
    <x v="1"/>
  </r>
  <r>
    <s v="O111352"/>
    <x v="166"/>
    <x v="5"/>
    <x v="0"/>
    <x v="2"/>
    <x v="0"/>
    <n v="10"/>
    <n v="4567595"/>
    <d v="2026-11-21T00:00:00"/>
    <n v="11"/>
    <n v="21"/>
    <n v="2026"/>
    <x v="0"/>
    <s v="Q4"/>
    <x v="2"/>
  </r>
  <r>
    <s v="O100902"/>
    <x v="61"/>
    <x v="8"/>
    <x v="0"/>
    <x v="2"/>
    <x v="0"/>
    <n v="10"/>
    <n v="4562139"/>
    <d v="2025-02-24T00:00:00"/>
    <n v="2"/>
    <n v="24"/>
    <n v="2025"/>
    <x v="4"/>
    <s v="Q1"/>
    <x v="2"/>
  </r>
  <r>
    <s v="O100410"/>
    <x v="41"/>
    <x v="9"/>
    <x v="0"/>
    <x v="0"/>
    <x v="0"/>
    <n v="10"/>
    <n v="4562041"/>
    <d v="2025-01-25T00:00:00"/>
    <n v="1"/>
    <n v="25"/>
    <n v="2025"/>
    <x v="6"/>
    <s v="Q1"/>
    <x v="0"/>
  </r>
  <r>
    <s v="O103041"/>
    <x v="94"/>
    <x v="9"/>
    <x v="0"/>
    <x v="1"/>
    <x v="0"/>
    <n v="9"/>
    <n v="4560007"/>
    <d v="2025-04-07T00:00:00"/>
    <n v="4"/>
    <n v="7"/>
    <n v="2025"/>
    <x v="11"/>
    <s v="Q2"/>
    <x v="1"/>
  </r>
  <r>
    <s v="O103481"/>
    <x v="193"/>
    <x v="8"/>
    <x v="0"/>
    <x v="4"/>
    <x v="1"/>
    <n v="9"/>
    <n v="4558131"/>
    <d v="2025-07-31T00:00:00"/>
    <n v="7"/>
    <n v="31"/>
    <n v="2025"/>
    <x v="10"/>
    <s v="Q3"/>
    <x v="4"/>
  </r>
  <r>
    <s v="O103911"/>
    <x v="194"/>
    <x v="10"/>
    <x v="0"/>
    <x v="4"/>
    <x v="0"/>
    <n v="9"/>
    <n v="4557985"/>
    <d v="2025-08-26T00:00:00"/>
    <n v="8"/>
    <n v="26"/>
    <n v="2025"/>
    <x v="8"/>
    <s v="Q3"/>
    <x v="4"/>
  </r>
  <r>
    <s v="O105894"/>
    <x v="195"/>
    <x v="6"/>
    <x v="0"/>
    <x v="4"/>
    <x v="1"/>
    <n v="10"/>
    <n v="4553577"/>
    <d v="2025-12-25T00:00:00"/>
    <n v="12"/>
    <n v="25"/>
    <n v="2025"/>
    <x v="7"/>
    <s v="Q4"/>
    <x v="4"/>
  </r>
  <r>
    <s v="O107380"/>
    <x v="196"/>
    <x v="2"/>
    <x v="0"/>
    <x v="4"/>
    <x v="2"/>
    <n v="9"/>
    <n v="4552825"/>
    <d v="2026-03-25T00:00:00"/>
    <n v="3"/>
    <n v="25"/>
    <n v="2026"/>
    <x v="5"/>
    <s v="Q1"/>
    <x v="4"/>
  </r>
  <r>
    <s v="O105816"/>
    <x v="197"/>
    <x v="10"/>
    <x v="0"/>
    <x v="2"/>
    <x v="1"/>
    <n v="9"/>
    <n v="4549640"/>
    <d v="2025-12-20T00:00:00"/>
    <n v="12"/>
    <n v="20"/>
    <n v="2025"/>
    <x v="7"/>
    <s v="Q4"/>
    <x v="2"/>
  </r>
  <r>
    <s v="O107753"/>
    <x v="198"/>
    <x v="4"/>
    <x v="0"/>
    <x v="2"/>
    <x v="2"/>
    <n v="10"/>
    <n v="4529171"/>
    <d v="2026-04-16T00:00:00"/>
    <n v="4"/>
    <n v="16"/>
    <n v="2026"/>
    <x v="11"/>
    <s v="Q2"/>
    <x v="2"/>
  </r>
  <r>
    <s v="O105150"/>
    <x v="199"/>
    <x v="2"/>
    <x v="0"/>
    <x v="0"/>
    <x v="2"/>
    <n v="10"/>
    <n v="4525688"/>
    <d v="2025-09-11T00:00:00"/>
    <n v="9"/>
    <n v="11"/>
    <n v="2025"/>
    <x v="1"/>
    <s v="Q3"/>
    <x v="0"/>
  </r>
  <r>
    <s v="O109936"/>
    <x v="200"/>
    <x v="0"/>
    <x v="0"/>
    <x v="0"/>
    <x v="1"/>
    <n v="10"/>
    <n v="4524022"/>
    <d v="2026-08-27T00:00:00"/>
    <n v="8"/>
    <n v="27"/>
    <n v="2026"/>
    <x v="8"/>
    <s v="Q3"/>
    <x v="0"/>
  </r>
  <r>
    <s v="O107376"/>
    <x v="201"/>
    <x v="6"/>
    <x v="0"/>
    <x v="1"/>
    <x v="0"/>
    <n v="9"/>
    <n v="4520581"/>
    <d v="2026-03-25T00:00:00"/>
    <n v="3"/>
    <n v="25"/>
    <n v="2026"/>
    <x v="5"/>
    <s v="Q1"/>
    <x v="1"/>
  </r>
  <r>
    <s v="O104279"/>
    <x v="202"/>
    <x v="2"/>
    <x v="0"/>
    <x v="4"/>
    <x v="0"/>
    <n v="9"/>
    <n v="4518344"/>
    <d v="2025-09-17T00:00:00"/>
    <n v="9"/>
    <n v="17"/>
    <n v="2025"/>
    <x v="1"/>
    <s v="Q3"/>
    <x v="4"/>
  </r>
  <r>
    <s v="O105532"/>
    <x v="203"/>
    <x v="4"/>
    <x v="0"/>
    <x v="2"/>
    <x v="0"/>
    <n v="10"/>
    <n v="4517883"/>
    <d v="2025-03-12T00:00:00"/>
    <n v="3"/>
    <n v="12"/>
    <n v="2025"/>
    <x v="5"/>
    <s v="Q1"/>
    <x v="2"/>
  </r>
  <r>
    <s v="O103589"/>
    <x v="30"/>
    <x v="9"/>
    <x v="0"/>
    <x v="0"/>
    <x v="0"/>
    <n v="10"/>
    <n v="4511065"/>
    <d v="2025-06-08T00:00:00"/>
    <n v="6"/>
    <n v="8"/>
    <n v="2025"/>
    <x v="2"/>
    <s v="Q2"/>
    <x v="0"/>
  </r>
  <r>
    <s v="O111451"/>
    <x v="204"/>
    <x v="10"/>
    <x v="0"/>
    <x v="4"/>
    <x v="2"/>
    <n v="10"/>
    <n v="4504612"/>
    <d v="2026-11-27T00:00:00"/>
    <n v="11"/>
    <n v="27"/>
    <n v="2026"/>
    <x v="0"/>
    <s v="Q4"/>
    <x v="4"/>
  </r>
  <r>
    <s v="O105035"/>
    <x v="164"/>
    <x v="9"/>
    <x v="0"/>
    <x v="2"/>
    <x v="2"/>
    <n v="10"/>
    <n v="4498480"/>
    <d v="2025-02-11T00:00:00"/>
    <n v="2"/>
    <n v="11"/>
    <n v="2025"/>
    <x v="4"/>
    <s v="Q1"/>
    <x v="2"/>
  </r>
  <r>
    <s v="O101603"/>
    <x v="205"/>
    <x v="1"/>
    <x v="0"/>
    <x v="1"/>
    <x v="0"/>
    <n v="8"/>
    <n v="4498392"/>
    <d v="2025-08-04T00:00:00"/>
    <n v="8"/>
    <n v="4"/>
    <n v="2025"/>
    <x v="8"/>
    <s v="Q3"/>
    <x v="1"/>
  </r>
  <r>
    <s v="O100611"/>
    <x v="206"/>
    <x v="5"/>
    <x v="0"/>
    <x v="1"/>
    <x v="3"/>
    <n v="8"/>
    <n v="4488318"/>
    <d v="2025-07-02T00:00:00"/>
    <n v="7"/>
    <n v="2"/>
    <n v="2025"/>
    <x v="10"/>
    <s v="Q3"/>
    <x v="1"/>
  </r>
  <r>
    <s v="O103535"/>
    <x v="207"/>
    <x v="0"/>
    <x v="0"/>
    <x v="1"/>
    <x v="0"/>
    <n v="8"/>
    <n v="4487927"/>
    <d v="2025-03-08T00:00:00"/>
    <n v="3"/>
    <n v="8"/>
    <n v="2025"/>
    <x v="5"/>
    <s v="Q1"/>
    <x v="1"/>
  </r>
  <r>
    <s v="O105847"/>
    <x v="208"/>
    <x v="10"/>
    <x v="0"/>
    <x v="3"/>
    <x v="1"/>
    <n v="9"/>
    <n v="4487347"/>
    <d v="2025-12-22T00:00:00"/>
    <n v="12"/>
    <n v="22"/>
    <n v="2025"/>
    <x v="7"/>
    <s v="Q4"/>
    <x v="3"/>
  </r>
  <r>
    <s v="O106405"/>
    <x v="209"/>
    <x v="7"/>
    <x v="0"/>
    <x v="2"/>
    <x v="3"/>
    <n v="9"/>
    <n v="4483793"/>
    <d v="2026-01-25T00:00:00"/>
    <n v="1"/>
    <n v="25"/>
    <n v="2026"/>
    <x v="6"/>
    <s v="Q1"/>
    <x v="2"/>
  </r>
  <r>
    <s v="O101651"/>
    <x v="61"/>
    <x v="8"/>
    <x v="0"/>
    <x v="4"/>
    <x v="3"/>
    <n v="9"/>
    <n v="4482391"/>
    <d v="2025-11-04T00:00:00"/>
    <n v="11"/>
    <n v="4"/>
    <n v="2025"/>
    <x v="0"/>
    <s v="Q4"/>
    <x v="4"/>
  </r>
  <r>
    <s v="O110788"/>
    <x v="210"/>
    <x v="6"/>
    <x v="0"/>
    <x v="3"/>
    <x v="1"/>
    <n v="8"/>
    <n v="4481354"/>
    <d v="2026-10-18T00:00:00"/>
    <n v="10"/>
    <n v="18"/>
    <n v="2026"/>
    <x v="9"/>
    <s v="Q4"/>
    <x v="3"/>
  </r>
  <r>
    <s v="O106877"/>
    <x v="211"/>
    <x v="8"/>
    <x v="0"/>
    <x v="0"/>
    <x v="2"/>
    <n v="9"/>
    <n v="4478412"/>
    <d v="2026-02-22T00:00:00"/>
    <n v="2"/>
    <n v="22"/>
    <n v="2026"/>
    <x v="4"/>
    <s v="Q1"/>
    <x v="0"/>
  </r>
  <r>
    <s v="O100515"/>
    <x v="142"/>
    <x v="8"/>
    <x v="1"/>
    <x v="4"/>
    <x v="2"/>
    <n v="9"/>
    <n v="4477599"/>
    <d v="2025-01-02T00:00:00"/>
    <n v="1"/>
    <n v="2"/>
    <n v="2025"/>
    <x v="6"/>
    <s v="Q1"/>
    <x v="4"/>
  </r>
  <r>
    <s v="O102220"/>
    <x v="212"/>
    <x v="5"/>
    <x v="0"/>
    <x v="4"/>
    <x v="2"/>
    <n v="8"/>
    <n v="4476952"/>
    <d v="2025-05-15T00:00:00"/>
    <n v="5"/>
    <n v="15"/>
    <n v="2025"/>
    <x v="3"/>
    <s v="Q2"/>
    <x v="4"/>
  </r>
  <r>
    <s v="O109168"/>
    <x v="40"/>
    <x v="9"/>
    <x v="0"/>
    <x v="4"/>
    <x v="0"/>
    <n v="9"/>
    <n v="4476652"/>
    <d v="2026-07-11T00:00:00"/>
    <n v="7"/>
    <n v="11"/>
    <n v="2026"/>
    <x v="10"/>
    <s v="Q3"/>
    <x v="4"/>
  </r>
  <r>
    <s v="O104845"/>
    <x v="213"/>
    <x v="8"/>
    <x v="0"/>
    <x v="2"/>
    <x v="0"/>
    <n v="8"/>
    <n v="4469330"/>
    <d v="2025-10-22T00:00:00"/>
    <n v="10"/>
    <n v="22"/>
    <n v="2025"/>
    <x v="9"/>
    <m/>
    <x v="2"/>
  </r>
  <r>
    <s v="O103543"/>
    <x v="214"/>
    <x v="0"/>
    <x v="0"/>
    <x v="1"/>
    <x v="2"/>
    <n v="8"/>
    <n v="4466188"/>
    <d v="2025-04-08T00:00:00"/>
    <n v="4"/>
    <n v="8"/>
    <n v="2025"/>
    <x v="11"/>
    <s v="Q2"/>
    <x v="1"/>
  </r>
  <r>
    <s v="O105082"/>
    <x v="133"/>
    <x v="9"/>
    <x v="0"/>
    <x v="1"/>
    <x v="1"/>
    <n v="9"/>
    <n v="4461709"/>
    <d v="2025-05-11T00:00:00"/>
    <n v="5"/>
    <n v="11"/>
    <n v="2025"/>
    <x v="3"/>
    <s v="Q2"/>
    <x v="1"/>
  </r>
  <r>
    <s v="O107204"/>
    <x v="215"/>
    <x v="4"/>
    <x v="0"/>
    <x v="4"/>
    <x v="0"/>
    <n v="10"/>
    <n v="4461078"/>
    <d v="2026-03-14T00:00:00"/>
    <n v="3"/>
    <n v="14"/>
    <n v="2026"/>
    <x v="5"/>
    <s v="Q1"/>
    <x v="4"/>
  </r>
  <r>
    <s v="O109971"/>
    <x v="216"/>
    <x v="8"/>
    <x v="0"/>
    <x v="2"/>
    <x v="1"/>
    <n v="8"/>
    <n v="4454296"/>
    <d v="2026-08-29T00:00:00"/>
    <n v="8"/>
    <n v="29"/>
    <n v="2026"/>
    <x v="8"/>
    <s v="Q3"/>
    <x v="2"/>
  </r>
  <r>
    <s v="O102781"/>
    <x v="217"/>
    <x v="5"/>
    <x v="0"/>
    <x v="0"/>
    <x v="0"/>
    <n v="8"/>
    <n v="4449462"/>
    <d v="2025-06-18T00:00:00"/>
    <n v="6"/>
    <n v="18"/>
    <n v="2025"/>
    <x v="2"/>
    <s v="Q2"/>
    <x v="0"/>
  </r>
  <r>
    <s v="O105537"/>
    <x v="218"/>
    <x v="2"/>
    <x v="0"/>
    <x v="2"/>
    <x v="1"/>
    <n v="10"/>
    <n v="4448155"/>
    <d v="2025-03-12T00:00:00"/>
    <n v="3"/>
    <n v="12"/>
    <n v="2025"/>
    <x v="5"/>
    <s v="Q1"/>
    <x v="2"/>
  </r>
  <r>
    <s v="O103850"/>
    <x v="23"/>
    <x v="0"/>
    <x v="0"/>
    <x v="0"/>
    <x v="1"/>
    <n v="10"/>
    <n v="4447017"/>
    <d v="2025-08-22T00:00:00"/>
    <n v="8"/>
    <n v="22"/>
    <n v="2025"/>
    <x v="8"/>
    <s v="Q3"/>
    <x v="0"/>
  </r>
  <r>
    <s v="O107002"/>
    <x v="219"/>
    <x v="9"/>
    <x v="0"/>
    <x v="3"/>
    <x v="0"/>
    <n v="10"/>
    <n v="4445431"/>
    <d v="2026-02-03T00:00:00"/>
    <n v="2"/>
    <n v="3"/>
    <n v="2026"/>
    <x v="4"/>
    <s v="Q1"/>
    <x v="3"/>
  </r>
  <r>
    <s v="O108651"/>
    <x v="220"/>
    <x v="8"/>
    <x v="0"/>
    <x v="3"/>
    <x v="1"/>
    <n v="9"/>
    <n v="4442123"/>
    <d v="2026-10-06T00:00:00"/>
    <n v="10"/>
    <n v="6"/>
    <n v="2026"/>
    <x v="9"/>
    <s v="Q4"/>
    <x v="3"/>
  </r>
  <r>
    <s v="O107680"/>
    <x v="221"/>
    <x v="6"/>
    <x v="0"/>
    <x v="1"/>
    <x v="2"/>
    <n v="8"/>
    <n v="4440460"/>
    <d v="2026-12-04T00:00:00"/>
    <n v="12"/>
    <n v="4"/>
    <n v="2026"/>
    <x v="7"/>
    <s v="Q4"/>
    <x v="1"/>
  </r>
  <r>
    <s v="O106042"/>
    <x v="222"/>
    <x v="3"/>
    <x v="0"/>
    <x v="0"/>
    <x v="2"/>
    <n v="8"/>
    <n v="4439311"/>
    <d v="2026-03-01T00:00:00"/>
    <n v="3"/>
    <n v="1"/>
    <n v="2026"/>
    <x v="5"/>
    <s v="Q1"/>
    <x v="0"/>
  </r>
  <r>
    <s v="O104332"/>
    <x v="223"/>
    <x v="0"/>
    <x v="0"/>
    <x v="0"/>
    <x v="2"/>
    <n v="8"/>
    <n v="4437691"/>
    <d v="2025-09-21T00:00:00"/>
    <n v="9"/>
    <n v="21"/>
    <n v="2025"/>
    <x v="1"/>
    <s v="Q3"/>
    <x v="0"/>
  </r>
  <r>
    <s v="O100856"/>
    <x v="224"/>
    <x v="2"/>
    <x v="0"/>
    <x v="1"/>
    <x v="3"/>
    <n v="9"/>
    <n v="4436632"/>
    <d v="2025-02-21T00:00:00"/>
    <n v="2"/>
    <n v="21"/>
    <n v="2025"/>
    <x v="4"/>
    <s v="Q1"/>
    <x v="1"/>
  </r>
  <r>
    <s v="O100301"/>
    <x v="225"/>
    <x v="4"/>
    <x v="0"/>
    <x v="1"/>
    <x v="1"/>
    <n v="8"/>
    <n v="4436004"/>
    <d v="2025-01-19T00:00:00"/>
    <n v="1"/>
    <n v="19"/>
    <n v="2025"/>
    <x v="6"/>
    <s v="Q1"/>
    <x v="1"/>
  </r>
  <r>
    <s v="O101904"/>
    <x v="226"/>
    <x v="0"/>
    <x v="0"/>
    <x v="2"/>
    <x v="0"/>
    <n v="10"/>
    <n v="4434277"/>
    <d v="2025-04-26T00:00:00"/>
    <n v="4"/>
    <n v="26"/>
    <n v="2025"/>
    <x v="11"/>
    <s v="Q2"/>
    <x v="2"/>
  </r>
  <r>
    <s v="O107266"/>
    <x v="227"/>
    <x v="3"/>
    <x v="0"/>
    <x v="2"/>
    <x v="1"/>
    <n v="8"/>
    <n v="4434259"/>
    <d v="2026-03-18T00:00:00"/>
    <n v="3"/>
    <n v="18"/>
    <n v="2026"/>
    <x v="5"/>
    <s v="Q1"/>
    <x v="2"/>
  </r>
  <r>
    <s v="O100600"/>
    <x v="228"/>
    <x v="2"/>
    <x v="0"/>
    <x v="4"/>
    <x v="0"/>
    <n v="10"/>
    <n v="4433848"/>
    <d v="2025-06-02T00:00:00"/>
    <n v="6"/>
    <n v="2"/>
    <n v="2025"/>
    <x v="2"/>
    <s v="Q2"/>
    <x v="4"/>
  </r>
  <r>
    <s v="O111732"/>
    <x v="193"/>
    <x v="0"/>
    <x v="0"/>
    <x v="0"/>
    <x v="3"/>
    <n v="10"/>
    <n v="4432577"/>
    <d v="2026-12-14T00:00:00"/>
    <n v="12"/>
    <n v="14"/>
    <n v="2026"/>
    <x v="7"/>
    <s v="Q4"/>
    <x v="0"/>
  </r>
  <r>
    <s v="O110459"/>
    <x v="145"/>
    <x v="8"/>
    <x v="0"/>
    <x v="1"/>
    <x v="2"/>
    <n v="8"/>
    <n v="4431941"/>
    <d v="2026-09-28T00:00:00"/>
    <n v="9"/>
    <n v="28"/>
    <n v="2026"/>
    <x v="1"/>
    <m/>
    <x v="1"/>
  </r>
  <r>
    <s v="O109480"/>
    <x v="229"/>
    <x v="0"/>
    <x v="0"/>
    <x v="4"/>
    <x v="0"/>
    <n v="9"/>
    <n v="4431912"/>
    <d v="2026-07-30T00:00:00"/>
    <n v="7"/>
    <n v="30"/>
    <n v="2026"/>
    <x v="10"/>
    <s v="Q3"/>
    <x v="4"/>
  </r>
  <r>
    <s v="O105292"/>
    <x v="230"/>
    <x v="9"/>
    <x v="0"/>
    <x v="0"/>
    <x v="1"/>
    <n v="9"/>
    <n v="4431820"/>
    <d v="2025-11-18T00:00:00"/>
    <n v="11"/>
    <n v="18"/>
    <n v="2025"/>
    <x v="0"/>
    <s v="Q4"/>
    <x v="0"/>
  </r>
  <r>
    <s v="O110065"/>
    <x v="155"/>
    <x v="4"/>
    <x v="0"/>
    <x v="3"/>
    <x v="3"/>
    <n v="9"/>
    <n v="4429848"/>
    <d v="2026-04-09T00:00:00"/>
    <n v="4"/>
    <n v="9"/>
    <n v="2026"/>
    <x v="11"/>
    <s v="Q2"/>
    <x v="3"/>
  </r>
  <r>
    <s v="O108343"/>
    <x v="231"/>
    <x v="10"/>
    <x v="0"/>
    <x v="4"/>
    <x v="3"/>
    <n v="8"/>
    <n v="4425084"/>
    <d v="2026-05-22T00:00:00"/>
    <n v="5"/>
    <n v="22"/>
    <n v="2026"/>
    <x v="3"/>
    <s v="Q2"/>
    <x v="4"/>
  </r>
  <r>
    <s v="O111626"/>
    <x v="232"/>
    <x v="2"/>
    <x v="0"/>
    <x v="1"/>
    <x v="0"/>
    <n v="10"/>
    <n v="4416869"/>
    <d v="2026-08-12T00:00:00"/>
    <n v="8"/>
    <n v="12"/>
    <n v="2026"/>
    <x v="8"/>
    <s v="Q3"/>
    <x v="1"/>
  </r>
  <r>
    <s v="O100607"/>
    <x v="148"/>
    <x v="8"/>
    <x v="0"/>
    <x v="3"/>
    <x v="2"/>
    <n v="9"/>
    <n v="4415548"/>
    <d v="2025-06-02T00:00:00"/>
    <n v="6"/>
    <n v="2"/>
    <n v="2025"/>
    <x v="2"/>
    <s v="Q2"/>
    <x v="3"/>
  </r>
  <r>
    <s v="O110794"/>
    <x v="233"/>
    <x v="10"/>
    <x v="0"/>
    <x v="1"/>
    <x v="1"/>
    <n v="10"/>
    <n v="4415366"/>
    <d v="2026-10-18T00:00:00"/>
    <n v="10"/>
    <n v="18"/>
    <n v="2026"/>
    <x v="9"/>
    <s v="Q4"/>
    <x v="1"/>
  </r>
  <r>
    <s v="O101292"/>
    <x v="234"/>
    <x v="9"/>
    <x v="0"/>
    <x v="3"/>
    <x v="1"/>
    <n v="9"/>
    <n v="4411438"/>
    <d v="2025-03-20T00:00:00"/>
    <n v="3"/>
    <n v="20"/>
    <n v="2025"/>
    <x v="5"/>
    <s v="Q1"/>
    <x v="3"/>
  </r>
  <r>
    <s v="O110613"/>
    <x v="100"/>
    <x v="5"/>
    <x v="0"/>
    <x v="1"/>
    <x v="3"/>
    <n v="8"/>
    <n v="4411328"/>
    <d v="2026-07-10T00:00:00"/>
    <n v="7"/>
    <n v="10"/>
    <n v="2026"/>
    <x v="10"/>
    <s v="Q3"/>
    <x v="1"/>
  </r>
  <r>
    <s v="O106499"/>
    <x v="148"/>
    <x v="10"/>
    <x v="0"/>
    <x v="0"/>
    <x v="2"/>
    <n v="10"/>
    <n v="4407476"/>
    <d v="2026-01-30T00:00:00"/>
    <n v="1"/>
    <n v="30"/>
    <n v="2026"/>
    <x v="6"/>
    <s v="Q1"/>
    <x v="0"/>
  </r>
  <r>
    <s v="O108136"/>
    <x v="235"/>
    <x v="9"/>
    <x v="0"/>
    <x v="2"/>
    <x v="1"/>
    <n v="9"/>
    <n v="4407381"/>
    <d v="2026-10-05T00:00:00"/>
    <n v="10"/>
    <n v="5"/>
    <n v="2026"/>
    <x v="9"/>
    <s v="Q4"/>
    <x v="2"/>
  </r>
  <r>
    <s v="O109487"/>
    <x v="80"/>
    <x v="10"/>
    <x v="0"/>
    <x v="3"/>
    <x v="3"/>
    <n v="9"/>
    <n v="4402064"/>
    <d v="2026-07-31T00:00:00"/>
    <n v="7"/>
    <n v="31"/>
    <n v="2026"/>
    <x v="10"/>
    <s v="Q3"/>
    <x v="3"/>
  </r>
  <r>
    <s v="O108456"/>
    <x v="68"/>
    <x v="5"/>
    <x v="0"/>
    <x v="3"/>
    <x v="0"/>
    <n v="9"/>
    <n v="4401440"/>
    <d v="2026-05-29T00:00:00"/>
    <n v="5"/>
    <n v="29"/>
    <n v="2026"/>
    <x v="3"/>
    <s v="Q2"/>
    <x v="3"/>
  </r>
  <r>
    <s v="O109510"/>
    <x v="236"/>
    <x v="10"/>
    <x v="0"/>
    <x v="1"/>
    <x v="2"/>
    <n v="10"/>
    <n v="4401345"/>
    <d v="2026-01-08T00:00:00"/>
    <n v="1"/>
    <n v="8"/>
    <n v="2026"/>
    <x v="6"/>
    <s v="Q1"/>
    <x v="1"/>
  </r>
  <r>
    <s v="O104421"/>
    <x v="237"/>
    <x v="5"/>
    <x v="0"/>
    <x v="4"/>
    <x v="1"/>
    <n v="9"/>
    <n v="4396802"/>
    <d v="2025-09-26T00:00:00"/>
    <n v="9"/>
    <n v="26"/>
    <n v="2025"/>
    <x v="1"/>
    <s v="Q3"/>
    <x v="4"/>
  </r>
  <r>
    <s v="O101622"/>
    <x v="238"/>
    <x v="1"/>
    <x v="0"/>
    <x v="4"/>
    <x v="0"/>
    <n v="9"/>
    <n v="4393964"/>
    <d v="2025-09-04T00:00:00"/>
    <n v="9"/>
    <n v="4"/>
    <n v="2025"/>
    <x v="1"/>
    <s v="Q3"/>
    <x v="4"/>
  </r>
  <r>
    <s v="O100169"/>
    <x v="83"/>
    <x v="0"/>
    <x v="0"/>
    <x v="2"/>
    <x v="2"/>
    <n v="8"/>
    <n v="4388272"/>
    <d v="2025-11-01T00:00:00"/>
    <n v="11"/>
    <n v="1"/>
    <n v="2025"/>
    <x v="0"/>
    <s v="Q4"/>
    <x v="2"/>
  </r>
  <r>
    <s v="O106242"/>
    <x v="239"/>
    <x v="3"/>
    <x v="0"/>
    <x v="4"/>
    <x v="2"/>
    <n v="8"/>
    <n v="4388002"/>
    <d v="2026-01-15T00:00:00"/>
    <n v="1"/>
    <n v="15"/>
    <n v="2026"/>
    <x v="6"/>
    <s v="Q1"/>
    <x v="4"/>
  </r>
  <r>
    <s v="O111047"/>
    <x v="240"/>
    <x v="8"/>
    <x v="0"/>
    <x v="4"/>
    <x v="0"/>
    <n v="8"/>
    <n v="4386244"/>
    <d v="2026-03-11T00:00:00"/>
    <n v="3"/>
    <n v="11"/>
    <n v="2026"/>
    <x v="5"/>
    <s v="Q1"/>
    <x v="4"/>
  </r>
  <r>
    <s v="O104868"/>
    <x v="241"/>
    <x v="8"/>
    <x v="0"/>
    <x v="0"/>
    <x v="1"/>
    <n v="8"/>
    <n v="4381662"/>
    <d v="2025-10-23T00:00:00"/>
    <n v="10"/>
    <n v="23"/>
    <n v="2025"/>
    <x v="9"/>
    <s v="Q4"/>
    <x v="0"/>
  </r>
  <r>
    <s v="O101765"/>
    <x v="242"/>
    <x v="8"/>
    <x v="0"/>
    <x v="2"/>
    <x v="2"/>
    <n v="9"/>
    <n v="4377573"/>
    <d v="2025-04-18T00:00:00"/>
    <n v="4"/>
    <n v="18"/>
    <n v="2025"/>
    <x v="11"/>
    <s v="Q2"/>
    <x v="2"/>
  </r>
  <r>
    <s v="O104966"/>
    <x v="243"/>
    <x v="3"/>
    <x v="0"/>
    <x v="1"/>
    <x v="0"/>
    <n v="8"/>
    <n v="4376508"/>
    <d v="2025-10-29T00:00:00"/>
    <n v="10"/>
    <n v="29"/>
    <n v="2025"/>
    <x v="9"/>
    <s v="Q4"/>
    <x v="1"/>
  </r>
  <r>
    <s v="O103960"/>
    <x v="37"/>
    <x v="1"/>
    <x v="0"/>
    <x v="1"/>
    <x v="1"/>
    <n v="8"/>
    <n v="4372999"/>
    <d v="2025-08-29T00:00:00"/>
    <n v="8"/>
    <n v="29"/>
    <n v="2025"/>
    <x v="8"/>
    <s v="Q3"/>
    <x v="1"/>
  </r>
  <r>
    <s v="O110195"/>
    <x v="244"/>
    <x v="8"/>
    <x v="0"/>
    <x v="1"/>
    <x v="3"/>
    <n v="8"/>
    <n v="4372904"/>
    <d v="2026-12-09T00:00:00"/>
    <n v="12"/>
    <n v="9"/>
    <n v="2026"/>
    <x v="7"/>
    <s v="Q4"/>
    <x v="1"/>
  </r>
  <r>
    <s v="O104255"/>
    <x v="245"/>
    <x v="5"/>
    <x v="0"/>
    <x v="3"/>
    <x v="0"/>
    <n v="9"/>
    <n v="4372054"/>
    <d v="2025-09-16T00:00:00"/>
    <n v="9"/>
    <n v="16"/>
    <n v="2025"/>
    <x v="1"/>
    <s v="Q3"/>
    <x v="3"/>
  </r>
  <r>
    <s v="O105380"/>
    <x v="246"/>
    <x v="0"/>
    <x v="0"/>
    <x v="1"/>
    <x v="2"/>
    <n v="9"/>
    <n v="4370529"/>
    <d v="2025-11-23T00:00:00"/>
    <n v="11"/>
    <n v="23"/>
    <n v="2025"/>
    <x v="0"/>
    <s v="Q4"/>
    <x v="1"/>
  </r>
  <r>
    <s v="O105178"/>
    <x v="247"/>
    <x v="8"/>
    <x v="0"/>
    <x v="4"/>
    <x v="0"/>
    <n v="10"/>
    <n v="4370457"/>
    <d v="2025-11-11T00:00:00"/>
    <n v="11"/>
    <n v="11"/>
    <n v="2025"/>
    <x v="0"/>
    <s v="Q4"/>
    <x v="4"/>
  </r>
  <r>
    <s v="O107806"/>
    <x v="248"/>
    <x v="10"/>
    <x v="0"/>
    <x v="2"/>
    <x v="1"/>
    <n v="9"/>
    <n v="4366262"/>
    <d v="2026-04-20T00:00:00"/>
    <n v="4"/>
    <n v="20"/>
    <n v="2026"/>
    <x v="11"/>
    <s v="Q2"/>
    <x v="2"/>
  </r>
  <r>
    <s v="O104915"/>
    <x v="249"/>
    <x v="2"/>
    <x v="0"/>
    <x v="0"/>
    <x v="3"/>
    <n v="8"/>
    <n v="4363316"/>
    <d v="2025-10-26T00:00:00"/>
    <n v="10"/>
    <n v="26"/>
    <n v="2025"/>
    <x v="9"/>
    <s v="Q4"/>
    <x v="0"/>
  </r>
  <r>
    <s v="O106711"/>
    <x v="250"/>
    <x v="0"/>
    <x v="0"/>
    <x v="1"/>
    <x v="1"/>
    <n v="8"/>
    <n v="4360401"/>
    <d v="2026-12-02T00:00:00"/>
    <n v="12"/>
    <n v="2"/>
    <n v="2026"/>
    <x v="7"/>
    <s v="Q4"/>
    <x v="1"/>
  </r>
  <r>
    <s v="O110256"/>
    <x v="251"/>
    <x v="5"/>
    <x v="0"/>
    <x v="2"/>
    <x v="0"/>
    <n v="8"/>
    <n v="4358008"/>
    <d v="2026-09-16T00:00:00"/>
    <n v="9"/>
    <n v="16"/>
    <n v="2026"/>
    <x v="1"/>
    <s v="Q3"/>
    <x v="2"/>
  </r>
  <r>
    <s v="O108262"/>
    <x v="181"/>
    <x v="9"/>
    <x v="0"/>
    <x v="3"/>
    <x v="3"/>
    <n v="9"/>
    <n v="4357510"/>
    <d v="2026-05-17T00:00:00"/>
    <n v="5"/>
    <n v="17"/>
    <n v="2026"/>
    <x v="3"/>
    <s v="Q2"/>
    <x v="3"/>
  </r>
  <r>
    <s v="O101720"/>
    <x v="200"/>
    <x v="0"/>
    <x v="0"/>
    <x v="0"/>
    <x v="3"/>
    <n v="8"/>
    <n v="4349145"/>
    <d v="2025-04-15T00:00:00"/>
    <n v="4"/>
    <n v="15"/>
    <n v="2025"/>
    <x v="11"/>
    <s v="Q2"/>
    <x v="0"/>
  </r>
  <r>
    <s v="O106903"/>
    <x v="182"/>
    <x v="5"/>
    <x v="0"/>
    <x v="2"/>
    <x v="1"/>
    <n v="9"/>
    <n v="4339140"/>
    <d v="2026-02-24T00:00:00"/>
    <n v="2"/>
    <n v="24"/>
    <n v="2026"/>
    <x v="4"/>
    <s v="Q1"/>
    <x v="2"/>
  </r>
  <r>
    <s v="O102011"/>
    <x v="128"/>
    <x v="1"/>
    <x v="0"/>
    <x v="4"/>
    <x v="0"/>
    <n v="9"/>
    <n v="4336694"/>
    <d v="2025-03-05T00:00:00"/>
    <n v="3"/>
    <n v="5"/>
    <n v="2025"/>
    <x v="5"/>
    <s v="Q1"/>
    <x v="4"/>
  </r>
  <r>
    <s v="O100214"/>
    <x v="252"/>
    <x v="4"/>
    <x v="0"/>
    <x v="3"/>
    <x v="2"/>
    <n v="8"/>
    <n v="4336368"/>
    <d v="2025-01-13T00:00:00"/>
    <n v="1"/>
    <n v="13"/>
    <n v="2025"/>
    <x v="6"/>
    <s v="Q1"/>
    <x v="3"/>
  </r>
  <r>
    <s v="O107727"/>
    <x v="253"/>
    <x v="1"/>
    <x v="0"/>
    <x v="1"/>
    <x v="1"/>
    <n v="8"/>
    <n v="4335738"/>
    <d v="2026-04-15T00:00:00"/>
    <n v="4"/>
    <n v="15"/>
    <n v="2026"/>
    <x v="11"/>
    <s v="Q2"/>
    <x v="1"/>
  </r>
  <r>
    <s v="O109446"/>
    <x v="138"/>
    <x v="5"/>
    <x v="0"/>
    <x v="0"/>
    <x v="1"/>
    <n v="10"/>
    <n v="4335434"/>
    <d v="2026-07-28T00:00:00"/>
    <n v="7"/>
    <n v="28"/>
    <n v="2026"/>
    <x v="10"/>
    <s v="Q3"/>
    <x v="0"/>
  </r>
  <r>
    <s v="O104447"/>
    <x v="254"/>
    <x v="6"/>
    <x v="0"/>
    <x v="2"/>
    <x v="1"/>
    <n v="10"/>
    <n v="4334992"/>
    <d v="2025-09-28T00:00:00"/>
    <n v="9"/>
    <n v="28"/>
    <n v="2025"/>
    <x v="1"/>
    <s v="Q3"/>
    <x v="2"/>
  </r>
  <r>
    <s v="O101372"/>
    <x v="178"/>
    <x v="0"/>
    <x v="0"/>
    <x v="4"/>
    <x v="0"/>
    <n v="10"/>
    <n v="4333622"/>
    <d v="2025-03-25T00:00:00"/>
    <n v="3"/>
    <n v="25"/>
    <n v="2025"/>
    <x v="5"/>
    <s v="Q1"/>
    <x v="4"/>
  </r>
  <r>
    <s v="O105566"/>
    <x v="144"/>
    <x v="0"/>
    <x v="0"/>
    <x v="3"/>
    <x v="0"/>
    <n v="8"/>
    <n v="4333396"/>
    <d v="2025-05-12T00:00:00"/>
    <n v="5"/>
    <n v="12"/>
    <n v="2025"/>
    <x v="3"/>
    <s v="Q2"/>
    <x v="3"/>
  </r>
  <r>
    <s v="O104156"/>
    <x v="238"/>
    <x v="5"/>
    <x v="0"/>
    <x v="4"/>
    <x v="0"/>
    <n v="8"/>
    <n v="4331122"/>
    <d v="2025-10-09T00:00:00"/>
    <n v="10"/>
    <n v="9"/>
    <n v="2025"/>
    <x v="9"/>
    <s v="Q4"/>
    <x v="4"/>
  </r>
  <r>
    <s v="O105724"/>
    <x v="255"/>
    <x v="6"/>
    <x v="0"/>
    <x v="1"/>
    <x v="1"/>
    <n v="10"/>
    <n v="4329906"/>
    <d v="2025-12-14T00:00:00"/>
    <n v="12"/>
    <n v="14"/>
    <n v="2025"/>
    <x v="7"/>
    <s v="Q4"/>
    <x v="1"/>
  </r>
  <r>
    <s v="O103402"/>
    <x v="256"/>
    <x v="3"/>
    <x v="0"/>
    <x v="0"/>
    <x v="2"/>
    <n v="10"/>
    <n v="4328074"/>
    <d v="2025-07-26T00:00:00"/>
    <n v="7"/>
    <n v="26"/>
    <n v="2025"/>
    <x v="10"/>
    <s v="Q3"/>
    <x v="0"/>
  </r>
  <r>
    <s v="O111649"/>
    <x v="62"/>
    <x v="4"/>
    <x v="0"/>
    <x v="1"/>
    <x v="0"/>
    <n v="8"/>
    <n v="4327887"/>
    <d v="2026-09-12T00:00:00"/>
    <n v="9"/>
    <n v="12"/>
    <n v="2026"/>
    <x v="1"/>
    <s v="Q3"/>
    <x v="1"/>
  </r>
  <r>
    <s v="O104361"/>
    <x v="257"/>
    <x v="2"/>
    <x v="0"/>
    <x v="4"/>
    <x v="3"/>
    <n v="9"/>
    <n v="4327502"/>
    <d v="2025-09-22T00:00:00"/>
    <n v="9"/>
    <n v="22"/>
    <n v="2025"/>
    <x v="1"/>
    <s v="Q3"/>
    <x v="4"/>
  </r>
  <r>
    <s v="O109860"/>
    <x v="258"/>
    <x v="5"/>
    <x v="0"/>
    <x v="2"/>
    <x v="3"/>
    <n v="10"/>
    <n v="4323166"/>
    <d v="2026-08-22T00:00:00"/>
    <n v="8"/>
    <n v="22"/>
    <n v="2026"/>
    <x v="8"/>
    <m/>
    <x v="2"/>
  </r>
  <r>
    <s v="O110898"/>
    <x v="69"/>
    <x v="8"/>
    <x v="0"/>
    <x v="0"/>
    <x v="3"/>
    <n v="9"/>
    <n v="4318551"/>
    <d v="2026-10-25T00:00:00"/>
    <n v="10"/>
    <n v="25"/>
    <n v="2026"/>
    <x v="9"/>
    <s v="Q4"/>
    <x v="0"/>
  </r>
  <r>
    <s v="O106106"/>
    <x v="35"/>
    <x v="3"/>
    <x v="0"/>
    <x v="1"/>
    <x v="1"/>
    <n v="9"/>
    <n v="4308071"/>
    <d v="2026-06-01T00:00:00"/>
    <n v="6"/>
    <n v="1"/>
    <n v="2026"/>
    <x v="2"/>
    <s v="Q2"/>
    <x v="1"/>
  </r>
  <r>
    <s v="O103355"/>
    <x v="44"/>
    <x v="6"/>
    <x v="0"/>
    <x v="0"/>
    <x v="1"/>
    <n v="8"/>
    <n v="4305142"/>
    <d v="2025-07-23T00:00:00"/>
    <n v="7"/>
    <n v="23"/>
    <n v="2025"/>
    <x v="10"/>
    <s v="Q3"/>
    <x v="0"/>
  </r>
  <r>
    <s v="O111511"/>
    <x v="130"/>
    <x v="8"/>
    <x v="0"/>
    <x v="1"/>
    <x v="1"/>
    <n v="10"/>
    <n v="4295827"/>
    <d v="2026-01-12T00:00:00"/>
    <n v="1"/>
    <n v="12"/>
    <n v="2026"/>
    <x v="6"/>
    <s v="Q1"/>
    <x v="1"/>
  </r>
  <r>
    <s v="O107331"/>
    <x v="117"/>
    <x v="1"/>
    <x v="0"/>
    <x v="2"/>
    <x v="2"/>
    <n v="8"/>
    <n v="4292024"/>
    <d v="2026-03-22T00:00:00"/>
    <n v="3"/>
    <n v="22"/>
    <n v="2026"/>
    <x v="5"/>
    <s v="Q1"/>
    <x v="2"/>
  </r>
  <r>
    <s v="O101112"/>
    <x v="259"/>
    <x v="3"/>
    <x v="0"/>
    <x v="3"/>
    <x v="2"/>
    <n v="8"/>
    <n v="4288322"/>
    <d v="2025-09-03T00:00:00"/>
    <n v="9"/>
    <n v="3"/>
    <n v="2025"/>
    <x v="1"/>
    <s v="Q3"/>
    <x v="3"/>
  </r>
  <r>
    <s v="O104062"/>
    <x v="11"/>
    <x v="6"/>
    <x v="0"/>
    <x v="0"/>
    <x v="2"/>
    <n v="8"/>
    <n v="4285248"/>
    <d v="2025-04-09T00:00:00"/>
    <n v="4"/>
    <n v="9"/>
    <n v="2025"/>
    <x v="11"/>
    <s v="Q2"/>
    <x v="0"/>
  </r>
  <r>
    <s v="O106712"/>
    <x v="106"/>
    <x v="4"/>
    <x v="0"/>
    <x v="2"/>
    <x v="2"/>
    <n v="8"/>
    <n v="4285185"/>
    <d v="2026-12-02T00:00:00"/>
    <n v="12"/>
    <n v="2"/>
    <n v="2026"/>
    <x v="7"/>
    <s v="Q4"/>
    <x v="2"/>
  </r>
  <r>
    <s v="O108999"/>
    <x v="260"/>
    <x v="3"/>
    <x v="0"/>
    <x v="1"/>
    <x v="1"/>
    <n v="9"/>
    <n v="4282513"/>
    <d v="2026-01-07T00:00:00"/>
    <n v="1"/>
    <n v="7"/>
    <n v="2026"/>
    <x v="6"/>
    <s v="Q1"/>
    <x v="1"/>
  </r>
  <r>
    <s v="O101593"/>
    <x v="261"/>
    <x v="0"/>
    <x v="0"/>
    <x v="3"/>
    <x v="1"/>
    <n v="10"/>
    <n v="4280560"/>
    <d v="2025-07-04T00:00:00"/>
    <n v="7"/>
    <n v="4"/>
    <n v="2025"/>
    <x v="10"/>
    <s v="Q3"/>
    <x v="3"/>
  </r>
  <r>
    <s v="O105450"/>
    <x v="262"/>
    <x v="10"/>
    <x v="0"/>
    <x v="4"/>
    <x v="2"/>
    <n v="8"/>
    <n v="4279333"/>
    <d v="2025-11-28T00:00:00"/>
    <n v="11"/>
    <n v="28"/>
    <n v="2025"/>
    <x v="0"/>
    <s v="Q4"/>
    <x v="4"/>
  </r>
  <r>
    <s v="O108471"/>
    <x v="263"/>
    <x v="2"/>
    <x v="0"/>
    <x v="2"/>
    <x v="0"/>
    <n v="9"/>
    <n v="4276320"/>
    <d v="2026-05-30T00:00:00"/>
    <n v="5"/>
    <n v="30"/>
    <n v="2026"/>
    <x v="3"/>
    <s v="Q2"/>
    <x v="2"/>
  </r>
  <r>
    <s v="O109874"/>
    <x v="264"/>
    <x v="0"/>
    <x v="0"/>
    <x v="2"/>
    <x v="0"/>
    <n v="10"/>
    <n v="4273306"/>
    <d v="2026-08-23T00:00:00"/>
    <n v="8"/>
    <n v="23"/>
    <n v="2026"/>
    <x v="8"/>
    <s v="Q3"/>
    <x v="2"/>
  </r>
  <r>
    <s v="O103983"/>
    <x v="15"/>
    <x v="6"/>
    <x v="0"/>
    <x v="1"/>
    <x v="1"/>
    <n v="8"/>
    <n v="4272594"/>
    <d v="2025-08-30T00:00:00"/>
    <n v="8"/>
    <n v="30"/>
    <n v="2025"/>
    <x v="8"/>
    <s v="Q3"/>
    <x v="1"/>
  </r>
  <r>
    <s v="O111810"/>
    <x v="244"/>
    <x v="10"/>
    <x v="0"/>
    <x v="4"/>
    <x v="3"/>
    <n v="8"/>
    <n v="4260044"/>
    <d v="2026-12-19T00:00:00"/>
    <n v="12"/>
    <n v="19"/>
    <n v="2026"/>
    <x v="7"/>
    <s v="Q4"/>
    <x v="4"/>
  </r>
  <r>
    <s v="O106626"/>
    <x v="265"/>
    <x v="0"/>
    <x v="0"/>
    <x v="4"/>
    <x v="3"/>
    <n v="10"/>
    <n v="4257864"/>
    <d v="2026-07-02T00:00:00"/>
    <n v="7"/>
    <n v="2"/>
    <n v="2026"/>
    <x v="10"/>
    <s v="Q3"/>
    <x v="4"/>
  </r>
  <r>
    <s v="O111750"/>
    <x v="262"/>
    <x v="9"/>
    <x v="0"/>
    <x v="0"/>
    <x v="1"/>
    <n v="8"/>
    <n v="4256203"/>
    <d v="2026-12-15T00:00:00"/>
    <n v="12"/>
    <n v="15"/>
    <n v="2026"/>
    <x v="7"/>
    <s v="Q4"/>
    <x v="0"/>
  </r>
  <r>
    <s v="O105030"/>
    <x v="266"/>
    <x v="2"/>
    <x v="0"/>
    <x v="3"/>
    <x v="2"/>
    <n v="10"/>
    <n v="4253796"/>
    <d v="2025-02-11T00:00:00"/>
    <n v="2"/>
    <n v="11"/>
    <n v="2025"/>
    <x v="4"/>
    <s v="Q1"/>
    <x v="3"/>
  </r>
  <r>
    <s v="O102748"/>
    <x v="53"/>
    <x v="8"/>
    <x v="0"/>
    <x v="2"/>
    <x v="2"/>
    <n v="10"/>
    <n v="4253138"/>
    <d v="2025-06-16T00:00:00"/>
    <n v="6"/>
    <n v="16"/>
    <n v="2025"/>
    <x v="2"/>
    <s v="Q2"/>
    <x v="2"/>
  </r>
  <r>
    <s v="O111268"/>
    <x v="267"/>
    <x v="9"/>
    <x v="0"/>
    <x v="0"/>
    <x v="3"/>
    <n v="9"/>
    <n v="4249971"/>
    <d v="2026-11-16T00:00:00"/>
    <n v="11"/>
    <n v="16"/>
    <n v="2026"/>
    <x v="0"/>
    <s v="Q4"/>
    <x v="0"/>
  </r>
  <r>
    <s v="O100455"/>
    <x v="122"/>
    <x v="2"/>
    <x v="0"/>
    <x v="4"/>
    <x v="1"/>
    <n v="10"/>
    <n v="4249826"/>
    <d v="2025-01-28T00:00:00"/>
    <n v="1"/>
    <n v="28"/>
    <n v="2025"/>
    <x v="6"/>
    <s v="Q1"/>
    <x v="4"/>
  </r>
  <r>
    <s v="O109474"/>
    <x v="78"/>
    <x v="6"/>
    <x v="0"/>
    <x v="1"/>
    <x v="2"/>
    <n v="8"/>
    <n v="4249433"/>
    <d v="2026-07-30T00:00:00"/>
    <n v="7"/>
    <n v="30"/>
    <n v="2026"/>
    <x v="10"/>
    <s v="Q3"/>
    <x v="1"/>
  </r>
  <r>
    <s v="O110511"/>
    <x v="268"/>
    <x v="3"/>
    <x v="0"/>
    <x v="4"/>
    <x v="1"/>
    <n v="10"/>
    <n v="4248136"/>
    <d v="2026-01-10T00:00:00"/>
    <n v="1"/>
    <n v="10"/>
    <n v="2026"/>
    <x v="6"/>
    <s v="Q1"/>
    <x v="4"/>
  </r>
  <r>
    <s v="O103488"/>
    <x v="269"/>
    <x v="2"/>
    <x v="0"/>
    <x v="1"/>
    <x v="1"/>
    <n v="9"/>
    <n v="4247673"/>
    <d v="2025-07-31T00:00:00"/>
    <n v="7"/>
    <n v="31"/>
    <n v="2025"/>
    <x v="10"/>
    <s v="Q3"/>
    <x v="1"/>
  </r>
  <r>
    <s v="O109411"/>
    <x v="270"/>
    <x v="10"/>
    <x v="0"/>
    <x v="3"/>
    <x v="2"/>
    <n v="8"/>
    <n v="4241444"/>
    <d v="2026-07-26T00:00:00"/>
    <n v="7"/>
    <n v="26"/>
    <n v="2026"/>
    <x v="10"/>
    <s v="Q3"/>
    <x v="3"/>
  </r>
  <r>
    <s v="O108098"/>
    <x v="271"/>
    <x v="8"/>
    <x v="0"/>
    <x v="4"/>
    <x v="3"/>
    <n v="9"/>
    <n v="4237488"/>
    <d v="2026-07-05T00:00:00"/>
    <n v="7"/>
    <n v="5"/>
    <n v="2026"/>
    <x v="10"/>
    <s v="Q3"/>
    <x v="4"/>
  </r>
  <r>
    <s v="O107575"/>
    <x v="116"/>
    <x v="9"/>
    <x v="0"/>
    <x v="0"/>
    <x v="2"/>
    <n v="8"/>
    <n v="4234093"/>
    <d v="2026-06-04T00:00:00"/>
    <n v="6"/>
    <n v="4"/>
    <n v="2026"/>
    <x v="2"/>
    <s v="Q2"/>
    <x v="0"/>
  </r>
  <r>
    <s v="O105066"/>
    <x v="272"/>
    <x v="3"/>
    <x v="0"/>
    <x v="2"/>
    <x v="0"/>
    <n v="9"/>
    <n v="4233429"/>
    <d v="2025-04-11T00:00:00"/>
    <n v="4"/>
    <n v="11"/>
    <n v="2025"/>
    <x v="11"/>
    <s v="Q2"/>
    <x v="2"/>
  </r>
  <r>
    <s v="O100819"/>
    <x v="273"/>
    <x v="10"/>
    <x v="0"/>
    <x v="1"/>
    <x v="2"/>
    <n v="10"/>
    <n v="4230862"/>
    <d v="2025-02-19T00:00:00"/>
    <n v="2"/>
    <n v="19"/>
    <n v="2025"/>
    <x v="4"/>
    <s v="Q1"/>
    <x v="1"/>
  </r>
  <r>
    <s v="O103627"/>
    <x v="274"/>
    <x v="10"/>
    <x v="0"/>
    <x v="4"/>
    <x v="1"/>
    <n v="9"/>
    <n v="4225879"/>
    <d v="2025-09-08T00:00:00"/>
    <n v="9"/>
    <n v="8"/>
    <n v="2025"/>
    <x v="1"/>
    <s v="Q3"/>
    <x v="4"/>
  </r>
  <r>
    <s v="O102113"/>
    <x v="146"/>
    <x v="8"/>
    <x v="0"/>
    <x v="5"/>
    <x v="1"/>
    <n v="8"/>
    <n v="4225364"/>
    <d v="2025-09-05T00:00:00"/>
    <n v="9"/>
    <n v="5"/>
    <n v="2025"/>
    <x v="1"/>
    <s v="Q3"/>
    <x v="5"/>
  </r>
  <r>
    <s v="O103305"/>
    <x v="275"/>
    <x v="5"/>
    <x v="0"/>
    <x v="2"/>
    <x v="0"/>
    <n v="9"/>
    <n v="4224553"/>
    <d v="2025-07-20T00:00:00"/>
    <n v="7"/>
    <n v="20"/>
    <n v="2025"/>
    <x v="10"/>
    <s v="Q3"/>
    <x v="2"/>
  </r>
  <r>
    <s v="O104552"/>
    <x v="276"/>
    <x v="1"/>
    <x v="0"/>
    <x v="3"/>
    <x v="2"/>
    <n v="9"/>
    <n v="4222837"/>
    <d v="2025-04-10T00:00:00"/>
    <n v="4"/>
    <n v="10"/>
    <n v="2025"/>
    <x v="11"/>
    <s v="Q2"/>
    <x v="3"/>
  </r>
  <r>
    <s v="O109355"/>
    <x v="277"/>
    <x v="2"/>
    <x v="0"/>
    <x v="1"/>
    <x v="2"/>
    <n v="10"/>
    <n v="4220253"/>
    <d v="2026-07-23T00:00:00"/>
    <n v="7"/>
    <n v="23"/>
    <n v="2026"/>
    <x v="10"/>
    <s v="Q3"/>
    <x v="1"/>
  </r>
  <r>
    <s v="O107858"/>
    <x v="5"/>
    <x v="0"/>
    <x v="0"/>
    <x v="3"/>
    <x v="0"/>
    <n v="9"/>
    <n v="4218681"/>
    <d v="2026-04-23T00:00:00"/>
    <n v="4"/>
    <n v="23"/>
    <n v="2026"/>
    <x v="11"/>
    <s v="Q2"/>
    <x v="3"/>
  </r>
  <r>
    <s v="O101717"/>
    <x v="29"/>
    <x v="10"/>
    <x v="0"/>
    <x v="3"/>
    <x v="1"/>
    <n v="8"/>
    <n v="4215377"/>
    <d v="2025-04-15T00:00:00"/>
    <n v="4"/>
    <n v="15"/>
    <n v="2025"/>
    <x v="11"/>
    <s v="Q2"/>
    <x v="3"/>
  </r>
  <r>
    <s v="O108759"/>
    <x v="191"/>
    <x v="9"/>
    <x v="0"/>
    <x v="0"/>
    <x v="3"/>
    <n v="8"/>
    <n v="4212566"/>
    <d v="2026-06-17T00:00:00"/>
    <n v="6"/>
    <n v="17"/>
    <n v="2026"/>
    <x v="2"/>
    <s v="Q2"/>
    <x v="0"/>
  </r>
  <r>
    <s v="O101366"/>
    <x v="278"/>
    <x v="8"/>
    <x v="0"/>
    <x v="4"/>
    <x v="2"/>
    <n v="8"/>
    <n v="4212275"/>
    <d v="2025-03-24T00:00:00"/>
    <n v="3"/>
    <n v="24"/>
    <n v="2025"/>
    <x v="5"/>
    <s v="Q1"/>
    <x v="4"/>
  </r>
  <r>
    <s v="O108971"/>
    <x v="279"/>
    <x v="4"/>
    <x v="0"/>
    <x v="4"/>
    <x v="3"/>
    <n v="8"/>
    <n v="4212117"/>
    <d v="2026-06-29T00:00:00"/>
    <n v="6"/>
    <n v="29"/>
    <n v="2026"/>
    <x v="2"/>
    <s v="Q2"/>
    <x v="4"/>
  </r>
  <r>
    <s v="O108370"/>
    <x v="196"/>
    <x v="10"/>
    <x v="0"/>
    <x v="4"/>
    <x v="2"/>
    <n v="8"/>
    <n v="4209644"/>
    <d v="2026-05-24T00:00:00"/>
    <n v="5"/>
    <n v="24"/>
    <n v="2026"/>
    <x v="3"/>
    <s v="Q2"/>
    <x v="4"/>
  </r>
  <r>
    <s v="O105739"/>
    <x v="194"/>
    <x v="5"/>
    <x v="0"/>
    <x v="1"/>
    <x v="0"/>
    <n v="9"/>
    <n v="4209232"/>
    <d v="2025-12-15T00:00:00"/>
    <n v="12"/>
    <n v="15"/>
    <n v="2025"/>
    <x v="7"/>
    <s v="Q4"/>
    <x v="1"/>
  </r>
  <r>
    <s v="O107048"/>
    <x v="280"/>
    <x v="3"/>
    <x v="0"/>
    <x v="0"/>
    <x v="3"/>
    <n v="9"/>
    <n v="4207058"/>
    <d v="2026-05-03T00:00:00"/>
    <n v="5"/>
    <n v="3"/>
    <n v="2026"/>
    <x v="3"/>
    <s v="Q2"/>
    <x v="0"/>
  </r>
  <r>
    <s v="O106878"/>
    <x v="251"/>
    <x v="0"/>
    <x v="0"/>
    <x v="2"/>
    <x v="3"/>
    <n v="8"/>
    <n v="4204459"/>
    <d v="2026-02-22T00:00:00"/>
    <n v="2"/>
    <n v="22"/>
    <n v="2026"/>
    <x v="4"/>
    <s v="Q1"/>
    <x v="2"/>
  </r>
  <r>
    <s v="O106989"/>
    <x v="37"/>
    <x v="3"/>
    <x v="0"/>
    <x v="3"/>
    <x v="0"/>
    <n v="8"/>
    <n v="4200703"/>
    <d v="2026-01-03T00:00:00"/>
    <n v="1"/>
    <n v="3"/>
    <n v="2026"/>
    <x v="6"/>
    <s v="Q1"/>
    <x v="3"/>
  </r>
  <r>
    <s v="O103674"/>
    <x v="91"/>
    <x v="6"/>
    <x v="0"/>
    <x v="2"/>
    <x v="2"/>
    <n v="10"/>
    <n v="4200423"/>
    <d v="2025-12-08T00:00:00"/>
    <n v="12"/>
    <n v="8"/>
    <n v="2025"/>
    <x v="7"/>
    <s v="Q4"/>
    <x v="2"/>
  </r>
  <r>
    <s v="O106589"/>
    <x v="281"/>
    <x v="8"/>
    <x v="0"/>
    <x v="1"/>
    <x v="0"/>
    <n v="8"/>
    <n v="4198488"/>
    <d v="2026-05-02T00:00:00"/>
    <n v="5"/>
    <n v="2"/>
    <n v="2026"/>
    <x v="3"/>
    <s v="Q2"/>
    <x v="1"/>
  </r>
  <r>
    <s v="O100401"/>
    <x v="248"/>
    <x v="4"/>
    <x v="0"/>
    <x v="1"/>
    <x v="1"/>
    <n v="9"/>
    <n v="4197823"/>
    <d v="2025-01-25T00:00:00"/>
    <n v="1"/>
    <n v="25"/>
    <n v="2025"/>
    <x v="6"/>
    <s v="Q1"/>
    <x v="1"/>
  </r>
  <r>
    <s v="O109221"/>
    <x v="282"/>
    <x v="1"/>
    <x v="0"/>
    <x v="4"/>
    <x v="0"/>
    <n v="8"/>
    <n v="4195539"/>
    <d v="2026-07-15T00:00:00"/>
    <n v="7"/>
    <n v="15"/>
    <n v="2026"/>
    <x v="10"/>
    <s v="Q3"/>
    <x v="4"/>
  </r>
  <r>
    <s v="O102880"/>
    <x v="283"/>
    <x v="9"/>
    <x v="0"/>
    <x v="0"/>
    <x v="1"/>
    <n v="10"/>
    <n v="4191162"/>
    <d v="2025-06-24T00:00:00"/>
    <n v="6"/>
    <n v="24"/>
    <n v="2025"/>
    <x v="2"/>
    <s v="Q2"/>
    <x v="0"/>
  </r>
  <r>
    <s v="O111338"/>
    <x v="81"/>
    <x v="3"/>
    <x v="0"/>
    <x v="2"/>
    <x v="1"/>
    <n v="8"/>
    <n v="4190834"/>
    <d v="2026-11-20T00:00:00"/>
    <n v="11"/>
    <n v="20"/>
    <n v="2026"/>
    <x v="0"/>
    <s v="Q4"/>
    <x v="2"/>
  </r>
  <r>
    <s v="O110502"/>
    <x v="284"/>
    <x v="0"/>
    <x v="0"/>
    <x v="0"/>
    <x v="1"/>
    <n v="10"/>
    <n v="4190597"/>
    <d v="2026-09-30T00:00:00"/>
    <n v="9"/>
    <n v="30"/>
    <n v="2026"/>
    <x v="1"/>
    <s v="Q3"/>
    <x v="0"/>
  </r>
  <r>
    <s v="O100614"/>
    <x v="48"/>
    <x v="0"/>
    <x v="0"/>
    <x v="1"/>
    <x v="2"/>
    <n v="9"/>
    <n v="4189085"/>
    <d v="2025-07-02T00:00:00"/>
    <n v="7"/>
    <n v="2"/>
    <n v="2025"/>
    <x v="10"/>
    <s v="Q3"/>
    <x v="1"/>
  </r>
  <r>
    <s v="O108266"/>
    <x v="285"/>
    <x v="9"/>
    <x v="0"/>
    <x v="3"/>
    <x v="2"/>
    <n v="8"/>
    <n v="4188418"/>
    <d v="2026-05-18T00:00:00"/>
    <n v="5"/>
    <n v="18"/>
    <n v="2026"/>
    <x v="3"/>
    <s v="Q2"/>
    <x v="3"/>
  </r>
  <r>
    <s v="O107881"/>
    <x v="286"/>
    <x v="3"/>
    <x v="0"/>
    <x v="0"/>
    <x v="0"/>
    <n v="10"/>
    <n v="4187486"/>
    <d v="2026-04-24T00:00:00"/>
    <n v="4"/>
    <n v="24"/>
    <n v="2026"/>
    <x v="11"/>
    <s v="Q2"/>
    <x v="0"/>
  </r>
  <r>
    <s v="O110250"/>
    <x v="287"/>
    <x v="5"/>
    <x v="0"/>
    <x v="1"/>
    <x v="0"/>
    <n v="10"/>
    <n v="4185577"/>
    <d v="2026-09-15T00:00:00"/>
    <n v="9"/>
    <n v="15"/>
    <n v="2026"/>
    <x v="1"/>
    <s v="Q3"/>
    <x v="1"/>
  </r>
  <r>
    <s v="O105593"/>
    <x v="288"/>
    <x v="9"/>
    <x v="0"/>
    <x v="1"/>
    <x v="3"/>
    <n v="8"/>
    <n v="4185126"/>
    <d v="2025-06-12T00:00:00"/>
    <n v="6"/>
    <n v="12"/>
    <n v="2025"/>
    <x v="2"/>
    <s v="Q2"/>
    <x v="1"/>
  </r>
  <r>
    <s v="O104388"/>
    <x v="289"/>
    <x v="9"/>
    <x v="0"/>
    <x v="4"/>
    <x v="1"/>
    <n v="8"/>
    <n v="4180832"/>
    <d v="2025-09-24T00:00:00"/>
    <n v="9"/>
    <n v="24"/>
    <n v="2025"/>
    <x v="1"/>
    <s v="Q3"/>
    <x v="4"/>
  </r>
  <r>
    <s v="O110882"/>
    <x v="290"/>
    <x v="9"/>
    <x v="0"/>
    <x v="2"/>
    <x v="0"/>
    <n v="8"/>
    <n v="4176407"/>
    <d v="2026-10-24T00:00:00"/>
    <n v="10"/>
    <n v="24"/>
    <n v="2026"/>
    <x v="9"/>
    <s v="Q4"/>
    <x v="2"/>
  </r>
  <r>
    <s v="O111942"/>
    <x v="291"/>
    <x v="9"/>
    <x v="0"/>
    <x v="1"/>
    <x v="1"/>
    <n v="10"/>
    <n v="4175584"/>
    <d v="2026-12-27T00:00:00"/>
    <n v="12"/>
    <n v="27"/>
    <n v="2026"/>
    <x v="7"/>
    <s v="Q4"/>
    <x v="1"/>
  </r>
  <r>
    <s v="O109180"/>
    <x v="292"/>
    <x v="1"/>
    <x v="0"/>
    <x v="1"/>
    <x v="1"/>
    <n v="10"/>
    <n v="4174910"/>
    <d v="2026-12-07T00:00:00"/>
    <n v="12"/>
    <n v="7"/>
    <n v="2026"/>
    <x v="7"/>
    <s v="Q4"/>
    <x v="1"/>
  </r>
  <r>
    <s v="O107329"/>
    <x v="190"/>
    <x v="5"/>
    <x v="0"/>
    <x v="2"/>
    <x v="0"/>
    <n v="10"/>
    <n v="4173726"/>
    <d v="2026-03-22T00:00:00"/>
    <n v="3"/>
    <n v="22"/>
    <n v="2026"/>
    <x v="5"/>
    <s v="Q1"/>
    <x v="2"/>
  </r>
  <r>
    <s v="O109824"/>
    <x v="49"/>
    <x v="5"/>
    <x v="0"/>
    <x v="0"/>
    <x v="3"/>
    <n v="10"/>
    <n v="4173667"/>
    <d v="2026-08-20T00:00:00"/>
    <n v="8"/>
    <n v="20"/>
    <n v="2026"/>
    <x v="8"/>
    <s v="Q3"/>
    <x v="0"/>
  </r>
  <r>
    <s v="O102073"/>
    <x v="261"/>
    <x v="10"/>
    <x v="0"/>
    <x v="0"/>
    <x v="3"/>
    <n v="8"/>
    <n v="4166652"/>
    <d v="2025-06-05T00:00:00"/>
    <n v="6"/>
    <n v="5"/>
    <n v="2025"/>
    <x v="2"/>
    <s v="Q2"/>
    <x v="0"/>
  </r>
  <r>
    <s v="O105134"/>
    <x v="293"/>
    <x v="6"/>
    <x v="0"/>
    <x v="1"/>
    <x v="3"/>
    <n v="8"/>
    <n v="4161592"/>
    <d v="2025-08-11T00:00:00"/>
    <n v="8"/>
    <n v="11"/>
    <n v="2025"/>
    <x v="8"/>
    <s v="Q3"/>
    <x v="1"/>
  </r>
  <r>
    <s v="O108474"/>
    <x v="294"/>
    <x v="3"/>
    <x v="0"/>
    <x v="3"/>
    <x v="3"/>
    <n v="9"/>
    <n v="4161033"/>
    <d v="2026-05-30T00:00:00"/>
    <n v="5"/>
    <n v="30"/>
    <n v="2026"/>
    <x v="3"/>
    <s v="Q2"/>
    <x v="3"/>
  </r>
  <r>
    <s v="O103410"/>
    <x v="295"/>
    <x v="5"/>
    <x v="0"/>
    <x v="4"/>
    <x v="2"/>
    <n v="8"/>
    <n v="4158280"/>
    <d v="2025-07-27T00:00:00"/>
    <n v="7"/>
    <n v="27"/>
    <n v="2025"/>
    <x v="10"/>
    <s v="Q3"/>
    <x v="4"/>
  </r>
  <r>
    <s v="O107044"/>
    <x v="134"/>
    <x v="10"/>
    <x v="0"/>
    <x v="1"/>
    <x v="0"/>
    <n v="8"/>
    <n v="4157435"/>
    <d v="2026-04-03T00:00:00"/>
    <n v="4"/>
    <n v="3"/>
    <n v="2026"/>
    <x v="11"/>
    <s v="Q2"/>
    <x v="1"/>
  </r>
  <r>
    <s v="O105661"/>
    <x v="296"/>
    <x v="10"/>
    <x v="0"/>
    <x v="4"/>
    <x v="0"/>
    <n v="10"/>
    <n v="4153788"/>
    <d v="2025-10-12T00:00:00"/>
    <n v="10"/>
    <n v="12"/>
    <n v="2025"/>
    <x v="9"/>
    <s v="Q4"/>
    <x v="4"/>
  </r>
  <r>
    <s v="O109080"/>
    <x v="222"/>
    <x v="1"/>
    <x v="0"/>
    <x v="1"/>
    <x v="3"/>
    <n v="10"/>
    <n v="4151099"/>
    <d v="2026-06-07T00:00:00"/>
    <n v="6"/>
    <n v="7"/>
    <n v="2026"/>
    <x v="2"/>
    <s v="Q2"/>
    <x v="1"/>
  </r>
  <r>
    <s v="O109019"/>
    <x v="297"/>
    <x v="1"/>
    <x v="0"/>
    <x v="1"/>
    <x v="3"/>
    <n v="10"/>
    <n v="4151054"/>
    <d v="2026-02-07T00:00:00"/>
    <n v="2"/>
    <n v="7"/>
    <n v="2026"/>
    <x v="4"/>
    <s v="Q1"/>
    <x v="1"/>
  </r>
  <r>
    <s v="O104136"/>
    <x v="298"/>
    <x v="0"/>
    <x v="0"/>
    <x v="2"/>
    <x v="1"/>
    <n v="10"/>
    <n v="4149579"/>
    <d v="2025-09-09T00:00:00"/>
    <n v="9"/>
    <n v="9"/>
    <n v="2025"/>
    <x v="1"/>
    <s v="Q3"/>
    <x v="2"/>
  </r>
  <r>
    <s v="O107317"/>
    <x v="190"/>
    <x v="5"/>
    <x v="0"/>
    <x v="3"/>
    <x v="2"/>
    <n v="8"/>
    <n v="4146606"/>
    <d v="2026-03-21T00:00:00"/>
    <n v="3"/>
    <n v="21"/>
    <n v="2026"/>
    <x v="5"/>
    <s v="Q1"/>
    <x v="3"/>
  </r>
  <r>
    <s v="O110916"/>
    <x v="299"/>
    <x v="2"/>
    <x v="0"/>
    <x v="2"/>
    <x v="0"/>
    <n v="9"/>
    <n v="4140110"/>
    <d v="2026-10-26T00:00:00"/>
    <n v="10"/>
    <n v="26"/>
    <n v="2026"/>
    <x v="9"/>
    <s v="Q4"/>
    <x v="2"/>
  </r>
  <r>
    <s v="O101301"/>
    <x v="85"/>
    <x v="9"/>
    <x v="0"/>
    <x v="1"/>
    <x v="0"/>
    <n v="9"/>
    <n v="4139396"/>
    <d v="2025-03-20T00:00:00"/>
    <n v="3"/>
    <n v="20"/>
    <n v="2025"/>
    <x v="5"/>
    <s v="Q1"/>
    <x v="1"/>
  </r>
  <r>
    <s v="O111777"/>
    <x v="191"/>
    <x v="7"/>
    <x v="0"/>
    <x v="3"/>
    <x v="0"/>
    <n v="10"/>
    <n v="4136725"/>
    <d v="2026-12-17T00:00:00"/>
    <n v="12"/>
    <n v="17"/>
    <n v="2026"/>
    <x v="7"/>
    <s v="Q4"/>
    <x v="3"/>
  </r>
  <r>
    <s v="O102418"/>
    <x v="161"/>
    <x v="3"/>
    <x v="0"/>
    <x v="4"/>
    <x v="3"/>
    <n v="9"/>
    <n v="4125392"/>
    <d v="2025-05-27T00:00:00"/>
    <n v="5"/>
    <n v="27"/>
    <n v="2025"/>
    <x v="3"/>
    <s v="Q2"/>
    <x v="4"/>
  </r>
  <r>
    <s v="O102527"/>
    <x v="144"/>
    <x v="1"/>
    <x v="0"/>
    <x v="0"/>
    <x v="3"/>
    <n v="8"/>
    <n v="4124996"/>
    <d v="2025-03-06T00:00:00"/>
    <n v="3"/>
    <n v="6"/>
    <n v="2025"/>
    <x v="5"/>
    <s v="Q1"/>
    <x v="0"/>
  </r>
  <r>
    <s v="O106825"/>
    <x v="300"/>
    <x v="9"/>
    <x v="0"/>
    <x v="1"/>
    <x v="3"/>
    <n v="9"/>
    <n v="4124896"/>
    <d v="2026-02-19T00:00:00"/>
    <n v="2"/>
    <n v="19"/>
    <n v="2026"/>
    <x v="4"/>
    <s v="Q1"/>
    <x v="1"/>
  </r>
  <r>
    <s v="O102715"/>
    <x v="301"/>
    <x v="4"/>
    <x v="0"/>
    <x v="4"/>
    <x v="2"/>
    <n v="10"/>
    <n v="4122504"/>
    <d v="2025-06-14T00:00:00"/>
    <n v="6"/>
    <n v="14"/>
    <n v="2025"/>
    <x v="2"/>
    <s v="Q2"/>
    <x v="4"/>
  </r>
  <r>
    <s v="O105092"/>
    <x v="302"/>
    <x v="1"/>
    <x v="0"/>
    <x v="3"/>
    <x v="3"/>
    <n v="9"/>
    <n v="4120344"/>
    <d v="2025-06-11T00:00:00"/>
    <n v="6"/>
    <n v="11"/>
    <n v="2025"/>
    <x v="2"/>
    <s v="Q2"/>
    <x v="3"/>
  </r>
  <r>
    <s v="O111022"/>
    <x v="37"/>
    <x v="8"/>
    <x v="0"/>
    <x v="0"/>
    <x v="2"/>
    <n v="8"/>
    <n v="4119381"/>
    <d v="2026-01-11T00:00:00"/>
    <n v="1"/>
    <n v="11"/>
    <n v="2026"/>
    <x v="6"/>
    <s v="Q1"/>
    <x v="0"/>
  </r>
  <r>
    <s v="O105289"/>
    <x v="303"/>
    <x v="8"/>
    <x v="0"/>
    <x v="0"/>
    <x v="3"/>
    <n v="10"/>
    <n v="4117418"/>
    <d v="2025-11-18T00:00:00"/>
    <n v="11"/>
    <n v="18"/>
    <n v="2025"/>
    <x v="0"/>
    <s v="Q4"/>
    <x v="0"/>
  </r>
  <r>
    <s v="O104962"/>
    <x v="27"/>
    <x v="2"/>
    <x v="0"/>
    <x v="2"/>
    <x v="0"/>
    <n v="9"/>
    <n v="4115669"/>
    <d v="2025-10-29T00:00:00"/>
    <n v="10"/>
    <n v="29"/>
    <n v="2025"/>
    <x v="9"/>
    <s v="Q4"/>
    <x v="2"/>
  </r>
  <r>
    <s v="O104382"/>
    <x v="304"/>
    <x v="10"/>
    <x v="0"/>
    <x v="0"/>
    <x v="0"/>
    <n v="10"/>
    <n v="4114503"/>
    <d v="2025-09-24T00:00:00"/>
    <n v="9"/>
    <n v="24"/>
    <n v="2025"/>
    <x v="1"/>
    <s v="Q3"/>
    <x v="0"/>
  </r>
  <r>
    <s v="O111391"/>
    <x v="305"/>
    <x v="1"/>
    <x v="0"/>
    <x v="0"/>
    <x v="3"/>
    <n v="9"/>
    <n v="4112522"/>
    <d v="2026-11-24T00:00:00"/>
    <n v="11"/>
    <n v="24"/>
    <n v="2026"/>
    <x v="0"/>
    <s v="Q4"/>
    <x v="0"/>
  </r>
  <r>
    <s v="O110000"/>
    <x v="306"/>
    <x v="2"/>
    <x v="0"/>
    <x v="1"/>
    <x v="0"/>
    <n v="10"/>
    <n v="4110074"/>
    <d v="2026-08-31T00:00:00"/>
    <n v="8"/>
    <n v="31"/>
    <n v="2026"/>
    <x v="8"/>
    <s v="Q3"/>
    <x v="1"/>
  </r>
  <r>
    <s v="O106732"/>
    <x v="230"/>
    <x v="8"/>
    <x v="0"/>
    <x v="1"/>
    <x v="0"/>
    <n v="9"/>
    <n v="4104900"/>
    <d v="2026-02-13T00:00:00"/>
    <n v="2"/>
    <n v="13"/>
    <n v="2026"/>
    <x v="4"/>
    <s v="Q1"/>
    <x v="1"/>
  </r>
  <r>
    <s v="O100677"/>
    <x v="134"/>
    <x v="2"/>
    <x v="0"/>
    <x v="0"/>
    <x v="0"/>
    <n v="10"/>
    <n v="4102717"/>
    <d v="2025-11-02T00:00:00"/>
    <n v="11"/>
    <n v="2"/>
    <n v="2025"/>
    <x v="0"/>
    <s v="Q4"/>
    <x v="0"/>
  </r>
  <r>
    <s v="O104850"/>
    <x v="191"/>
    <x v="6"/>
    <x v="0"/>
    <x v="3"/>
    <x v="3"/>
    <n v="8"/>
    <n v="4100840"/>
    <d v="2025-10-22T00:00:00"/>
    <n v="10"/>
    <n v="22"/>
    <n v="2025"/>
    <x v="9"/>
    <s v="Q4"/>
    <x v="3"/>
  </r>
  <r>
    <s v="O102895"/>
    <x v="196"/>
    <x v="6"/>
    <x v="0"/>
    <x v="4"/>
    <x v="3"/>
    <n v="8"/>
    <n v="4100247"/>
    <d v="2025-06-25T00:00:00"/>
    <n v="6"/>
    <n v="25"/>
    <n v="2025"/>
    <x v="2"/>
    <s v="Q2"/>
    <x v="4"/>
  </r>
  <r>
    <s v="O111079"/>
    <x v="294"/>
    <x v="4"/>
    <x v="0"/>
    <x v="3"/>
    <x v="3"/>
    <n v="10"/>
    <n v="4090338"/>
    <d v="2026-05-11T00:00:00"/>
    <n v="5"/>
    <n v="11"/>
    <n v="2026"/>
    <x v="3"/>
    <s v="Q2"/>
    <x v="3"/>
  </r>
  <r>
    <s v="O107570"/>
    <x v="81"/>
    <x v="6"/>
    <x v="0"/>
    <x v="1"/>
    <x v="2"/>
    <n v="8"/>
    <n v="4089290"/>
    <d v="2026-05-04T00:00:00"/>
    <n v="5"/>
    <n v="4"/>
    <n v="2026"/>
    <x v="3"/>
    <s v="Q2"/>
    <x v="1"/>
  </r>
  <r>
    <s v="O109749"/>
    <x v="307"/>
    <x v="3"/>
    <x v="0"/>
    <x v="1"/>
    <x v="0"/>
    <n v="10"/>
    <n v="4088602"/>
    <d v="2026-08-16T00:00:00"/>
    <n v="8"/>
    <n v="16"/>
    <n v="2026"/>
    <x v="8"/>
    <s v="Q3"/>
    <x v="1"/>
  </r>
  <r>
    <s v="O101575"/>
    <x v="121"/>
    <x v="5"/>
    <x v="0"/>
    <x v="1"/>
    <x v="1"/>
    <n v="8"/>
    <n v="4086212"/>
    <d v="2025-06-04T00:00:00"/>
    <n v="6"/>
    <n v="4"/>
    <n v="2025"/>
    <x v="2"/>
    <s v="Q2"/>
    <x v="1"/>
  </r>
  <r>
    <s v="O102044"/>
    <x v="308"/>
    <x v="3"/>
    <x v="0"/>
    <x v="2"/>
    <x v="2"/>
    <n v="10"/>
    <n v="4075337"/>
    <d v="2025-05-05T00:00:00"/>
    <n v="5"/>
    <n v="5"/>
    <n v="2025"/>
    <x v="3"/>
    <s v="Q2"/>
    <x v="2"/>
  </r>
  <r>
    <s v="O106846"/>
    <x v="309"/>
    <x v="0"/>
    <x v="0"/>
    <x v="4"/>
    <x v="0"/>
    <n v="10"/>
    <n v="4074134"/>
    <d v="2026-02-20T00:00:00"/>
    <n v="2"/>
    <n v="20"/>
    <n v="2026"/>
    <x v="4"/>
    <m/>
    <x v="4"/>
  </r>
  <r>
    <s v="O103079"/>
    <x v="310"/>
    <x v="10"/>
    <x v="0"/>
    <x v="4"/>
    <x v="0"/>
    <n v="9"/>
    <n v="4072651"/>
    <d v="2025-07-07T00:00:00"/>
    <n v="7"/>
    <n v="7"/>
    <n v="2025"/>
    <x v="10"/>
    <s v="Q3"/>
    <x v="4"/>
  </r>
  <r>
    <s v="O111613"/>
    <x v="311"/>
    <x v="3"/>
    <x v="0"/>
    <x v="4"/>
    <x v="2"/>
    <n v="8"/>
    <n v="4071971"/>
    <d v="2026-07-12T00:00:00"/>
    <n v="7"/>
    <n v="12"/>
    <n v="2026"/>
    <x v="10"/>
    <s v="Q3"/>
    <x v="4"/>
  </r>
  <r>
    <s v="O102912"/>
    <x v="35"/>
    <x v="5"/>
    <x v="0"/>
    <x v="1"/>
    <x v="2"/>
    <n v="9"/>
    <n v="4063897"/>
    <d v="2025-06-26T00:00:00"/>
    <n v="6"/>
    <n v="26"/>
    <n v="2025"/>
    <x v="2"/>
    <s v="Q2"/>
    <x v="1"/>
  </r>
  <r>
    <s v="O101549"/>
    <x v="83"/>
    <x v="3"/>
    <x v="0"/>
    <x v="4"/>
    <x v="3"/>
    <n v="10"/>
    <n v="4063665"/>
    <d v="2025-05-04T00:00:00"/>
    <n v="5"/>
    <n v="4"/>
    <n v="2025"/>
    <x v="3"/>
    <s v="Q2"/>
    <x v="4"/>
  </r>
  <r>
    <s v="O108738"/>
    <x v="206"/>
    <x v="2"/>
    <x v="0"/>
    <x v="1"/>
    <x v="3"/>
    <n v="9"/>
    <n v="4061631"/>
    <d v="2026-06-15T00:00:00"/>
    <n v="6"/>
    <n v="15"/>
    <n v="2026"/>
    <x v="2"/>
    <s v="Q2"/>
    <x v="1"/>
  </r>
  <r>
    <s v="O101298"/>
    <x v="312"/>
    <x v="0"/>
    <x v="0"/>
    <x v="2"/>
    <x v="3"/>
    <n v="9"/>
    <n v="4051619"/>
    <d v="2025-03-20T00:00:00"/>
    <n v="3"/>
    <n v="20"/>
    <n v="2025"/>
    <x v="5"/>
    <s v="Q1"/>
    <x v="2"/>
  </r>
  <r>
    <s v="O104872"/>
    <x v="311"/>
    <x v="3"/>
    <x v="0"/>
    <x v="2"/>
    <x v="1"/>
    <n v="8"/>
    <n v="4051556"/>
    <d v="2025-10-23T00:00:00"/>
    <n v="10"/>
    <n v="23"/>
    <n v="2025"/>
    <x v="9"/>
    <s v="Q4"/>
    <x v="2"/>
  </r>
  <r>
    <s v="O104411"/>
    <x v="181"/>
    <x v="4"/>
    <x v="0"/>
    <x v="2"/>
    <x v="3"/>
    <n v="8"/>
    <n v="4050375"/>
    <d v="2025-09-25T00:00:00"/>
    <n v="9"/>
    <n v="25"/>
    <n v="2025"/>
    <x v="1"/>
    <s v="Q3"/>
    <x v="2"/>
  </r>
  <r>
    <s v="O106565"/>
    <x v="313"/>
    <x v="4"/>
    <x v="0"/>
    <x v="1"/>
    <x v="2"/>
    <n v="9"/>
    <n v="4049826"/>
    <d v="2026-03-02T00:00:00"/>
    <n v="3"/>
    <n v="2"/>
    <n v="2026"/>
    <x v="5"/>
    <s v="Q1"/>
    <x v="1"/>
  </r>
  <r>
    <s v="O105708"/>
    <x v="314"/>
    <x v="8"/>
    <x v="0"/>
    <x v="3"/>
    <x v="1"/>
    <n v="9"/>
    <n v="4046587"/>
    <d v="2025-12-13T00:00:00"/>
    <n v="12"/>
    <n v="13"/>
    <n v="2025"/>
    <x v="7"/>
    <s v="Q4"/>
    <x v="3"/>
  </r>
  <r>
    <s v="O103684"/>
    <x v="315"/>
    <x v="1"/>
    <x v="0"/>
    <x v="1"/>
    <x v="4"/>
    <n v="8"/>
    <n v="4043805"/>
    <d v="2025-12-08T00:00:00"/>
    <n v="12"/>
    <n v="8"/>
    <n v="2025"/>
    <x v="7"/>
    <s v="Q4"/>
    <x v="1"/>
  </r>
  <r>
    <s v="O104553"/>
    <x v="316"/>
    <x v="0"/>
    <x v="0"/>
    <x v="2"/>
    <x v="3"/>
    <n v="8"/>
    <n v="4042661"/>
    <d v="2025-04-10T00:00:00"/>
    <n v="4"/>
    <n v="10"/>
    <n v="2025"/>
    <x v="11"/>
    <s v="Q2"/>
    <x v="2"/>
  </r>
  <r>
    <s v="O106291"/>
    <x v="317"/>
    <x v="10"/>
    <x v="0"/>
    <x v="3"/>
    <x v="3"/>
    <n v="10"/>
    <n v="4042032"/>
    <d v="2026-01-18T00:00:00"/>
    <n v="1"/>
    <n v="18"/>
    <n v="2026"/>
    <x v="6"/>
    <s v="Q1"/>
    <x v="3"/>
  </r>
  <r>
    <s v="O100958"/>
    <x v="286"/>
    <x v="4"/>
    <x v="0"/>
    <x v="2"/>
    <x v="3"/>
    <n v="9"/>
    <n v="4041507"/>
    <d v="2025-02-28T00:00:00"/>
    <n v="2"/>
    <n v="28"/>
    <n v="2025"/>
    <x v="4"/>
    <s v="Q1"/>
    <x v="2"/>
  </r>
  <r>
    <s v="O106298"/>
    <x v="276"/>
    <x v="8"/>
    <x v="0"/>
    <x v="1"/>
    <x v="3"/>
    <n v="9"/>
    <n v="4038132"/>
    <d v="2026-01-18T00:00:00"/>
    <n v="1"/>
    <n v="18"/>
    <n v="2026"/>
    <x v="6"/>
    <s v="Q1"/>
    <x v="1"/>
  </r>
  <r>
    <s v="O110325"/>
    <x v="318"/>
    <x v="10"/>
    <x v="0"/>
    <x v="1"/>
    <x v="2"/>
    <n v="9"/>
    <n v="4032899"/>
    <d v="2026-09-20T00:00:00"/>
    <n v="9"/>
    <n v="20"/>
    <n v="2026"/>
    <x v="1"/>
    <s v="Q3"/>
    <x v="1"/>
  </r>
  <r>
    <s v="O107738"/>
    <x v="319"/>
    <x v="3"/>
    <x v="0"/>
    <x v="1"/>
    <x v="2"/>
    <n v="9"/>
    <n v="4030239"/>
    <d v="2026-04-16T00:00:00"/>
    <n v="4"/>
    <n v="16"/>
    <n v="2026"/>
    <x v="11"/>
    <s v="Q2"/>
    <x v="1"/>
  </r>
  <r>
    <s v="O106331"/>
    <x v="320"/>
    <x v="5"/>
    <x v="0"/>
    <x v="1"/>
    <x v="2"/>
    <n v="8"/>
    <n v="4028361"/>
    <d v="2026-01-20T00:00:00"/>
    <n v="1"/>
    <n v="20"/>
    <n v="2026"/>
    <x v="6"/>
    <s v="Q1"/>
    <x v="1"/>
  </r>
  <r>
    <s v="O106325"/>
    <x v="117"/>
    <x v="10"/>
    <x v="0"/>
    <x v="1"/>
    <x v="1"/>
    <n v="8"/>
    <n v="4025722"/>
    <d v="2026-01-20T00:00:00"/>
    <n v="1"/>
    <n v="20"/>
    <n v="2026"/>
    <x v="6"/>
    <s v="Q1"/>
    <x v="1"/>
  </r>
  <r>
    <s v="O110137"/>
    <x v="321"/>
    <x v="8"/>
    <x v="0"/>
    <x v="0"/>
    <x v="0"/>
    <n v="9"/>
    <n v="4023577"/>
    <d v="2026-08-09T00:00:00"/>
    <n v="8"/>
    <n v="9"/>
    <n v="2026"/>
    <x v="8"/>
    <s v="Q3"/>
    <x v="0"/>
  </r>
  <r>
    <s v="O103034"/>
    <x v="322"/>
    <x v="10"/>
    <x v="0"/>
    <x v="2"/>
    <x v="1"/>
    <n v="10"/>
    <n v="4023355"/>
    <d v="2025-04-07T00:00:00"/>
    <n v="4"/>
    <n v="7"/>
    <n v="2025"/>
    <x v="11"/>
    <s v="Q2"/>
    <x v="2"/>
  </r>
  <r>
    <s v="O108360"/>
    <x v="323"/>
    <x v="2"/>
    <x v="0"/>
    <x v="0"/>
    <x v="0"/>
    <n v="8"/>
    <n v="4022533"/>
    <d v="2026-05-23T00:00:00"/>
    <n v="5"/>
    <n v="23"/>
    <n v="2026"/>
    <x v="3"/>
    <s v="Q2"/>
    <x v="0"/>
  </r>
  <r>
    <s v="O109507"/>
    <x v="301"/>
    <x v="6"/>
    <x v="0"/>
    <x v="2"/>
    <x v="2"/>
    <n v="9"/>
    <n v="4016601"/>
    <d v="2026-01-08T00:00:00"/>
    <n v="1"/>
    <n v="8"/>
    <n v="2026"/>
    <x v="6"/>
    <s v="Q1"/>
    <x v="2"/>
  </r>
  <r>
    <s v="O101414"/>
    <x v="324"/>
    <x v="8"/>
    <x v="0"/>
    <x v="1"/>
    <x v="3"/>
    <n v="9"/>
    <n v="4009862"/>
    <d v="2025-03-27T00:00:00"/>
    <n v="3"/>
    <n v="27"/>
    <n v="2025"/>
    <x v="5"/>
    <m/>
    <x v="1"/>
  </r>
  <r>
    <s v="O110692"/>
    <x v="325"/>
    <x v="6"/>
    <x v="0"/>
    <x v="3"/>
    <x v="1"/>
    <n v="10"/>
    <n v="4008427"/>
    <d v="2026-12-10T00:00:00"/>
    <n v="12"/>
    <n v="10"/>
    <n v="2026"/>
    <x v="7"/>
    <s v="Q4"/>
    <x v="3"/>
  </r>
  <r>
    <s v="O105948"/>
    <x v="257"/>
    <x v="9"/>
    <x v="0"/>
    <x v="1"/>
    <x v="0"/>
    <n v="9"/>
    <n v="4005652"/>
    <d v="2025-12-28T00:00:00"/>
    <n v="12"/>
    <n v="28"/>
    <n v="2025"/>
    <x v="7"/>
    <s v="Q4"/>
    <x v="1"/>
  </r>
  <r>
    <s v="O109364"/>
    <x v="209"/>
    <x v="9"/>
    <x v="0"/>
    <x v="1"/>
    <x v="1"/>
    <n v="8"/>
    <n v="4001733"/>
    <d v="2026-07-23T00:00:00"/>
    <n v="7"/>
    <n v="23"/>
    <n v="2026"/>
    <x v="10"/>
    <s v="Q3"/>
    <x v="1"/>
  </r>
  <r>
    <s v="O108915"/>
    <x v="326"/>
    <x v="6"/>
    <x v="0"/>
    <x v="2"/>
    <x v="0"/>
    <n v="9"/>
    <n v="4000839"/>
    <d v="2026-06-26T00:00:00"/>
    <n v="6"/>
    <n v="26"/>
    <n v="2026"/>
    <x v="2"/>
    <s v="Q2"/>
    <x v="2"/>
  </r>
  <r>
    <s v="O110253"/>
    <x v="293"/>
    <x v="8"/>
    <x v="0"/>
    <x v="3"/>
    <x v="2"/>
    <n v="10"/>
    <n v="3996494"/>
    <d v="2026-09-15T00:00:00"/>
    <n v="9"/>
    <n v="15"/>
    <n v="2026"/>
    <x v="1"/>
    <s v="Q3"/>
    <x v="3"/>
  </r>
  <r>
    <s v="O109664"/>
    <x v="171"/>
    <x v="2"/>
    <x v="0"/>
    <x v="3"/>
    <x v="2"/>
    <n v="10"/>
    <n v="3995656"/>
    <d v="2026-11-08T00:00:00"/>
    <n v="11"/>
    <n v="8"/>
    <n v="2026"/>
    <x v="0"/>
    <s v="Q4"/>
    <x v="3"/>
  </r>
  <r>
    <s v="O107982"/>
    <x v="82"/>
    <x v="10"/>
    <x v="0"/>
    <x v="0"/>
    <x v="1"/>
    <n v="9"/>
    <n v="3991597"/>
    <d v="2026-04-30T00:00:00"/>
    <n v="4"/>
    <n v="30"/>
    <n v="2026"/>
    <x v="11"/>
    <s v="Q2"/>
    <x v="0"/>
  </r>
  <r>
    <s v="O105288"/>
    <x v="0"/>
    <x v="3"/>
    <x v="0"/>
    <x v="2"/>
    <x v="2"/>
    <n v="10"/>
    <n v="3990726"/>
    <d v="2025-11-18T00:00:00"/>
    <n v="11"/>
    <n v="18"/>
    <n v="2025"/>
    <x v="0"/>
    <s v="Q4"/>
    <x v="2"/>
  </r>
  <r>
    <s v="O106423"/>
    <x v="104"/>
    <x v="10"/>
    <x v="0"/>
    <x v="4"/>
    <x v="0"/>
    <n v="9"/>
    <n v="3989576"/>
    <d v="2026-01-26T00:00:00"/>
    <n v="1"/>
    <n v="26"/>
    <n v="2026"/>
    <x v="6"/>
    <s v="Q1"/>
    <x v="4"/>
  </r>
  <r>
    <s v="O105978"/>
    <x v="327"/>
    <x v="10"/>
    <x v="0"/>
    <x v="0"/>
    <x v="2"/>
    <n v="10"/>
    <n v="3987064"/>
    <d v="2025-12-30T00:00:00"/>
    <n v="12"/>
    <n v="30"/>
    <n v="2025"/>
    <x v="7"/>
    <s v="Q4"/>
    <x v="0"/>
  </r>
  <r>
    <s v="O103519"/>
    <x v="260"/>
    <x v="0"/>
    <x v="0"/>
    <x v="2"/>
    <x v="2"/>
    <n v="10"/>
    <n v="3985185"/>
    <d v="2025-02-08T00:00:00"/>
    <n v="2"/>
    <n v="8"/>
    <n v="2025"/>
    <x v="4"/>
    <s v="Q1"/>
    <x v="2"/>
  </r>
  <r>
    <s v="O111522"/>
    <x v="328"/>
    <x v="4"/>
    <x v="0"/>
    <x v="0"/>
    <x v="1"/>
    <n v="10"/>
    <n v="3984837"/>
    <d v="2026-01-12T00:00:00"/>
    <n v="1"/>
    <n v="12"/>
    <n v="2026"/>
    <x v="6"/>
    <s v="Q1"/>
    <x v="0"/>
  </r>
  <r>
    <s v="O108761"/>
    <x v="329"/>
    <x v="6"/>
    <x v="0"/>
    <x v="1"/>
    <x v="2"/>
    <n v="8"/>
    <n v="3984595"/>
    <d v="2026-06-17T00:00:00"/>
    <n v="6"/>
    <n v="17"/>
    <n v="2026"/>
    <x v="2"/>
    <s v="Q2"/>
    <x v="1"/>
  </r>
  <r>
    <s v="O107355"/>
    <x v="330"/>
    <x v="5"/>
    <x v="0"/>
    <x v="0"/>
    <x v="0"/>
    <n v="8"/>
    <n v="3983893"/>
    <d v="2026-03-23T00:00:00"/>
    <n v="3"/>
    <n v="23"/>
    <n v="2026"/>
    <x v="5"/>
    <s v="Q1"/>
    <x v="0"/>
  </r>
  <r>
    <s v="O109196"/>
    <x v="331"/>
    <x v="2"/>
    <x v="0"/>
    <x v="3"/>
    <x v="3"/>
    <n v="10"/>
    <n v="3983821"/>
    <d v="2026-07-13T00:00:00"/>
    <n v="7"/>
    <n v="13"/>
    <n v="2026"/>
    <x v="10"/>
    <s v="Q3"/>
    <x v="3"/>
  </r>
  <r>
    <s v="O105511"/>
    <x v="315"/>
    <x v="3"/>
    <x v="0"/>
    <x v="3"/>
    <x v="1"/>
    <n v="8"/>
    <n v="3982942"/>
    <d v="2025-01-12T00:00:00"/>
    <n v="1"/>
    <n v="12"/>
    <n v="2025"/>
    <x v="6"/>
    <s v="Q1"/>
    <x v="3"/>
  </r>
  <r>
    <s v="O101202"/>
    <x v="332"/>
    <x v="10"/>
    <x v="0"/>
    <x v="0"/>
    <x v="1"/>
    <n v="10"/>
    <n v="3965429"/>
    <d v="2025-03-14T00:00:00"/>
    <n v="3"/>
    <n v="14"/>
    <n v="2025"/>
    <x v="5"/>
    <s v="Q1"/>
    <x v="0"/>
  </r>
  <r>
    <s v="O111964"/>
    <x v="135"/>
    <x v="3"/>
    <x v="0"/>
    <x v="0"/>
    <x v="1"/>
    <n v="8"/>
    <n v="3965300"/>
    <d v="2026-12-28T00:00:00"/>
    <n v="12"/>
    <n v="28"/>
    <n v="2026"/>
    <x v="7"/>
    <s v="Q4"/>
    <x v="0"/>
  </r>
  <r>
    <s v="O108433"/>
    <x v="89"/>
    <x v="7"/>
    <x v="0"/>
    <x v="1"/>
    <x v="1"/>
    <n v="9"/>
    <n v="3964580"/>
    <d v="2026-05-28T00:00:00"/>
    <n v="5"/>
    <n v="28"/>
    <n v="2026"/>
    <x v="3"/>
    <s v="Q2"/>
    <x v="1"/>
  </r>
  <r>
    <s v="O107802"/>
    <x v="333"/>
    <x v="6"/>
    <x v="0"/>
    <x v="1"/>
    <x v="2"/>
    <n v="8"/>
    <n v="3961373"/>
    <d v="2026-04-19T00:00:00"/>
    <n v="4"/>
    <n v="19"/>
    <n v="2026"/>
    <x v="11"/>
    <s v="Q2"/>
    <x v="1"/>
  </r>
  <r>
    <s v="O100853"/>
    <x v="9"/>
    <x v="10"/>
    <x v="0"/>
    <x v="1"/>
    <x v="0"/>
    <n v="8"/>
    <n v="3961370"/>
    <d v="2025-02-21T00:00:00"/>
    <n v="2"/>
    <n v="21"/>
    <n v="2025"/>
    <x v="4"/>
    <s v="Q1"/>
    <x v="1"/>
  </r>
  <r>
    <s v="O108048"/>
    <x v="334"/>
    <x v="4"/>
    <x v="0"/>
    <x v="4"/>
    <x v="1"/>
    <n v="8"/>
    <n v="3954415"/>
    <d v="2026-04-05T00:00:00"/>
    <n v="4"/>
    <n v="5"/>
    <n v="2026"/>
    <x v="11"/>
    <s v="Q2"/>
    <x v="4"/>
  </r>
  <r>
    <s v="O108066"/>
    <x v="335"/>
    <x v="0"/>
    <x v="0"/>
    <x v="3"/>
    <x v="3"/>
    <n v="8"/>
    <n v="3950087"/>
    <d v="2026-05-05T00:00:00"/>
    <n v="5"/>
    <n v="5"/>
    <n v="2026"/>
    <x v="3"/>
    <s v="Q2"/>
    <x v="3"/>
  </r>
  <r>
    <s v="O104773"/>
    <x v="336"/>
    <x v="5"/>
    <x v="0"/>
    <x v="2"/>
    <x v="1"/>
    <n v="9"/>
    <n v="3946462"/>
    <d v="2025-10-17T00:00:00"/>
    <n v="10"/>
    <n v="17"/>
    <n v="2025"/>
    <x v="9"/>
    <s v="Q4"/>
    <x v="2"/>
  </r>
  <r>
    <s v="O101694"/>
    <x v="57"/>
    <x v="0"/>
    <x v="0"/>
    <x v="3"/>
    <x v="3"/>
    <n v="9"/>
    <n v="3943595"/>
    <d v="2025-04-13T00:00:00"/>
    <n v="4"/>
    <n v="13"/>
    <n v="2025"/>
    <x v="11"/>
    <s v="Q2"/>
    <x v="3"/>
  </r>
  <r>
    <s v="O105611"/>
    <x v="337"/>
    <x v="8"/>
    <x v="0"/>
    <x v="2"/>
    <x v="1"/>
    <n v="8"/>
    <n v="3939897"/>
    <d v="2025-07-12T00:00:00"/>
    <n v="7"/>
    <n v="12"/>
    <n v="2025"/>
    <x v="10"/>
    <s v="Q3"/>
    <x v="2"/>
  </r>
  <r>
    <s v="O102019"/>
    <x v="338"/>
    <x v="5"/>
    <x v="0"/>
    <x v="1"/>
    <x v="0"/>
    <n v="9"/>
    <n v="3938885"/>
    <d v="2025-03-05T00:00:00"/>
    <n v="3"/>
    <n v="5"/>
    <n v="2025"/>
    <x v="5"/>
    <s v="Q1"/>
    <x v="1"/>
  </r>
  <r>
    <s v="O109041"/>
    <x v="45"/>
    <x v="1"/>
    <x v="0"/>
    <x v="2"/>
    <x v="1"/>
    <n v="8"/>
    <n v="3934393"/>
    <d v="2026-04-07T00:00:00"/>
    <n v="4"/>
    <n v="7"/>
    <n v="2026"/>
    <x v="11"/>
    <s v="Q2"/>
    <x v="2"/>
  </r>
  <r>
    <s v="O107584"/>
    <x v="339"/>
    <x v="4"/>
    <x v="0"/>
    <x v="3"/>
    <x v="0"/>
    <n v="10"/>
    <n v="3932432"/>
    <d v="2026-06-04T00:00:00"/>
    <n v="6"/>
    <n v="4"/>
    <n v="2026"/>
    <x v="2"/>
    <s v="Q2"/>
    <x v="3"/>
  </r>
  <r>
    <s v="O101254"/>
    <x v="171"/>
    <x v="6"/>
    <x v="0"/>
    <x v="1"/>
    <x v="1"/>
    <n v="7"/>
    <n v="3930472"/>
    <d v="2025-03-18T00:00:00"/>
    <n v="3"/>
    <n v="18"/>
    <n v="2025"/>
    <x v="5"/>
    <s v="Q1"/>
    <x v="1"/>
  </r>
  <r>
    <s v="O109790"/>
    <x v="250"/>
    <x v="4"/>
    <x v="0"/>
    <x v="2"/>
    <x v="2"/>
    <n v="7"/>
    <n v="3925311"/>
    <d v="2026-08-18T00:00:00"/>
    <n v="8"/>
    <n v="18"/>
    <n v="2026"/>
    <x v="8"/>
    <s v="Q3"/>
    <x v="2"/>
  </r>
  <r>
    <s v="O108170"/>
    <x v="340"/>
    <x v="9"/>
    <x v="0"/>
    <x v="1"/>
    <x v="0"/>
    <n v="7"/>
    <n v="3925101"/>
    <d v="2026-12-05T00:00:00"/>
    <n v="12"/>
    <n v="5"/>
    <n v="2026"/>
    <x v="7"/>
    <s v="Q4"/>
    <x v="1"/>
  </r>
  <r>
    <s v="O109629"/>
    <x v="341"/>
    <x v="4"/>
    <x v="0"/>
    <x v="1"/>
    <x v="3"/>
    <n v="7"/>
    <n v="3922933"/>
    <d v="2026-08-08T00:00:00"/>
    <n v="8"/>
    <n v="8"/>
    <n v="2026"/>
    <x v="8"/>
    <m/>
    <x v="1"/>
  </r>
  <r>
    <s v="O105943"/>
    <x v="203"/>
    <x v="9"/>
    <x v="0"/>
    <x v="4"/>
    <x v="3"/>
    <n v="8"/>
    <n v="3922056"/>
    <d v="2025-12-28T00:00:00"/>
    <n v="12"/>
    <n v="28"/>
    <n v="2025"/>
    <x v="7"/>
    <s v="Q4"/>
    <x v="4"/>
  </r>
  <r>
    <s v="O102674"/>
    <x v="342"/>
    <x v="5"/>
    <x v="0"/>
    <x v="2"/>
    <x v="2"/>
    <n v="9"/>
    <n v="3921547"/>
    <d v="2025-12-06T00:00:00"/>
    <n v="12"/>
    <n v="6"/>
    <n v="2025"/>
    <x v="7"/>
    <s v="Q4"/>
    <x v="2"/>
  </r>
  <r>
    <s v="O101303"/>
    <x v="157"/>
    <x v="3"/>
    <x v="0"/>
    <x v="1"/>
    <x v="3"/>
    <n v="8"/>
    <n v="3919663"/>
    <d v="2025-03-21T00:00:00"/>
    <n v="3"/>
    <n v="21"/>
    <n v="2025"/>
    <x v="5"/>
    <s v="Q1"/>
    <x v="1"/>
  </r>
  <r>
    <s v="O102225"/>
    <x v="343"/>
    <x v="10"/>
    <x v="0"/>
    <x v="1"/>
    <x v="3"/>
    <n v="9"/>
    <n v="3917066"/>
    <d v="2025-05-16T00:00:00"/>
    <n v="5"/>
    <n v="16"/>
    <n v="2025"/>
    <x v="3"/>
    <s v="Q2"/>
    <x v="1"/>
  </r>
  <r>
    <s v="O111581"/>
    <x v="344"/>
    <x v="0"/>
    <x v="0"/>
    <x v="0"/>
    <x v="3"/>
    <n v="9"/>
    <n v="3916414"/>
    <d v="2026-05-12T00:00:00"/>
    <n v="5"/>
    <n v="12"/>
    <n v="2026"/>
    <x v="3"/>
    <s v="Q2"/>
    <x v="0"/>
  </r>
  <r>
    <s v="O110565"/>
    <x v="345"/>
    <x v="0"/>
    <x v="0"/>
    <x v="2"/>
    <x v="2"/>
    <n v="9"/>
    <n v="3913436"/>
    <d v="2026-04-10T00:00:00"/>
    <n v="4"/>
    <n v="10"/>
    <n v="2026"/>
    <x v="11"/>
    <s v="Q2"/>
    <x v="2"/>
  </r>
  <r>
    <s v="O101708"/>
    <x v="297"/>
    <x v="1"/>
    <x v="0"/>
    <x v="4"/>
    <x v="2"/>
    <n v="10"/>
    <n v="3912667"/>
    <d v="2025-04-14T00:00:00"/>
    <n v="4"/>
    <n v="14"/>
    <n v="2025"/>
    <x v="11"/>
    <s v="Q2"/>
    <x v="4"/>
  </r>
  <r>
    <s v="O107212"/>
    <x v="194"/>
    <x v="8"/>
    <x v="0"/>
    <x v="1"/>
    <x v="3"/>
    <n v="8"/>
    <n v="3911428"/>
    <d v="2026-03-15T00:00:00"/>
    <n v="3"/>
    <n v="15"/>
    <n v="2026"/>
    <x v="5"/>
    <s v="Q1"/>
    <x v="1"/>
  </r>
  <r>
    <s v="O100998"/>
    <x v="346"/>
    <x v="1"/>
    <x v="0"/>
    <x v="3"/>
    <x v="2"/>
    <n v="8"/>
    <n v="3909925"/>
    <d v="2025-02-03T00:00:00"/>
    <n v="2"/>
    <n v="3"/>
    <n v="2025"/>
    <x v="4"/>
    <m/>
    <x v="3"/>
  </r>
  <r>
    <s v="O104565"/>
    <x v="347"/>
    <x v="4"/>
    <x v="0"/>
    <x v="2"/>
    <x v="0"/>
    <n v="9"/>
    <n v="3907876"/>
    <d v="2025-05-10T00:00:00"/>
    <n v="5"/>
    <n v="10"/>
    <n v="2025"/>
    <x v="3"/>
    <s v="Q2"/>
    <x v="2"/>
  </r>
  <r>
    <s v="O101047"/>
    <x v="348"/>
    <x v="8"/>
    <x v="0"/>
    <x v="4"/>
    <x v="1"/>
    <n v="9"/>
    <n v="3907656"/>
    <d v="2025-05-03T00:00:00"/>
    <n v="5"/>
    <n v="3"/>
    <n v="2025"/>
    <x v="3"/>
    <s v="Q2"/>
    <x v="4"/>
  </r>
  <r>
    <s v="O107102"/>
    <x v="349"/>
    <x v="5"/>
    <x v="0"/>
    <x v="3"/>
    <x v="0"/>
    <n v="10"/>
    <n v="3905281"/>
    <d v="2026-08-03T00:00:00"/>
    <n v="8"/>
    <n v="3"/>
    <n v="2026"/>
    <x v="8"/>
    <s v="Q3"/>
    <x v="3"/>
  </r>
  <r>
    <s v="O111996"/>
    <x v="267"/>
    <x v="5"/>
    <x v="0"/>
    <x v="2"/>
    <x v="1"/>
    <n v="9"/>
    <n v="3901755"/>
    <d v="2026-12-30T00:00:00"/>
    <n v="12"/>
    <n v="30"/>
    <n v="2026"/>
    <x v="7"/>
    <s v="Q4"/>
    <x v="2"/>
  </r>
  <r>
    <s v="O108853"/>
    <x v="350"/>
    <x v="2"/>
    <x v="0"/>
    <x v="1"/>
    <x v="0"/>
    <n v="9"/>
    <n v="3899647"/>
    <d v="2026-06-22T00:00:00"/>
    <n v="6"/>
    <n v="22"/>
    <n v="2026"/>
    <x v="2"/>
    <s v="Q2"/>
    <x v="1"/>
  </r>
  <r>
    <s v="O106898"/>
    <x v="351"/>
    <x v="10"/>
    <x v="0"/>
    <x v="3"/>
    <x v="0"/>
    <n v="10"/>
    <n v="3899164"/>
    <d v="2026-02-24T00:00:00"/>
    <n v="2"/>
    <n v="24"/>
    <n v="2026"/>
    <x v="4"/>
    <s v="Q1"/>
    <x v="3"/>
  </r>
  <r>
    <s v="O100520"/>
    <x v="352"/>
    <x v="0"/>
    <x v="0"/>
    <x v="4"/>
    <x v="0"/>
    <n v="9"/>
    <n v="3897320"/>
    <d v="2025-01-02T00:00:00"/>
    <n v="1"/>
    <n v="2"/>
    <n v="2025"/>
    <x v="6"/>
    <s v="Q1"/>
    <x v="4"/>
  </r>
  <r>
    <s v="O106285"/>
    <x v="47"/>
    <x v="4"/>
    <x v="0"/>
    <x v="0"/>
    <x v="3"/>
    <n v="10"/>
    <n v="3897252"/>
    <d v="2026-01-17T00:00:00"/>
    <n v="1"/>
    <n v="17"/>
    <n v="2026"/>
    <x v="6"/>
    <s v="Q1"/>
    <x v="0"/>
  </r>
  <r>
    <s v="O100473"/>
    <x v="353"/>
    <x v="2"/>
    <x v="0"/>
    <x v="1"/>
    <x v="0"/>
    <n v="8"/>
    <n v="3893784"/>
    <d v="2025-01-29T00:00:00"/>
    <n v="1"/>
    <n v="29"/>
    <n v="2025"/>
    <x v="6"/>
    <s v="Q1"/>
    <x v="1"/>
  </r>
  <r>
    <s v="O106801"/>
    <x v="354"/>
    <x v="9"/>
    <x v="0"/>
    <x v="3"/>
    <x v="0"/>
    <n v="7"/>
    <n v="3893119"/>
    <d v="2026-02-18T00:00:00"/>
    <n v="2"/>
    <n v="18"/>
    <n v="2026"/>
    <x v="4"/>
    <s v="Q1"/>
    <x v="3"/>
  </r>
  <r>
    <s v="O107805"/>
    <x v="0"/>
    <x v="3"/>
    <x v="0"/>
    <x v="0"/>
    <x v="2"/>
    <n v="10"/>
    <n v="3891955"/>
    <d v="2026-04-20T00:00:00"/>
    <n v="4"/>
    <n v="20"/>
    <n v="2026"/>
    <x v="11"/>
    <s v="Q2"/>
    <x v="0"/>
  </r>
  <r>
    <s v="O111922"/>
    <x v="259"/>
    <x v="5"/>
    <x v="0"/>
    <x v="4"/>
    <x v="1"/>
    <n v="8"/>
    <n v="3891872"/>
    <d v="2026-12-26T00:00:00"/>
    <n v="12"/>
    <n v="26"/>
    <n v="2026"/>
    <x v="7"/>
    <s v="Q4"/>
    <x v="4"/>
  </r>
  <r>
    <s v="O100210"/>
    <x v="150"/>
    <x v="6"/>
    <x v="0"/>
    <x v="0"/>
    <x v="3"/>
    <n v="7"/>
    <n v="3891311"/>
    <d v="2025-01-13T00:00:00"/>
    <n v="1"/>
    <n v="13"/>
    <n v="2025"/>
    <x v="6"/>
    <s v="Q1"/>
    <x v="0"/>
  </r>
  <r>
    <s v="O109803"/>
    <x v="355"/>
    <x v="1"/>
    <x v="0"/>
    <x v="1"/>
    <x v="2"/>
    <n v="10"/>
    <n v="3887478"/>
    <d v="2026-08-19T00:00:00"/>
    <n v="8"/>
    <n v="19"/>
    <n v="2026"/>
    <x v="8"/>
    <s v="Q3"/>
    <x v="1"/>
  </r>
  <r>
    <s v="O101691"/>
    <x v="45"/>
    <x v="9"/>
    <x v="0"/>
    <x v="4"/>
    <x v="2"/>
    <n v="7"/>
    <n v="3886152"/>
    <d v="2025-04-13T00:00:00"/>
    <n v="4"/>
    <n v="13"/>
    <n v="2025"/>
    <x v="11"/>
    <s v="Q2"/>
    <x v="4"/>
  </r>
  <r>
    <s v="O106000"/>
    <x v="214"/>
    <x v="8"/>
    <x v="0"/>
    <x v="3"/>
    <x v="2"/>
    <n v="9"/>
    <n v="3884974"/>
    <d v="2025-12-31T00:00:00"/>
    <n v="12"/>
    <n v="31"/>
    <n v="2025"/>
    <x v="7"/>
    <s v="Q4"/>
    <x v="3"/>
  </r>
  <r>
    <s v="O103290"/>
    <x v="120"/>
    <x v="8"/>
    <x v="0"/>
    <x v="3"/>
    <x v="3"/>
    <n v="7"/>
    <n v="3884404"/>
    <d v="2025-07-19T00:00:00"/>
    <n v="7"/>
    <n v="19"/>
    <n v="2025"/>
    <x v="10"/>
    <s v="Q3"/>
    <x v="3"/>
  </r>
  <r>
    <s v="O100705"/>
    <x v="277"/>
    <x v="2"/>
    <x v="0"/>
    <x v="2"/>
    <x v="3"/>
    <n v="7"/>
    <n v="3884182"/>
    <d v="2025-12-02T00:00:00"/>
    <n v="12"/>
    <n v="2"/>
    <n v="2025"/>
    <x v="7"/>
    <s v="Q4"/>
    <x v="2"/>
  </r>
  <r>
    <s v="O102552"/>
    <x v="356"/>
    <x v="6"/>
    <x v="0"/>
    <x v="0"/>
    <x v="2"/>
    <n v="7"/>
    <n v="3883527"/>
    <d v="2025-04-06T00:00:00"/>
    <n v="4"/>
    <n v="6"/>
    <n v="2025"/>
    <x v="11"/>
    <m/>
    <x v="0"/>
  </r>
  <r>
    <s v="O102885"/>
    <x v="357"/>
    <x v="4"/>
    <x v="0"/>
    <x v="0"/>
    <x v="1"/>
    <n v="8"/>
    <n v="3881145"/>
    <d v="2025-06-25T00:00:00"/>
    <n v="6"/>
    <n v="25"/>
    <n v="2025"/>
    <x v="2"/>
    <s v="Q2"/>
    <x v="0"/>
  </r>
  <r>
    <s v="O110386"/>
    <x v="54"/>
    <x v="8"/>
    <x v="0"/>
    <x v="0"/>
    <x v="0"/>
    <n v="7"/>
    <n v="3878668"/>
    <d v="2026-09-23T00:00:00"/>
    <n v="9"/>
    <n v="23"/>
    <n v="2026"/>
    <x v="1"/>
    <s v="Q3"/>
    <x v="0"/>
  </r>
  <r>
    <s v="O101333"/>
    <x v="358"/>
    <x v="9"/>
    <x v="0"/>
    <x v="3"/>
    <x v="2"/>
    <n v="8"/>
    <n v="3878385"/>
    <d v="2025-03-22T00:00:00"/>
    <n v="3"/>
    <n v="22"/>
    <n v="2025"/>
    <x v="5"/>
    <s v="Q1"/>
    <x v="3"/>
  </r>
  <r>
    <s v="O104391"/>
    <x v="359"/>
    <x v="5"/>
    <x v="0"/>
    <x v="4"/>
    <x v="2"/>
    <n v="8"/>
    <n v="3876321"/>
    <d v="2025-09-24T00:00:00"/>
    <n v="9"/>
    <n v="24"/>
    <n v="2025"/>
    <x v="1"/>
    <s v="Q3"/>
    <x v="4"/>
  </r>
  <r>
    <s v="O100671"/>
    <x v="360"/>
    <x v="4"/>
    <x v="0"/>
    <x v="0"/>
    <x v="2"/>
    <n v="9"/>
    <n v="3875570"/>
    <d v="2025-10-02T00:00:00"/>
    <n v="10"/>
    <n v="2"/>
    <n v="2025"/>
    <x v="9"/>
    <s v="Q4"/>
    <x v="0"/>
  </r>
  <r>
    <s v="O100888"/>
    <x v="84"/>
    <x v="6"/>
    <x v="0"/>
    <x v="0"/>
    <x v="3"/>
    <n v="7"/>
    <n v="3873579"/>
    <d v="2025-02-23T00:00:00"/>
    <n v="2"/>
    <n v="23"/>
    <n v="2025"/>
    <x v="4"/>
    <s v="Q1"/>
    <x v="0"/>
  </r>
  <r>
    <s v="O109489"/>
    <x v="132"/>
    <x v="9"/>
    <x v="0"/>
    <x v="1"/>
    <x v="1"/>
    <n v="8"/>
    <n v="3873008"/>
    <d v="2026-07-31T00:00:00"/>
    <n v="7"/>
    <n v="31"/>
    <n v="2026"/>
    <x v="10"/>
    <s v="Q3"/>
    <x v="1"/>
  </r>
  <r>
    <s v="O110832"/>
    <x v="361"/>
    <x v="3"/>
    <x v="0"/>
    <x v="0"/>
    <x v="0"/>
    <n v="7"/>
    <n v="3871687"/>
    <d v="2026-10-21T00:00:00"/>
    <n v="10"/>
    <n v="21"/>
    <n v="2026"/>
    <x v="9"/>
    <s v="Q4"/>
    <x v="0"/>
  </r>
  <r>
    <s v="O110803"/>
    <x v="189"/>
    <x v="1"/>
    <x v="0"/>
    <x v="4"/>
    <x v="1"/>
    <n v="8"/>
    <n v="3869455"/>
    <d v="2026-10-19T00:00:00"/>
    <n v="10"/>
    <n v="19"/>
    <n v="2026"/>
    <x v="9"/>
    <s v="Q4"/>
    <x v="4"/>
  </r>
  <r>
    <s v="O107140"/>
    <x v="195"/>
    <x v="2"/>
    <x v="0"/>
    <x v="1"/>
    <x v="0"/>
    <n v="8"/>
    <n v="3866984"/>
    <d v="2026-10-03T00:00:00"/>
    <n v="10"/>
    <n v="3"/>
    <n v="2026"/>
    <x v="9"/>
    <s v="Q4"/>
    <x v="1"/>
  </r>
  <r>
    <s v="O108768"/>
    <x v="362"/>
    <x v="10"/>
    <x v="0"/>
    <x v="7"/>
    <x v="0"/>
    <n v="9"/>
    <n v="3863395"/>
    <d v="2026-06-17T00:00:00"/>
    <n v="6"/>
    <n v="17"/>
    <n v="2026"/>
    <x v="2"/>
    <s v="Q2"/>
    <x v="3"/>
  </r>
  <r>
    <s v="O107118"/>
    <x v="56"/>
    <x v="5"/>
    <x v="0"/>
    <x v="1"/>
    <x v="3"/>
    <n v="8"/>
    <n v="3862763"/>
    <d v="2026-09-03T00:00:00"/>
    <n v="9"/>
    <n v="3"/>
    <n v="2026"/>
    <x v="1"/>
    <s v="Q3"/>
    <x v="1"/>
  </r>
  <r>
    <s v="O109730"/>
    <x v="215"/>
    <x v="8"/>
    <x v="0"/>
    <x v="1"/>
    <x v="3"/>
    <n v="7"/>
    <n v="3862080"/>
    <d v="2026-08-15T00:00:00"/>
    <n v="8"/>
    <n v="15"/>
    <n v="2026"/>
    <x v="8"/>
    <s v="Q3"/>
    <x v="1"/>
  </r>
  <r>
    <s v="O100207"/>
    <x v="29"/>
    <x v="1"/>
    <x v="0"/>
    <x v="1"/>
    <x v="2"/>
    <n v="8"/>
    <n v="3861955"/>
    <d v="2025-01-13T00:00:00"/>
    <n v="1"/>
    <n v="13"/>
    <n v="2025"/>
    <x v="6"/>
    <s v="Q1"/>
    <x v="1"/>
  </r>
  <r>
    <s v="O106511"/>
    <x v="307"/>
    <x v="4"/>
    <x v="0"/>
    <x v="3"/>
    <x v="2"/>
    <n v="10"/>
    <n v="3859442"/>
    <d v="2026-01-31T00:00:00"/>
    <n v="1"/>
    <n v="31"/>
    <n v="2026"/>
    <x v="6"/>
    <s v="Q1"/>
    <x v="3"/>
  </r>
  <r>
    <s v="O111884"/>
    <x v="236"/>
    <x v="5"/>
    <x v="0"/>
    <x v="1"/>
    <x v="2"/>
    <n v="10"/>
    <n v="3855582"/>
    <d v="2026-12-23T00:00:00"/>
    <n v="12"/>
    <n v="23"/>
    <n v="2026"/>
    <x v="7"/>
    <s v="Q4"/>
    <x v="1"/>
  </r>
  <r>
    <s v="O108427"/>
    <x v="363"/>
    <x v="9"/>
    <x v="0"/>
    <x v="2"/>
    <x v="0"/>
    <n v="9"/>
    <n v="3850724"/>
    <d v="2026-05-27T00:00:00"/>
    <n v="5"/>
    <n v="27"/>
    <n v="2026"/>
    <x v="3"/>
    <s v="Q2"/>
    <x v="2"/>
  </r>
  <r>
    <s v="O108974"/>
    <x v="109"/>
    <x v="3"/>
    <x v="0"/>
    <x v="0"/>
    <x v="0"/>
    <n v="9"/>
    <n v="3848820"/>
    <d v="2026-06-30T00:00:00"/>
    <n v="6"/>
    <n v="30"/>
    <n v="2026"/>
    <x v="2"/>
    <s v="Q2"/>
    <x v="0"/>
  </r>
  <r>
    <s v="O110831"/>
    <x v="34"/>
    <x v="3"/>
    <x v="0"/>
    <x v="3"/>
    <x v="3"/>
    <n v="10"/>
    <n v="3848627"/>
    <d v="2026-10-20T00:00:00"/>
    <n v="10"/>
    <n v="20"/>
    <n v="2026"/>
    <x v="9"/>
    <s v="Q4"/>
    <x v="3"/>
  </r>
  <r>
    <s v="O105198"/>
    <x v="315"/>
    <x v="6"/>
    <x v="0"/>
    <x v="2"/>
    <x v="0"/>
    <n v="8"/>
    <n v="3846953"/>
    <d v="2025-12-11T00:00:00"/>
    <n v="12"/>
    <n v="11"/>
    <n v="2025"/>
    <x v="7"/>
    <s v="Q4"/>
    <x v="2"/>
  </r>
  <r>
    <s v="O107076"/>
    <x v="180"/>
    <x v="5"/>
    <x v="0"/>
    <x v="1"/>
    <x v="0"/>
    <n v="10"/>
    <n v="3845491"/>
    <d v="2026-06-03T00:00:00"/>
    <n v="6"/>
    <n v="3"/>
    <n v="2026"/>
    <x v="2"/>
    <s v="Q2"/>
    <x v="1"/>
  </r>
  <r>
    <s v="O110819"/>
    <x v="127"/>
    <x v="2"/>
    <x v="0"/>
    <x v="0"/>
    <x v="2"/>
    <n v="8"/>
    <n v="3844069"/>
    <d v="2026-10-20T00:00:00"/>
    <n v="10"/>
    <n v="20"/>
    <n v="2026"/>
    <x v="9"/>
    <s v="Q4"/>
    <x v="0"/>
  </r>
  <r>
    <s v="O105784"/>
    <x v="71"/>
    <x v="8"/>
    <x v="0"/>
    <x v="3"/>
    <x v="2"/>
    <n v="9"/>
    <n v="3840758"/>
    <d v="2025-12-18T00:00:00"/>
    <n v="12"/>
    <n v="18"/>
    <n v="2025"/>
    <x v="7"/>
    <s v="Q4"/>
    <x v="3"/>
  </r>
  <r>
    <s v="O111298"/>
    <x v="364"/>
    <x v="2"/>
    <x v="0"/>
    <x v="4"/>
    <x v="0"/>
    <n v="10"/>
    <n v="3840330"/>
    <d v="2026-11-18T00:00:00"/>
    <n v="11"/>
    <n v="18"/>
    <n v="2026"/>
    <x v="0"/>
    <s v="Q4"/>
    <x v="4"/>
  </r>
  <r>
    <s v="O107433"/>
    <x v="365"/>
    <x v="2"/>
    <x v="0"/>
    <x v="1"/>
    <x v="3"/>
    <n v="8"/>
    <n v="3840263"/>
    <d v="2026-03-28T00:00:00"/>
    <n v="3"/>
    <n v="28"/>
    <n v="2026"/>
    <x v="5"/>
    <s v="Q1"/>
    <x v="1"/>
  </r>
  <r>
    <s v="O103254"/>
    <x v="310"/>
    <x v="9"/>
    <x v="0"/>
    <x v="2"/>
    <x v="3"/>
    <n v="9"/>
    <n v="3840247"/>
    <d v="2025-07-17T00:00:00"/>
    <n v="7"/>
    <n v="17"/>
    <n v="2025"/>
    <x v="10"/>
    <s v="Q3"/>
    <x v="2"/>
  </r>
  <r>
    <s v="O106502"/>
    <x v="212"/>
    <x v="10"/>
    <x v="0"/>
    <x v="3"/>
    <x v="3"/>
    <n v="10"/>
    <n v="3840153"/>
    <d v="2026-01-30T00:00:00"/>
    <n v="1"/>
    <n v="30"/>
    <n v="2026"/>
    <x v="6"/>
    <s v="Q1"/>
    <x v="3"/>
  </r>
  <r>
    <s v="O110121"/>
    <x v="269"/>
    <x v="9"/>
    <x v="0"/>
    <x v="0"/>
    <x v="0"/>
    <n v="8"/>
    <n v="3839935"/>
    <d v="2026-07-09T00:00:00"/>
    <n v="7"/>
    <n v="9"/>
    <n v="2026"/>
    <x v="10"/>
    <s v="Q3"/>
    <x v="0"/>
  </r>
  <r>
    <s v="O109933"/>
    <x v="366"/>
    <x v="1"/>
    <x v="0"/>
    <x v="2"/>
    <x v="2"/>
    <n v="9"/>
    <n v="3839469"/>
    <d v="2026-08-27T00:00:00"/>
    <n v="8"/>
    <n v="27"/>
    <n v="2026"/>
    <x v="8"/>
    <s v="Q3"/>
    <x v="2"/>
  </r>
  <r>
    <s v="O102412"/>
    <x v="36"/>
    <x v="3"/>
    <x v="0"/>
    <x v="1"/>
    <x v="0"/>
    <n v="7"/>
    <n v="3837238"/>
    <d v="2025-05-27T00:00:00"/>
    <n v="5"/>
    <n v="27"/>
    <n v="2025"/>
    <x v="3"/>
    <s v="Q2"/>
    <x v="1"/>
  </r>
  <r>
    <s v="O104568"/>
    <x v="68"/>
    <x v="2"/>
    <x v="0"/>
    <x v="0"/>
    <x v="3"/>
    <n v="7"/>
    <n v="3835836"/>
    <d v="2025-05-10T00:00:00"/>
    <n v="5"/>
    <n v="10"/>
    <n v="2025"/>
    <x v="3"/>
    <s v="Q2"/>
    <x v="0"/>
  </r>
  <r>
    <s v="O107907"/>
    <x v="367"/>
    <x v="9"/>
    <x v="0"/>
    <x v="0"/>
    <x v="1"/>
    <n v="8"/>
    <n v="3835236"/>
    <d v="2026-04-26T00:00:00"/>
    <n v="4"/>
    <n v="26"/>
    <n v="2026"/>
    <x v="11"/>
    <s v="Q2"/>
    <x v="0"/>
  </r>
  <r>
    <s v="O110016"/>
    <x v="368"/>
    <x v="1"/>
    <x v="0"/>
    <x v="3"/>
    <x v="2"/>
    <n v="10"/>
    <n v="3831840"/>
    <d v="2026-01-09T00:00:00"/>
    <n v="1"/>
    <n v="9"/>
    <n v="2026"/>
    <x v="6"/>
    <s v="Q1"/>
    <x v="3"/>
  </r>
  <r>
    <s v="O104487"/>
    <x v="369"/>
    <x v="7"/>
    <x v="0"/>
    <x v="1"/>
    <x v="0"/>
    <n v="7"/>
    <n v="3830059"/>
    <d v="2025-09-30T00:00:00"/>
    <n v="9"/>
    <n v="30"/>
    <n v="2025"/>
    <x v="1"/>
    <m/>
    <x v="1"/>
  </r>
  <r>
    <s v="O101279"/>
    <x v="370"/>
    <x v="2"/>
    <x v="0"/>
    <x v="2"/>
    <x v="1"/>
    <n v="8"/>
    <n v="3828103"/>
    <d v="2025-03-19T00:00:00"/>
    <n v="3"/>
    <n v="19"/>
    <n v="2025"/>
    <x v="5"/>
    <s v="Q1"/>
    <x v="2"/>
  </r>
  <r>
    <s v="O107293"/>
    <x v="371"/>
    <x v="4"/>
    <x v="0"/>
    <x v="1"/>
    <x v="1"/>
    <n v="10"/>
    <n v="3825320"/>
    <d v="2026-03-20T00:00:00"/>
    <n v="3"/>
    <n v="20"/>
    <n v="2026"/>
    <x v="5"/>
    <s v="Q1"/>
    <x v="1"/>
  </r>
  <r>
    <s v="O104688"/>
    <x v="372"/>
    <x v="4"/>
    <x v="1"/>
    <x v="4"/>
    <x v="2"/>
    <n v="8"/>
    <n v="3822983"/>
    <d v="2025-12-10T00:00:00"/>
    <n v="12"/>
    <n v="10"/>
    <n v="2025"/>
    <x v="7"/>
    <s v="Q4"/>
    <x v="4"/>
  </r>
  <r>
    <s v="O109913"/>
    <x v="373"/>
    <x v="9"/>
    <x v="0"/>
    <x v="1"/>
    <x v="1"/>
    <n v="10"/>
    <n v="3821223"/>
    <d v="2026-08-26T00:00:00"/>
    <n v="8"/>
    <n v="26"/>
    <n v="2026"/>
    <x v="8"/>
    <s v="Q3"/>
    <x v="1"/>
  </r>
  <r>
    <s v="O100206"/>
    <x v="123"/>
    <x v="9"/>
    <x v="0"/>
    <x v="2"/>
    <x v="0"/>
    <n v="10"/>
    <n v="3819239"/>
    <d v="2025-01-13T00:00:00"/>
    <n v="1"/>
    <n v="13"/>
    <n v="2025"/>
    <x v="6"/>
    <s v="Q1"/>
    <x v="2"/>
  </r>
  <r>
    <s v="O104329"/>
    <x v="374"/>
    <x v="5"/>
    <x v="0"/>
    <x v="2"/>
    <x v="2"/>
    <n v="8"/>
    <n v="3814910"/>
    <d v="2025-09-20T00:00:00"/>
    <n v="9"/>
    <n v="20"/>
    <n v="2025"/>
    <x v="1"/>
    <s v="Q3"/>
    <x v="2"/>
  </r>
  <r>
    <s v="O107421"/>
    <x v="328"/>
    <x v="0"/>
    <x v="0"/>
    <x v="2"/>
    <x v="0"/>
    <n v="7"/>
    <n v="3812301"/>
    <d v="2026-03-27T00:00:00"/>
    <n v="3"/>
    <n v="27"/>
    <n v="2026"/>
    <x v="5"/>
    <s v="Q1"/>
    <x v="2"/>
  </r>
  <r>
    <s v="O106948"/>
    <x v="375"/>
    <x v="2"/>
    <x v="0"/>
    <x v="4"/>
    <x v="3"/>
    <n v="8"/>
    <n v="3810914"/>
    <d v="2026-02-27T00:00:00"/>
    <n v="2"/>
    <n v="27"/>
    <n v="2026"/>
    <x v="4"/>
    <s v="Q1"/>
    <x v="4"/>
  </r>
  <r>
    <s v="O100605"/>
    <x v="215"/>
    <x v="6"/>
    <x v="0"/>
    <x v="1"/>
    <x v="3"/>
    <n v="8"/>
    <n v="3810580"/>
    <d v="2025-06-02T00:00:00"/>
    <n v="6"/>
    <n v="2"/>
    <n v="2025"/>
    <x v="2"/>
    <s v="Q2"/>
    <x v="1"/>
  </r>
  <r>
    <s v="O104327"/>
    <x v="376"/>
    <x v="5"/>
    <x v="0"/>
    <x v="0"/>
    <x v="0"/>
    <n v="7"/>
    <n v="3806818"/>
    <d v="2025-09-20T00:00:00"/>
    <n v="9"/>
    <n v="20"/>
    <n v="2025"/>
    <x v="1"/>
    <s v="Q3"/>
    <x v="0"/>
  </r>
  <r>
    <s v="O105094"/>
    <x v="377"/>
    <x v="0"/>
    <x v="0"/>
    <x v="3"/>
    <x v="0"/>
    <n v="9"/>
    <n v="3806729"/>
    <d v="2025-06-11T00:00:00"/>
    <n v="6"/>
    <n v="11"/>
    <n v="2025"/>
    <x v="2"/>
    <s v="Q2"/>
    <x v="3"/>
  </r>
  <r>
    <s v="O106254"/>
    <x v="378"/>
    <x v="3"/>
    <x v="0"/>
    <x v="4"/>
    <x v="2"/>
    <n v="8"/>
    <n v="3804242"/>
    <d v="2026-01-15T00:00:00"/>
    <n v="1"/>
    <n v="15"/>
    <n v="2026"/>
    <x v="6"/>
    <m/>
    <x v="4"/>
  </r>
  <r>
    <s v="O100795"/>
    <x v="89"/>
    <x v="4"/>
    <x v="0"/>
    <x v="0"/>
    <x v="2"/>
    <n v="7"/>
    <n v="3803243"/>
    <d v="2025-02-18T00:00:00"/>
    <n v="2"/>
    <n v="18"/>
    <n v="2025"/>
    <x v="4"/>
    <s v="Q1"/>
    <x v="0"/>
  </r>
  <r>
    <s v="O102634"/>
    <x v="379"/>
    <x v="5"/>
    <x v="0"/>
    <x v="4"/>
    <x v="1"/>
    <n v="8"/>
    <n v="3802637"/>
    <d v="2025-09-06T00:00:00"/>
    <n v="9"/>
    <n v="6"/>
    <n v="2025"/>
    <x v="1"/>
    <s v="Q3"/>
    <x v="4"/>
  </r>
  <r>
    <s v="O103696"/>
    <x v="380"/>
    <x v="5"/>
    <x v="0"/>
    <x v="4"/>
    <x v="2"/>
    <n v="10"/>
    <n v="3801109"/>
    <d v="2025-08-13T00:00:00"/>
    <n v="8"/>
    <n v="13"/>
    <n v="2025"/>
    <x v="8"/>
    <s v="Q3"/>
    <x v="4"/>
  </r>
  <r>
    <s v="O111913"/>
    <x v="381"/>
    <x v="0"/>
    <x v="0"/>
    <x v="1"/>
    <x v="3"/>
    <n v="9"/>
    <n v="3800214"/>
    <d v="2026-12-25T00:00:00"/>
    <n v="12"/>
    <n v="25"/>
    <n v="2026"/>
    <x v="7"/>
    <s v="Q4"/>
    <x v="1"/>
  </r>
  <r>
    <s v="O100091"/>
    <x v="382"/>
    <x v="6"/>
    <x v="0"/>
    <x v="2"/>
    <x v="0"/>
    <n v="8"/>
    <n v="3799864"/>
    <d v="2025-06-01T00:00:00"/>
    <n v="6"/>
    <n v="1"/>
    <n v="2025"/>
    <x v="2"/>
    <s v="Q2"/>
    <x v="2"/>
  </r>
  <r>
    <s v="O109173"/>
    <x v="383"/>
    <x v="10"/>
    <x v="0"/>
    <x v="1"/>
    <x v="3"/>
    <n v="9"/>
    <n v="3799307"/>
    <d v="2026-12-07T00:00:00"/>
    <n v="12"/>
    <n v="7"/>
    <n v="2026"/>
    <x v="7"/>
    <s v="Q4"/>
    <x v="1"/>
  </r>
  <r>
    <s v="O101072"/>
    <x v="319"/>
    <x v="3"/>
    <x v="0"/>
    <x v="2"/>
    <x v="2"/>
    <n v="9"/>
    <n v="3797313"/>
    <d v="2025-07-03T00:00:00"/>
    <n v="7"/>
    <n v="3"/>
    <n v="2025"/>
    <x v="10"/>
    <s v="Q3"/>
    <x v="2"/>
  </r>
  <r>
    <s v="O109513"/>
    <x v="193"/>
    <x v="5"/>
    <x v="0"/>
    <x v="3"/>
    <x v="3"/>
    <n v="9"/>
    <n v="3794675"/>
    <d v="2026-01-08T00:00:00"/>
    <n v="1"/>
    <n v="8"/>
    <n v="2026"/>
    <x v="6"/>
    <s v="Q1"/>
    <x v="3"/>
  </r>
  <r>
    <s v="O104217"/>
    <x v="384"/>
    <x v="0"/>
    <x v="0"/>
    <x v="4"/>
    <x v="1"/>
    <n v="7"/>
    <n v="3792497"/>
    <d v="2025-09-14T00:00:00"/>
    <n v="9"/>
    <n v="14"/>
    <n v="2025"/>
    <x v="1"/>
    <s v="Q3"/>
    <x v="4"/>
  </r>
  <r>
    <s v="O101067"/>
    <x v="385"/>
    <x v="9"/>
    <x v="0"/>
    <x v="2"/>
    <x v="1"/>
    <n v="8"/>
    <n v="3788550"/>
    <d v="2025-06-03T00:00:00"/>
    <n v="6"/>
    <n v="3"/>
    <n v="2025"/>
    <x v="2"/>
    <s v="Q2"/>
    <x v="2"/>
  </r>
  <r>
    <s v="O106916"/>
    <x v="386"/>
    <x v="4"/>
    <x v="0"/>
    <x v="0"/>
    <x v="0"/>
    <n v="10"/>
    <n v="3788445"/>
    <d v="2026-02-25T00:00:00"/>
    <n v="2"/>
    <n v="25"/>
    <n v="2026"/>
    <x v="4"/>
    <s v="Q1"/>
    <x v="0"/>
  </r>
  <r>
    <s v="O107375"/>
    <x v="250"/>
    <x v="9"/>
    <x v="0"/>
    <x v="3"/>
    <x v="0"/>
    <n v="9"/>
    <n v="3784179"/>
    <d v="2026-03-25T00:00:00"/>
    <n v="3"/>
    <n v="25"/>
    <n v="2026"/>
    <x v="5"/>
    <s v="Q1"/>
    <x v="3"/>
  </r>
  <r>
    <s v="O101493"/>
    <x v="387"/>
    <x v="3"/>
    <x v="0"/>
    <x v="4"/>
    <x v="0"/>
    <n v="10"/>
    <n v="3783371"/>
    <d v="2025-01-04T00:00:00"/>
    <n v="1"/>
    <n v="4"/>
    <n v="2025"/>
    <x v="6"/>
    <s v="Q1"/>
    <x v="4"/>
  </r>
  <r>
    <s v="O105254"/>
    <x v="388"/>
    <x v="8"/>
    <x v="0"/>
    <x v="0"/>
    <x v="0"/>
    <n v="7"/>
    <n v="3783097"/>
    <d v="2025-11-16T00:00:00"/>
    <n v="11"/>
    <n v="16"/>
    <n v="2025"/>
    <x v="0"/>
    <s v="Q4"/>
    <x v="0"/>
  </r>
  <r>
    <s v="O103489"/>
    <x v="61"/>
    <x v="4"/>
    <x v="0"/>
    <x v="2"/>
    <x v="2"/>
    <n v="9"/>
    <n v="3779708"/>
    <d v="2025-07-31T00:00:00"/>
    <n v="7"/>
    <n v="31"/>
    <n v="2025"/>
    <x v="10"/>
    <s v="Q3"/>
    <x v="2"/>
  </r>
  <r>
    <s v="O104298"/>
    <x v="389"/>
    <x v="3"/>
    <x v="0"/>
    <x v="4"/>
    <x v="1"/>
    <n v="8"/>
    <n v="3779165"/>
    <d v="2025-09-19T00:00:00"/>
    <n v="9"/>
    <n v="19"/>
    <n v="2025"/>
    <x v="1"/>
    <s v="Q3"/>
    <x v="4"/>
  </r>
  <r>
    <s v="O111930"/>
    <x v="390"/>
    <x v="8"/>
    <x v="0"/>
    <x v="3"/>
    <x v="3"/>
    <n v="7"/>
    <n v="3778526"/>
    <d v="2026-12-26T00:00:00"/>
    <n v="12"/>
    <n v="26"/>
    <n v="2026"/>
    <x v="7"/>
    <s v="Q4"/>
    <x v="3"/>
  </r>
  <r>
    <s v="O106028"/>
    <x v="391"/>
    <x v="1"/>
    <x v="0"/>
    <x v="2"/>
    <x v="2"/>
    <n v="7"/>
    <n v="3777035"/>
    <d v="2026-02-01T00:00:00"/>
    <n v="2"/>
    <n v="1"/>
    <n v="2026"/>
    <x v="4"/>
    <s v="Q1"/>
    <x v="2"/>
  </r>
  <r>
    <s v="O109903"/>
    <x v="240"/>
    <x v="8"/>
    <x v="0"/>
    <x v="2"/>
    <x v="1"/>
    <n v="7"/>
    <n v="3775495"/>
    <d v="2026-08-25T00:00:00"/>
    <n v="8"/>
    <n v="25"/>
    <n v="2026"/>
    <x v="8"/>
    <s v="Q3"/>
    <x v="2"/>
  </r>
  <r>
    <s v="O102440"/>
    <x v="312"/>
    <x v="0"/>
    <x v="0"/>
    <x v="2"/>
    <x v="1"/>
    <n v="9"/>
    <n v="3774265"/>
    <d v="2025-05-29T00:00:00"/>
    <n v="5"/>
    <n v="29"/>
    <n v="2025"/>
    <x v="3"/>
    <s v="Q2"/>
    <x v="2"/>
  </r>
  <r>
    <s v="O101795"/>
    <x v="392"/>
    <x v="2"/>
    <x v="0"/>
    <x v="3"/>
    <x v="1"/>
    <n v="10"/>
    <n v="3773283"/>
    <d v="2025-04-19T00:00:00"/>
    <n v="4"/>
    <n v="19"/>
    <n v="2025"/>
    <x v="11"/>
    <s v="Q2"/>
    <x v="3"/>
  </r>
  <r>
    <s v="O104252"/>
    <x v="393"/>
    <x v="0"/>
    <x v="0"/>
    <x v="4"/>
    <x v="0"/>
    <n v="8"/>
    <n v="3771536"/>
    <d v="2025-09-16T00:00:00"/>
    <n v="9"/>
    <n v="16"/>
    <n v="2025"/>
    <x v="1"/>
    <s v="Q3"/>
    <x v="4"/>
  </r>
  <r>
    <s v="O109309"/>
    <x v="394"/>
    <x v="3"/>
    <x v="0"/>
    <x v="0"/>
    <x v="3"/>
    <n v="10"/>
    <n v="3770574"/>
    <d v="2026-07-20T00:00:00"/>
    <n v="7"/>
    <n v="20"/>
    <n v="2026"/>
    <x v="10"/>
    <s v="Q3"/>
    <x v="0"/>
  </r>
  <r>
    <s v="O103656"/>
    <x v="395"/>
    <x v="10"/>
    <x v="0"/>
    <x v="0"/>
    <x v="3"/>
    <n v="10"/>
    <n v="3769862"/>
    <d v="2025-11-08T00:00:00"/>
    <n v="11"/>
    <n v="8"/>
    <n v="2025"/>
    <x v="0"/>
    <s v="Q4"/>
    <x v="0"/>
  </r>
  <r>
    <s v="O111392"/>
    <x v="396"/>
    <x v="4"/>
    <x v="0"/>
    <x v="1"/>
    <x v="0"/>
    <n v="9"/>
    <n v="3766551"/>
    <d v="2026-11-24T00:00:00"/>
    <n v="11"/>
    <n v="24"/>
    <n v="2026"/>
    <x v="0"/>
    <s v="Q4"/>
    <x v="1"/>
  </r>
  <r>
    <s v="O111245"/>
    <x v="267"/>
    <x v="0"/>
    <x v="0"/>
    <x v="3"/>
    <x v="2"/>
    <n v="10"/>
    <n v="3764207"/>
    <d v="2026-11-15T00:00:00"/>
    <n v="11"/>
    <n v="15"/>
    <n v="2026"/>
    <x v="0"/>
    <s v="Q4"/>
    <x v="3"/>
  </r>
  <r>
    <s v="O107472"/>
    <x v="187"/>
    <x v="4"/>
    <x v="0"/>
    <x v="2"/>
    <x v="0"/>
    <n v="7"/>
    <n v="3763417"/>
    <d v="2026-03-30T00:00:00"/>
    <n v="3"/>
    <n v="30"/>
    <n v="2026"/>
    <x v="5"/>
    <s v="Q1"/>
    <x v="2"/>
  </r>
  <r>
    <s v="O108299"/>
    <x v="217"/>
    <x v="4"/>
    <x v="0"/>
    <x v="3"/>
    <x v="3"/>
    <n v="10"/>
    <n v="3761381"/>
    <d v="2026-05-20T00:00:00"/>
    <n v="5"/>
    <n v="20"/>
    <n v="2026"/>
    <x v="3"/>
    <s v="Q2"/>
    <x v="3"/>
  </r>
  <r>
    <s v="O107292"/>
    <x v="397"/>
    <x v="5"/>
    <x v="0"/>
    <x v="4"/>
    <x v="3"/>
    <n v="10"/>
    <n v="3761014"/>
    <d v="2026-03-19T00:00:00"/>
    <n v="3"/>
    <n v="19"/>
    <n v="2026"/>
    <x v="5"/>
    <s v="Q1"/>
    <x v="4"/>
  </r>
  <r>
    <s v="O102545"/>
    <x v="107"/>
    <x v="9"/>
    <x v="0"/>
    <x v="0"/>
    <x v="0"/>
    <n v="10"/>
    <n v="3759989"/>
    <d v="2025-04-06T00:00:00"/>
    <n v="4"/>
    <n v="6"/>
    <n v="2025"/>
    <x v="11"/>
    <s v="Q2"/>
    <x v="0"/>
  </r>
  <r>
    <s v="O102581"/>
    <x v="398"/>
    <x v="8"/>
    <x v="0"/>
    <x v="1"/>
    <x v="1"/>
    <n v="8"/>
    <n v="3759791"/>
    <d v="2025-06-06T00:00:00"/>
    <n v="6"/>
    <n v="6"/>
    <n v="2025"/>
    <x v="2"/>
    <s v="Q2"/>
    <x v="1"/>
  </r>
  <r>
    <s v="O105347"/>
    <x v="264"/>
    <x v="2"/>
    <x v="0"/>
    <x v="1"/>
    <x v="1"/>
    <n v="7"/>
    <n v="3757171"/>
    <d v="2025-11-21T00:00:00"/>
    <n v="11"/>
    <n v="21"/>
    <n v="2025"/>
    <x v="0"/>
    <s v="Q4"/>
    <x v="1"/>
  </r>
  <r>
    <s v="O106524"/>
    <x v="6"/>
    <x v="4"/>
    <x v="0"/>
    <x v="0"/>
    <x v="1"/>
    <n v="10"/>
    <n v="3756405"/>
    <d v="2026-01-02T00:00:00"/>
    <n v="1"/>
    <n v="2"/>
    <n v="2026"/>
    <x v="6"/>
    <s v="Q1"/>
    <x v="0"/>
  </r>
  <r>
    <s v="O110318"/>
    <x v="399"/>
    <x v="1"/>
    <x v="0"/>
    <x v="2"/>
    <x v="0"/>
    <n v="8"/>
    <n v="3756402"/>
    <d v="2026-09-19T00:00:00"/>
    <n v="9"/>
    <n v="19"/>
    <n v="2026"/>
    <x v="1"/>
    <s v="Q3"/>
    <x v="2"/>
  </r>
  <r>
    <s v="O103059"/>
    <x v="400"/>
    <x v="5"/>
    <x v="0"/>
    <x v="1"/>
    <x v="1"/>
    <n v="9"/>
    <n v="3755626"/>
    <d v="2025-05-07T00:00:00"/>
    <n v="5"/>
    <n v="7"/>
    <n v="2025"/>
    <x v="3"/>
    <s v="Q2"/>
    <x v="1"/>
  </r>
  <r>
    <s v="O103789"/>
    <x v="172"/>
    <x v="5"/>
    <x v="0"/>
    <x v="0"/>
    <x v="0"/>
    <n v="7"/>
    <n v="3752310"/>
    <d v="2025-08-19T00:00:00"/>
    <n v="8"/>
    <n v="19"/>
    <n v="2025"/>
    <x v="8"/>
    <s v="Q3"/>
    <x v="0"/>
  </r>
  <r>
    <s v="O100547"/>
    <x v="54"/>
    <x v="5"/>
    <x v="0"/>
    <x v="1"/>
    <x v="0"/>
    <n v="8"/>
    <n v="3751760"/>
    <d v="2025-03-02T00:00:00"/>
    <n v="3"/>
    <n v="2"/>
    <n v="2025"/>
    <x v="5"/>
    <s v="Q1"/>
    <x v="1"/>
  </r>
  <r>
    <s v="O107518"/>
    <x v="401"/>
    <x v="8"/>
    <x v="0"/>
    <x v="0"/>
    <x v="3"/>
    <n v="9"/>
    <n v="3750458"/>
    <d v="2026-02-04T00:00:00"/>
    <n v="2"/>
    <n v="4"/>
    <n v="2026"/>
    <x v="4"/>
    <s v="Q1"/>
    <x v="0"/>
  </r>
  <r>
    <s v="O101931"/>
    <x v="263"/>
    <x v="0"/>
    <x v="2"/>
    <x v="0"/>
    <x v="3"/>
    <n v="10"/>
    <n v="3747809"/>
    <d v="2025-04-28T00:00:00"/>
    <n v="4"/>
    <n v="28"/>
    <n v="2025"/>
    <x v="11"/>
    <s v="Q2"/>
    <x v="0"/>
  </r>
  <r>
    <s v="O111476"/>
    <x v="267"/>
    <x v="6"/>
    <x v="0"/>
    <x v="2"/>
    <x v="1"/>
    <n v="10"/>
    <n v="3746884"/>
    <d v="2026-11-29T00:00:00"/>
    <n v="11"/>
    <n v="29"/>
    <n v="2026"/>
    <x v="0"/>
    <s v="Q4"/>
    <x v="2"/>
  </r>
  <r>
    <s v="O102745"/>
    <x v="402"/>
    <x v="1"/>
    <x v="2"/>
    <x v="4"/>
    <x v="3"/>
    <n v="10"/>
    <n v="3745803"/>
    <d v="2025-06-16T00:00:00"/>
    <n v="6"/>
    <n v="16"/>
    <n v="2025"/>
    <x v="2"/>
    <s v="Q2"/>
    <x v="4"/>
  </r>
  <r>
    <s v="O109213"/>
    <x v="403"/>
    <x v="1"/>
    <x v="0"/>
    <x v="0"/>
    <x v="3"/>
    <n v="7"/>
    <n v="3741466"/>
    <d v="2026-07-14T00:00:00"/>
    <n v="7"/>
    <n v="14"/>
    <n v="2026"/>
    <x v="10"/>
    <s v="Q3"/>
    <x v="0"/>
  </r>
  <r>
    <s v="O105340"/>
    <x v="404"/>
    <x v="2"/>
    <x v="0"/>
    <x v="2"/>
    <x v="4"/>
    <n v="8"/>
    <n v="3739390"/>
    <d v="2025-11-21T00:00:00"/>
    <n v="11"/>
    <n v="21"/>
    <n v="2025"/>
    <x v="0"/>
    <s v="Q4"/>
    <x v="2"/>
  </r>
  <r>
    <s v="O105817"/>
    <x v="127"/>
    <x v="2"/>
    <x v="0"/>
    <x v="0"/>
    <x v="3"/>
    <n v="7"/>
    <n v="3738434"/>
    <d v="2025-12-20T00:00:00"/>
    <n v="12"/>
    <n v="20"/>
    <n v="2025"/>
    <x v="7"/>
    <s v="Q4"/>
    <x v="0"/>
  </r>
  <r>
    <s v="O104511"/>
    <x v="128"/>
    <x v="5"/>
    <x v="0"/>
    <x v="0"/>
    <x v="3"/>
    <n v="10"/>
    <n v="3738385"/>
    <d v="2025-02-10T00:00:00"/>
    <n v="2"/>
    <n v="10"/>
    <n v="2025"/>
    <x v="4"/>
    <s v="Q1"/>
    <x v="0"/>
  </r>
  <r>
    <s v="O104995"/>
    <x v="230"/>
    <x v="6"/>
    <x v="0"/>
    <x v="0"/>
    <x v="3"/>
    <n v="10"/>
    <n v="3738358"/>
    <d v="2025-10-31T00:00:00"/>
    <n v="10"/>
    <n v="31"/>
    <n v="2025"/>
    <x v="9"/>
    <s v="Q4"/>
    <x v="0"/>
  </r>
  <r>
    <s v="O103954"/>
    <x v="405"/>
    <x v="6"/>
    <x v="0"/>
    <x v="0"/>
    <x v="0"/>
    <n v="8"/>
    <n v="3737525"/>
    <d v="2025-08-29T00:00:00"/>
    <n v="8"/>
    <n v="29"/>
    <n v="2025"/>
    <x v="8"/>
    <s v="Q3"/>
    <x v="0"/>
  </r>
  <r>
    <s v="O108561"/>
    <x v="406"/>
    <x v="4"/>
    <x v="0"/>
    <x v="3"/>
    <x v="3"/>
    <n v="7"/>
    <n v="3737050"/>
    <d v="2026-05-06T00:00:00"/>
    <n v="5"/>
    <n v="6"/>
    <n v="2026"/>
    <x v="3"/>
    <s v="Q2"/>
    <x v="3"/>
  </r>
  <r>
    <s v="O104389"/>
    <x v="186"/>
    <x v="2"/>
    <x v="0"/>
    <x v="1"/>
    <x v="0"/>
    <n v="10"/>
    <n v="3734776"/>
    <d v="2025-09-24T00:00:00"/>
    <n v="9"/>
    <n v="24"/>
    <n v="2025"/>
    <x v="1"/>
    <s v="Q3"/>
    <x v="1"/>
  </r>
  <r>
    <s v="O101253"/>
    <x v="353"/>
    <x v="0"/>
    <x v="0"/>
    <x v="0"/>
    <x v="1"/>
    <n v="9"/>
    <n v="3734258"/>
    <d v="2025-03-18T00:00:00"/>
    <n v="3"/>
    <n v="18"/>
    <n v="2025"/>
    <x v="5"/>
    <s v="Q1"/>
    <x v="0"/>
  </r>
  <r>
    <s v="O107310"/>
    <x v="177"/>
    <x v="10"/>
    <x v="0"/>
    <x v="0"/>
    <x v="1"/>
    <n v="8"/>
    <n v="3733275"/>
    <d v="2026-03-21T00:00:00"/>
    <n v="3"/>
    <n v="21"/>
    <n v="2026"/>
    <x v="5"/>
    <s v="Q1"/>
    <x v="0"/>
  </r>
  <r>
    <s v="O109770"/>
    <x v="343"/>
    <x v="8"/>
    <x v="0"/>
    <x v="2"/>
    <x v="1"/>
    <n v="8"/>
    <n v="3733013"/>
    <d v="2026-08-17T00:00:00"/>
    <n v="8"/>
    <n v="17"/>
    <n v="2026"/>
    <x v="8"/>
    <s v="Q3"/>
    <x v="2"/>
  </r>
  <r>
    <s v="O104547"/>
    <x v="147"/>
    <x v="6"/>
    <x v="0"/>
    <x v="3"/>
    <x v="2"/>
    <n v="7"/>
    <n v="3732643"/>
    <d v="2025-04-10T00:00:00"/>
    <n v="4"/>
    <n v="10"/>
    <n v="2025"/>
    <x v="11"/>
    <s v="Q2"/>
    <x v="3"/>
  </r>
  <r>
    <s v="O100516"/>
    <x v="193"/>
    <x v="5"/>
    <x v="0"/>
    <x v="4"/>
    <x v="2"/>
    <n v="9"/>
    <n v="3732148"/>
    <d v="2025-01-02T00:00:00"/>
    <n v="1"/>
    <n v="2"/>
    <n v="2025"/>
    <x v="6"/>
    <s v="Q1"/>
    <x v="4"/>
  </r>
  <r>
    <s v="O107249"/>
    <x v="9"/>
    <x v="1"/>
    <x v="0"/>
    <x v="0"/>
    <x v="0"/>
    <n v="10"/>
    <n v="3730486"/>
    <d v="2026-03-17T00:00:00"/>
    <n v="3"/>
    <n v="17"/>
    <n v="2026"/>
    <x v="5"/>
    <s v="Q1"/>
    <x v="0"/>
  </r>
  <r>
    <s v="O100601"/>
    <x v="407"/>
    <x v="0"/>
    <x v="0"/>
    <x v="0"/>
    <x v="3"/>
    <n v="9"/>
    <n v="3728385"/>
    <d v="2025-06-02T00:00:00"/>
    <n v="6"/>
    <n v="2"/>
    <n v="2025"/>
    <x v="2"/>
    <s v="Q2"/>
    <x v="0"/>
  </r>
  <r>
    <s v="O106183"/>
    <x v="408"/>
    <x v="1"/>
    <x v="0"/>
    <x v="1"/>
    <x v="0"/>
    <n v="9"/>
    <n v="3725882"/>
    <d v="2026-11-01T00:00:00"/>
    <n v="11"/>
    <n v="1"/>
    <n v="2026"/>
    <x v="0"/>
    <s v="Q4"/>
    <x v="1"/>
  </r>
  <r>
    <s v="O104780"/>
    <x v="409"/>
    <x v="3"/>
    <x v="0"/>
    <x v="4"/>
    <x v="2"/>
    <n v="7"/>
    <n v="3725474"/>
    <d v="2025-10-18T00:00:00"/>
    <n v="10"/>
    <n v="18"/>
    <n v="2025"/>
    <x v="9"/>
    <s v="Q4"/>
    <x v="4"/>
  </r>
  <r>
    <s v="O107500"/>
    <x v="234"/>
    <x v="0"/>
    <x v="2"/>
    <x v="1"/>
    <x v="3"/>
    <n v="10"/>
    <n v="3724804"/>
    <d v="2026-01-04T00:00:00"/>
    <n v="1"/>
    <n v="4"/>
    <n v="2026"/>
    <x v="6"/>
    <s v="Q1"/>
    <x v="1"/>
  </r>
  <r>
    <s v="O104498"/>
    <x v="410"/>
    <x v="9"/>
    <x v="0"/>
    <x v="2"/>
    <x v="0"/>
    <n v="9"/>
    <n v="3723885"/>
    <d v="2025-01-10T00:00:00"/>
    <n v="1"/>
    <n v="10"/>
    <n v="2025"/>
    <x v="6"/>
    <s v="Q1"/>
    <x v="2"/>
  </r>
  <r>
    <s v="O104308"/>
    <x v="411"/>
    <x v="6"/>
    <x v="2"/>
    <x v="2"/>
    <x v="3"/>
    <n v="10"/>
    <n v="3721907"/>
    <d v="2025-09-19T00:00:00"/>
    <n v="9"/>
    <n v="19"/>
    <n v="2025"/>
    <x v="1"/>
    <s v="Q3"/>
    <x v="2"/>
  </r>
  <r>
    <s v="O102855"/>
    <x v="14"/>
    <x v="4"/>
    <x v="0"/>
    <x v="3"/>
    <x v="0"/>
    <n v="10"/>
    <n v="3720939"/>
    <d v="2025-06-23T00:00:00"/>
    <n v="6"/>
    <n v="23"/>
    <n v="2025"/>
    <x v="2"/>
    <s v="Q2"/>
    <x v="3"/>
  </r>
  <r>
    <s v="O106980"/>
    <x v="244"/>
    <x v="6"/>
    <x v="0"/>
    <x v="3"/>
    <x v="1"/>
    <n v="10"/>
    <n v="3720843"/>
    <d v="2026-01-03T00:00:00"/>
    <n v="1"/>
    <n v="3"/>
    <n v="2026"/>
    <x v="6"/>
    <s v="Q1"/>
    <x v="3"/>
  </r>
  <r>
    <s v="O100953"/>
    <x v="412"/>
    <x v="1"/>
    <x v="0"/>
    <x v="2"/>
    <x v="1"/>
    <n v="7"/>
    <n v="3720106"/>
    <d v="2025-02-27T00:00:00"/>
    <n v="2"/>
    <n v="27"/>
    <n v="2025"/>
    <x v="4"/>
    <s v="Q1"/>
    <x v="2"/>
  </r>
  <r>
    <s v="O102627"/>
    <x v="135"/>
    <x v="3"/>
    <x v="0"/>
    <x v="2"/>
    <x v="1"/>
    <n v="8"/>
    <n v="3720014"/>
    <d v="2025-09-06T00:00:00"/>
    <n v="9"/>
    <n v="6"/>
    <n v="2025"/>
    <x v="1"/>
    <s v="Q3"/>
    <x v="2"/>
  </r>
  <r>
    <s v="O106143"/>
    <x v="181"/>
    <x v="2"/>
    <x v="0"/>
    <x v="1"/>
    <x v="0"/>
    <n v="7"/>
    <n v="3716912"/>
    <d v="2026-09-01T00:00:00"/>
    <n v="9"/>
    <n v="1"/>
    <n v="2026"/>
    <x v="1"/>
    <s v="Q3"/>
    <x v="1"/>
  </r>
  <r>
    <s v="O110292"/>
    <x v="95"/>
    <x v="10"/>
    <x v="0"/>
    <x v="0"/>
    <x v="3"/>
    <n v="7"/>
    <n v="3711894"/>
    <d v="2026-09-18T00:00:00"/>
    <n v="9"/>
    <n v="18"/>
    <n v="2026"/>
    <x v="1"/>
    <s v="Q3"/>
    <x v="0"/>
  </r>
  <r>
    <s v="O102053"/>
    <x v="88"/>
    <x v="8"/>
    <x v="0"/>
    <x v="1"/>
    <x v="0"/>
    <n v="10"/>
    <n v="3711639"/>
    <d v="2025-05-05T00:00:00"/>
    <n v="5"/>
    <n v="5"/>
    <n v="2025"/>
    <x v="3"/>
    <s v="Q2"/>
    <x v="1"/>
  </r>
  <r>
    <s v="O110008"/>
    <x v="413"/>
    <x v="6"/>
    <x v="2"/>
    <x v="2"/>
    <x v="0"/>
    <n v="10"/>
    <n v="3711576"/>
    <d v="2026-08-31T00:00:00"/>
    <n v="8"/>
    <n v="31"/>
    <n v="2026"/>
    <x v="8"/>
    <s v="Q3"/>
    <x v="2"/>
  </r>
  <r>
    <s v="O103946"/>
    <x v="414"/>
    <x v="4"/>
    <x v="0"/>
    <x v="0"/>
    <x v="2"/>
    <n v="9"/>
    <n v="3710924"/>
    <d v="2025-08-28T00:00:00"/>
    <n v="8"/>
    <n v="28"/>
    <n v="2025"/>
    <x v="8"/>
    <s v="Q3"/>
    <x v="0"/>
  </r>
  <r>
    <s v="O100648"/>
    <x v="37"/>
    <x v="6"/>
    <x v="2"/>
    <x v="0"/>
    <x v="3"/>
    <n v="10"/>
    <n v="3709467"/>
    <d v="2025-09-02T00:00:00"/>
    <n v="9"/>
    <n v="2"/>
    <n v="2025"/>
    <x v="1"/>
    <s v="Q3"/>
    <x v="0"/>
  </r>
  <r>
    <s v="O110262"/>
    <x v="58"/>
    <x v="10"/>
    <x v="2"/>
    <x v="3"/>
    <x v="3"/>
    <n v="10"/>
    <n v="3709175"/>
    <d v="2026-09-16T00:00:00"/>
    <n v="9"/>
    <n v="16"/>
    <n v="2026"/>
    <x v="1"/>
    <s v="Q3"/>
    <x v="3"/>
  </r>
  <r>
    <s v="O109184"/>
    <x v="415"/>
    <x v="0"/>
    <x v="2"/>
    <x v="1"/>
    <x v="3"/>
    <n v="10"/>
    <n v="3708918"/>
    <d v="2026-12-07T00:00:00"/>
    <n v="12"/>
    <n v="7"/>
    <n v="2026"/>
    <x v="7"/>
    <s v="Q4"/>
    <x v="1"/>
  </r>
  <r>
    <s v="O102388"/>
    <x v="298"/>
    <x v="4"/>
    <x v="2"/>
    <x v="1"/>
    <x v="0"/>
    <n v="10"/>
    <n v="3708490"/>
    <d v="2025-05-26T00:00:00"/>
    <n v="5"/>
    <n v="26"/>
    <n v="2025"/>
    <x v="3"/>
    <s v="Q2"/>
    <x v="1"/>
  </r>
  <r>
    <s v="O101192"/>
    <x v="416"/>
    <x v="2"/>
    <x v="2"/>
    <x v="0"/>
    <x v="3"/>
    <n v="10"/>
    <n v="3700677"/>
    <d v="2025-03-14T00:00:00"/>
    <n v="3"/>
    <n v="14"/>
    <n v="2025"/>
    <x v="5"/>
    <s v="Q1"/>
    <x v="0"/>
  </r>
  <r>
    <s v="O104004"/>
    <x v="101"/>
    <x v="3"/>
    <x v="0"/>
    <x v="0"/>
    <x v="0"/>
    <n v="7"/>
    <n v="3699591"/>
    <d v="2025-01-09T00:00:00"/>
    <n v="1"/>
    <n v="9"/>
    <n v="2025"/>
    <x v="6"/>
    <s v="Q1"/>
    <x v="0"/>
  </r>
  <r>
    <s v="O102067"/>
    <x v="75"/>
    <x v="6"/>
    <x v="0"/>
    <x v="1"/>
    <x v="0"/>
    <n v="8"/>
    <n v="3699250"/>
    <d v="2025-06-05T00:00:00"/>
    <n v="6"/>
    <n v="5"/>
    <n v="2025"/>
    <x v="2"/>
    <m/>
    <x v="1"/>
  </r>
  <r>
    <s v="O108815"/>
    <x v="117"/>
    <x v="3"/>
    <x v="2"/>
    <x v="4"/>
    <x v="0"/>
    <n v="10"/>
    <n v="3698039"/>
    <d v="2026-06-20T00:00:00"/>
    <n v="6"/>
    <n v="20"/>
    <n v="2026"/>
    <x v="2"/>
    <s v="Q2"/>
    <x v="4"/>
  </r>
  <r>
    <s v="O106632"/>
    <x v="417"/>
    <x v="6"/>
    <x v="0"/>
    <x v="1"/>
    <x v="0"/>
    <n v="10"/>
    <n v="3697455"/>
    <d v="2026-07-02T00:00:00"/>
    <n v="7"/>
    <n v="2"/>
    <n v="2026"/>
    <x v="10"/>
    <s v="Q3"/>
    <x v="1"/>
  </r>
  <r>
    <s v="O106172"/>
    <x v="246"/>
    <x v="9"/>
    <x v="2"/>
    <x v="4"/>
    <x v="0"/>
    <n v="10"/>
    <n v="3697202"/>
    <d v="2026-10-01T00:00:00"/>
    <n v="10"/>
    <n v="1"/>
    <n v="2026"/>
    <x v="9"/>
    <s v="Q4"/>
    <x v="4"/>
  </r>
  <r>
    <s v="O102879"/>
    <x v="418"/>
    <x v="4"/>
    <x v="2"/>
    <x v="3"/>
    <x v="1"/>
    <n v="10"/>
    <n v="3697103"/>
    <d v="2025-06-24T00:00:00"/>
    <n v="6"/>
    <n v="24"/>
    <n v="2025"/>
    <x v="2"/>
    <s v="Q2"/>
    <x v="3"/>
  </r>
  <r>
    <s v="O108375"/>
    <x v="419"/>
    <x v="2"/>
    <x v="2"/>
    <x v="1"/>
    <x v="3"/>
    <n v="10"/>
    <n v="3695467"/>
    <s v="2025-00-18"/>
    <s v=""/>
    <s v=""/>
    <s v=""/>
    <x v="12"/>
    <e v="#VALUE!"/>
    <x v="1"/>
  </r>
  <r>
    <s v="O101090"/>
    <x v="243"/>
    <x v="9"/>
    <x v="0"/>
    <x v="3"/>
    <x v="0"/>
    <n v="9"/>
    <n v="3694356"/>
    <d v="2025-08-03T00:00:00"/>
    <n v="8"/>
    <n v="3"/>
    <n v="2025"/>
    <x v="8"/>
    <s v="Q3"/>
    <x v="3"/>
  </r>
  <r>
    <s v="O101696"/>
    <x v="420"/>
    <x v="6"/>
    <x v="0"/>
    <x v="4"/>
    <x v="1"/>
    <n v="7"/>
    <n v="3692653"/>
    <d v="2025-04-13T00:00:00"/>
    <n v="4"/>
    <n v="13"/>
    <n v="2025"/>
    <x v="11"/>
    <s v="Q2"/>
    <x v="4"/>
  </r>
  <r>
    <s v="O111806"/>
    <x v="392"/>
    <x v="10"/>
    <x v="0"/>
    <x v="4"/>
    <x v="0"/>
    <n v="7"/>
    <n v="3689847"/>
    <d v="2026-12-19T00:00:00"/>
    <n v="12"/>
    <n v="19"/>
    <n v="2026"/>
    <x v="7"/>
    <s v="Q4"/>
    <x v="4"/>
  </r>
  <r>
    <s v="O108683"/>
    <x v="421"/>
    <x v="9"/>
    <x v="0"/>
    <x v="0"/>
    <x v="1"/>
    <n v="8"/>
    <n v="3688786"/>
    <d v="2026-12-06T00:00:00"/>
    <n v="12"/>
    <n v="6"/>
    <n v="2026"/>
    <x v="7"/>
    <s v="Q4"/>
    <x v="0"/>
  </r>
  <r>
    <s v="O106534"/>
    <x v="422"/>
    <x v="8"/>
    <x v="0"/>
    <x v="1"/>
    <x v="3"/>
    <n v="10"/>
    <n v="3685608"/>
    <d v="2026-01-02T00:00:00"/>
    <n v="1"/>
    <n v="2"/>
    <n v="2026"/>
    <x v="6"/>
    <m/>
    <x v="1"/>
  </r>
  <r>
    <s v="O101088"/>
    <x v="148"/>
    <x v="9"/>
    <x v="0"/>
    <x v="1"/>
    <x v="2"/>
    <n v="7"/>
    <n v="3684406"/>
    <d v="2025-08-03T00:00:00"/>
    <n v="8"/>
    <n v="3"/>
    <n v="2025"/>
    <x v="8"/>
    <s v="Q3"/>
    <x v="1"/>
  </r>
  <r>
    <s v="O101035"/>
    <x v="199"/>
    <x v="8"/>
    <x v="0"/>
    <x v="2"/>
    <x v="2"/>
    <n v="7"/>
    <n v="3684142"/>
    <d v="2025-04-03T00:00:00"/>
    <n v="4"/>
    <n v="3"/>
    <n v="2025"/>
    <x v="11"/>
    <s v="Q2"/>
    <x v="2"/>
  </r>
  <r>
    <s v="O100903"/>
    <x v="355"/>
    <x v="2"/>
    <x v="0"/>
    <x v="2"/>
    <x v="0"/>
    <n v="9"/>
    <n v="3682825"/>
    <d v="2025-02-24T00:00:00"/>
    <n v="2"/>
    <n v="24"/>
    <n v="2025"/>
    <x v="4"/>
    <s v="Q1"/>
    <x v="2"/>
  </r>
  <r>
    <s v="O110030"/>
    <x v="76"/>
    <x v="4"/>
    <x v="2"/>
    <x v="1"/>
    <x v="3"/>
    <n v="10"/>
    <n v="3680869"/>
    <d v="2026-02-09T00:00:00"/>
    <n v="2"/>
    <n v="9"/>
    <n v="2026"/>
    <x v="4"/>
    <s v="Q1"/>
    <x v="1"/>
  </r>
  <r>
    <s v="O106686"/>
    <x v="423"/>
    <x v="5"/>
    <x v="0"/>
    <x v="2"/>
    <x v="1"/>
    <n v="7"/>
    <n v="3679831"/>
    <d v="2026-11-02T00:00:00"/>
    <n v="11"/>
    <n v="2"/>
    <n v="2026"/>
    <x v="0"/>
    <s v="Q4"/>
    <x v="2"/>
  </r>
  <r>
    <s v="O110172"/>
    <x v="424"/>
    <x v="6"/>
    <x v="0"/>
    <x v="1"/>
    <x v="1"/>
    <n v="9"/>
    <n v="3678135"/>
    <d v="2026-10-09T00:00:00"/>
    <n v="10"/>
    <n v="9"/>
    <n v="2026"/>
    <x v="9"/>
    <s v="Q4"/>
    <x v="1"/>
  </r>
  <r>
    <s v="O111717"/>
    <x v="425"/>
    <x v="10"/>
    <x v="0"/>
    <x v="3"/>
    <x v="2"/>
    <n v="8"/>
    <n v="3678088"/>
    <d v="2026-12-13T00:00:00"/>
    <n v="12"/>
    <n v="13"/>
    <n v="2026"/>
    <x v="7"/>
    <s v="Q4"/>
    <x v="3"/>
  </r>
  <r>
    <s v="O109798"/>
    <x v="166"/>
    <x v="8"/>
    <x v="2"/>
    <x v="4"/>
    <x v="3"/>
    <n v="10"/>
    <n v="3677591"/>
    <d v="2026-08-19T00:00:00"/>
    <n v="8"/>
    <n v="19"/>
    <n v="2026"/>
    <x v="8"/>
    <s v="Q3"/>
    <x v="4"/>
  </r>
  <r>
    <s v="O104050"/>
    <x v="339"/>
    <x v="6"/>
    <x v="0"/>
    <x v="1"/>
    <x v="1"/>
    <n v="10"/>
    <n v="3676434"/>
    <d v="2025-03-09T00:00:00"/>
    <n v="3"/>
    <n v="9"/>
    <n v="2025"/>
    <x v="5"/>
    <s v="Q1"/>
    <x v="1"/>
  </r>
  <r>
    <s v="O110208"/>
    <x v="269"/>
    <x v="3"/>
    <x v="0"/>
    <x v="2"/>
    <x v="1"/>
    <n v="7"/>
    <n v="3675469"/>
    <d v="2026-09-13T00:00:00"/>
    <n v="9"/>
    <n v="13"/>
    <n v="2026"/>
    <x v="1"/>
    <s v="Q3"/>
    <x v="2"/>
  </r>
  <r>
    <s v="O104248"/>
    <x v="310"/>
    <x v="6"/>
    <x v="0"/>
    <x v="1"/>
    <x v="3"/>
    <n v="8"/>
    <n v="3675446"/>
    <d v="2025-09-16T00:00:00"/>
    <n v="9"/>
    <n v="16"/>
    <n v="2025"/>
    <x v="1"/>
    <s v="Q3"/>
    <x v="1"/>
  </r>
  <r>
    <s v="O106173"/>
    <x v="426"/>
    <x v="3"/>
    <x v="0"/>
    <x v="0"/>
    <x v="2"/>
    <n v="10"/>
    <n v="3675121"/>
    <d v="2026-10-01T00:00:00"/>
    <n v="10"/>
    <n v="1"/>
    <n v="2026"/>
    <x v="9"/>
    <s v="Q4"/>
    <x v="0"/>
  </r>
  <r>
    <s v="O108362"/>
    <x v="228"/>
    <x v="4"/>
    <x v="0"/>
    <x v="2"/>
    <x v="1"/>
    <n v="10"/>
    <n v="3674035"/>
    <d v="2026-05-23T00:00:00"/>
    <n v="5"/>
    <n v="23"/>
    <n v="2026"/>
    <x v="3"/>
    <s v="Q2"/>
    <x v="2"/>
  </r>
  <r>
    <s v="O110563"/>
    <x v="341"/>
    <x v="8"/>
    <x v="0"/>
    <x v="2"/>
    <x v="0"/>
    <n v="8"/>
    <n v="3672342"/>
    <d v="2026-04-10T00:00:00"/>
    <n v="4"/>
    <n v="10"/>
    <n v="2026"/>
    <x v="11"/>
    <m/>
    <x v="2"/>
  </r>
  <r>
    <s v="O106330"/>
    <x v="427"/>
    <x v="2"/>
    <x v="0"/>
    <x v="3"/>
    <x v="0"/>
    <n v="9"/>
    <n v="3670531"/>
    <d v="2026-01-20T00:00:00"/>
    <n v="1"/>
    <n v="20"/>
    <n v="2026"/>
    <x v="6"/>
    <s v="Q1"/>
    <x v="3"/>
  </r>
  <r>
    <s v="O100683"/>
    <x v="428"/>
    <x v="9"/>
    <x v="0"/>
    <x v="4"/>
    <x v="1"/>
    <n v="7"/>
    <n v="3668078"/>
    <d v="2025-11-02T00:00:00"/>
    <n v="11"/>
    <n v="2"/>
    <n v="2025"/>
    <x v="0"/>
    <s v="Q4"/>
    <x v="4"/>
  </r>
  <r>
    <s v="O106799"/>
    <x v="429"/>
    <x v="0"/>
    <x v="0"/>
    <x v="3"/>
    <x v="0"/>
    <n v="8"/>
    <n v="3666936"/>
    <d v="2026-02-18T00:00:00"/>
    <n v="2"/>
    <n v="18"/>
    <n v="2026"/>
    <x v="4"/>
    <s v="Q1"/>
    <x v="3"/>
  </r>
  <r>
    <s v="O109381"/>
    <x v="361"/>
    <x v="1"/>
    <x v="0"/>
    <x v="2"/>
    <x v="1"/>
    <n v="10"/>
    <n v="3666685"/>
    <d v="2026-07-24T00:00:00"/>
    <n v="7"/>
    <n v="24"/>
    <n v="2026"/>
    <x v="10"/>
    <s v="Q3"/>
    <x v="2"/>
  </r>
  <r>
    <s v="O100656"/>
    <x v="366"/>
    <x v="6"/>
    <x v="0"/>
    <x v="0"/>
    <x v="0"/>
    <n v="9"/>
    <n v="3663558"/>
    <d v="2025-09-02T00:00:00"/>
    <n v="9"/>
    <n v="2"/>
    <n v="2025"/>
    <x v="1"/>
    <s v="Q3"/>
    <x v="0"/>
  </r>
  <r>
    <s v="O103779"/>
    <x v="335"/>
    <x v="8"/>
    <x v="2"/>
    <x v="4"/>
    <x v="1"/>
    <n v="10"/>
    <n v="3663068"/>
    <d v="2025-08-18T00:00:00"/>
    <n v="8"/>
    <n v="18"/>
    <n v="2025"/>
    <x v="8"/>
    <s v="Q3"/>
    <x v="4"/>
  </r>
  <r>
    <s v="O105952"/>
    <x v="299"/>
    <x v="0"/>
    <x v="0"/>
    <x v="1"/>
    <x v="3"/>
    <n v="9"/>
    <n v="3663052"/>
    <d v="2025-12-28T00:00:00"/>
    <n v="12"/>
    <n v="28"/>
    <n v="2025"/>
    <x v="7"/>
    <s v="Q4"/>
    <x v="1"/>
  </r>
  <r>
    <s v="O107305"/>
    <x v="430"/>
    <x v="4"/>
    <x v="0"/>
    <x v="1"/>
    <x v="1"/>
    <n v="7"/>
    <n v="3662978"/>
    <d v="2026-03-20T00:00:00"/>
    <n v="3"/>
    <n v="20"/>
    <n v="2026"/>
    <x v="5"/>
    <s v="Q1"/>
    <x v="1"/>
  </r>
  <r>
    <s v="O103826"/>
    <x v="431"/>
    <x v="3"/>
    <x v="0"/>
    <x v="0"/>
    <x v="3"/>
    <n v="8"/>
    <n v="3662905"/>
    <d v="2025-08-21T00:00:00"/>
    <n v="8"/>
    <n v="21"/>
    <n v="2025"/>
    <x v="8"/>
    <s v="Q3"/>
    <x v="0"/>
  </r>
  <r>
    <s v="O109652"/>
    <x v="432"/>
    <x v="4"/>
    <x v="0"/>
    <x v="3"/>
    <x v="1"/>
    <n v="7"/>
    <n v="3662737"/>
    <d v="2026-10-08T00:00:00"/>
    <n v="10"/>
    <n v="8"/>
    <n v="2026"/>
    <x v="9"/>
    <s v="Q4"/>
    <x v="3"/>
  </r>
  <r>
    <s v="O107352"/>
    <x v="433"/>
    <x v="6"/>
    <x v="0"/>
    <x v="5"/>
    <x v="0"/>
    <n v="7"/>
    <n v="3662253"/>
    <d v="2026-03-23T00:00:00"/>
    <n v="3"/>
    <n v="23"/>
    <n v="2026"/>
    <x v="5"/>
    <s v="Q1"/>
    <x v="5"/>
  </r>
  <r>
    <s v="O101959"/>
    <x v="145"/>
    <x v="6"/>
    <x v="2"/>
    <x v="1"/>
    <x v="0"/>
    <n v="10"/>
    <n v="3661217"/>
    <d v="2025-04-29T00:00:00"/>
    <n v="4"/>
    <n v="29"/>
    <n v="2025"/>
    <x v="11"/>
    <m/>
    <x v="1"/>
  </r>
  <r>
    <s v="O103526"/>
    <x v="434"/>
    <x v="2"/>
    <x v="0"/>
    <x v="1"/>
    <x v="0"/>
    <n v="8"/>
    <n v="3657908"/>
    <d v="2025-03-08T00:00:00"/>
    <n v="3"/>
    <n v="8"/>
    <n v="2025"/>
    <x v="5"/>
    <s v="Q1"/>
    <x v="1"/>
  </r>
  <r>
    <s v="O107652"/>
    <x v="392"/>
    <x v="5"/>
    <x v="0"/>
    <x v="1"/>
    <x v="1"/>
    <n v="9"/>
    <n v="3657625"/>
    <d v="2026-10-04T00:00:00"/>
    <n v="10"/>
    <n v="4"/>
    <n v="2026"/>
    <x v="9"/>
    <s v="Q4"/>
    <x v="1"/>
  </r>
  <r>
    <s v="O110401"/>
    <x v="247"/>
    <x v="0"/>
    <x v="0"/>
    <x v="3"/>
    <x v="1"/>
    <n v="10"/>
    <n v="3657015"/>
    <d v="2026-09-24T00:00:00"/>
    <n v="9"/>
    <n v="24"/>
    <n v="2026"/>
    <x v="1"/>
    <s v="Q3"/>
    <x v="3"/>
  </r>
  <r>
    <s v="O101869"/>
    <x v="435"/>
    <x v="6"/>
    <x v="0"/>
    <x v="2"/>
    <x v="3"/>
    <n v="10"/>
    <n v="3655869"/>
    <d v="2025-04-24T00:00:00"/>
    <n v="4"/>
    <n v="24"/>
    <n v="2025"/>
    <x v="11"/>
    <s v="Q2"/>
    <x v="2"/>
  </r>
  <r>
    <s v="O107491"/>
    <x v="122"/>
    <x v="10"/>
    <x v="0"/>
    <x v="3"/>
    <x v="3"/>
    <n v="8"/>
    <n v="3649358"/>
    <d v="2026-01-04T00:00:00"/>
    <n v="1"/>
    <n v="4"/>
    <n v="2026"/>
    <x v="6"/>
    <s v="Q1"/>
    <x v="3"/>
  </r>
  <r>
    <s v="O107438"/>
    <x v="196"/>
    <x v="8"/>
    <x v="0"/>
    <x v="3"/>
    <x v="2"/>
    <n v="7"/>
    <n v="3647659"/>
    <d v="2026-03-28T00:00:00"/>
    <n v="3"/>
    <n v="28"/>
    <n v="2026"/>
    <x v="5"/>
    <s v="Q1"/>
    <x v="3"/>
  </r>
  <r>
    <s v="O101222"/>
    <x v="140"/>
    <x v="1"/>
    <x v="0"/>
    <x v="1"/>
    <x v="2"/>
    <n v="7"/>
    <n v="3647272"/>
    <d v="2025-03-16T00:00:00"/>
    <n v="3"/>
    <n v="16"/>
    <n v="2025"/>
    <x v="5"/>
    <s v="Q1"/>
    <x v="1"/>
  </r>
  <r>
    <s v="O104781"/>
    <x v="206"/>
    <x v="10"/>
    <x v="0"/>
    <x v="0"/>
    <x v="3"/>
    <n v="7"/>
    <n v="3642538"/>
    <d v="2025-10-18T00:00:00"/>
    <n v="10"/>
    <n v="18"/>
    <n v="2025"/>
    <x v="9"/>
    <s v="Q4"/>
    <x v="0"/>
  </r>
  <r>
    <s v="O102087"/>
    <x v="266"/>
    <x v="8"/>
    <x v="0"/>
    <x v="2"/>
    <x v="1"/>
    <n v="10"/>
    <n v="3638545"/>
    <d v="2025-07-05T00:00:00"/>
    <n v="7"/>
    <n v="5"/>
    <n v="2025"/>
    <x v="10"/>
    <s v="Q3"/>
    <x v="2"/>
  </r>
  <r>
    <s v="O105017"/>
    <x v="436"/>
    <x v="6"/>
    <x v="0"/>
    <x v="1"/>
    <x v="2"/>
    <n v="9"/>
    <n v="3635270"/>
    <d v="2025-01-11T00:00:00"/>
    <n v="1"/>
    <n v="11"/>
    <n v="2025"/>
    <x v="6"/>
    <s v="Q1"/>
    <x v="1"/>
  </r>
  <r>
    <s v="O103965"/>
    <x v="51"/>
    <x v="4"/>
    <x v="0"/>
    <x v="2"/>
    <x v="1"/>
    <n v="7"/>
    <n v="3634823"/>
    <d v="2025-08-29T00:00:00"/>
    <n v="8"/>
    <n v="29"/>
    <n v="2025"/>
    <x v="8"/>
    <m/>
    <x v="2"/>
  </r>
  <r>
    <s v="O101427"/>
    <x v="331"/>
    <x v="4"/>
    <x v="0"/>
    <x v="0"/>
    <x v="1"/>
    <n v="9"/>
    <n v="3632604"/>
    <d v="2025-03-28T00:00:00"/>
    <n v="3"/>
    <n v="28"/>
    <n v="2025"/>
    <x v="5"/>
    <s v="Q1"/>
    <x v="0"/>
  </r>
  <r>
    <s v="O105728"/>
    <x v="281"/>
    <x v="9"/>
    <x v="0"/>
    <x v="3"/>
    <x v="0"/>
    <n v="7"/>
    <n v="3630965"/>
    <d v="2025-12-14T00:00:00"/>
    <n v="12"/>
    <n v="14"/>
    <n v="2025"/>
    <x v="7"/>
    <s v="Q4"/>
    <x v="3"/>
  </r>
  <r>
    <s v="O102833"/>
    <x v="437"/>
    <x v="4"/>
    <x v="0"/>
    <x v="1"/>
    <x v="1"/>
    <n v="9"/>
    <n v="3628055"/>
    <d v="2025-06-22T00:00:00"/>
    <n v="6"/>
    <n v="22"/>
    <n v="2025"/>
    <x v="2"/>
    <s v="Q2"/>
    <x v="1"/>
  </r>
  <r>
    <s v="O102671"/>
    <x v="438"/>
    <x v="0"/>
    <x v="2"/>
    <x v="1"/>
    <x v="0"/>
    <n v="10"/>
    <n v="3627721"/>
    <d v="2025-12-06T00:00:00"/>
    <n v="12"/>
    <n v="6"/>
    <n v="2025"/>
    <x v="7"/>
    <s v="Q4"/>
    <x v="1"/>
  </r>
  <r>
    <s v="O101217"/>
    <x v="342"/>
    <x v="5"/>
    <x v="0"/>
    <x v="1"/>
    <x v="0"/>
    <n v="8"/>
    <n v="3625867"/>
    <d v="2025-03-15T00:00:00"/>
    <n v="3"/>
    <n v="15"/>
    <n v="2025"/>
    <x v="5"/>
    <s v="Q1"/>
    <x v="1"/>
  </r>
  <r>
    <s v="O105684"/>
    <x v="361"/>
    <x v="9"/>
    <x v="0"/>
    <x v="0"/>
    <x v="1"/>
    <n v="8"/>
    <n v="3625167"/>
    <d v="2025-12-12T00:00:00"/>
    <n v="12"/>
    <n v="12"/>
    <n v="2025"/>
    <x v="7"/>
    <s v="Q4"/>
    <x v="0"/>
  </r>
  <r>
    <s v="O108323"/>
    <x v="337"/>
    <x v="4"/>
    <x v="0"/>
    <x v="1"/>
    <x v="1"/>
    <n v="7"/>
    <n v="3624605"/>
    <d v="2026-05-21T00:00:00"/>
    <n v="5"/>
    <n v="21"/>
    <n v="2026"/>
    <x v="3"/>
    <s v="Q2"/>
    <x v="1"/>
  </r>
  <r>
    <s v="O106210"/>
    <x v="439"/>
    <x v="6"/>
    <x v="0"/>
    <x v="3"/>
    <x v="0"/>
    <n v="7"/>
    <n v="3624580"/>
    <d v="2026-01-13T00:00:00"/>
    <n v="1"/>
    <n v="13"/>
    <n v="2026"/>
    <x v="6"/>
    <s v="Q1"/>
    <x v="3"/>
  </r>
  <r>
    <s v="O111221"/>
    <x v="361"/>
    <x v="6"/>
    <x v="0"/>
    <x v="3"/>
    <x v="1"/>
    <n v="7"/>
    <n v="3623320"/>
    <d v="2026-11-13T00:00:00"/>
    <n v="11"/>
    <n v="13"/>
    <n v="2026"/>
    <x v="0"/>
    <s v="Q4"/>
    <x v="3"/>
  </r>
  <r>
    <s v="O106338"/>
    <x v="440"/>
    <x v="8"/>
    <x v="0"/>
    <x v="2"/>
    <x v="0"/>
    <n v="9"/>
    <n v="3620099"/>
    <d v="2026-01-21T00:00:00"/>
    <n v="1"/>
    <n v="21"/>
    <n v="2026"/>
    <x v="6"/>
    <s v="Q1"/>
    <x v="2"/>
  </r>
  <r>
    <s v="O102663"/>
    <x v="441"/>
    <x v="6"/>
    <x v="0"/>
    <x v="0"/>
    <x v="0"/>
    <n v="7"/>
    <n v="3620045"/>
    <d v="2025-11-06T00:00:00"/>
    <n v="11"/>
    <n v="6"/>
    <n v="2025"/>
    <x v="0"/>
    <s v="Q4"/>
    <x v="0"/>
  </r>
  <r>
    <s v="O110448"/>
    <x v="438"/>
    <x v="2"/>
    <x v="2"/>
    <x v="1"/>
    <x v="3"/>
    <n v="10"/>
    <n v="3619911"/>
    <d v="2026-09-27T00:00:00"/>
    <n v="9"/>
    <n v="27"/>
    <n v="2026"/>
    <x v="1"/>
    <s v="Q3"/>
    <x v="1"/>
  </r>
  <r>
    <s v="O106527"/>
    <x v="14"/>
    <x v="2"/>
    <x v="0"/>
    <x v="4"/>
    <x v="2"/>
    <n v="8"/>
    <n v="3618710"/>
    <d v="2026-01-02T00:00:00"/>
    <n v="1"/>
    <n v="2"/>
    <n v="2026"/>
    <x v="6"/>
    <s v="Q1"/>
    <x v="4"/>
  </r>
  <r>
    <s v="O110599"/>
    <x v="305"/>
    <x v="8"/>
    <x v="0"/>
    <x v="3"/>
    <x v="3"/>
    <n v="10"/>
    <n v="3617195"/>
    <d v="2026-06-10T00:00:00"/>
    <n v="6"/>
    <n v="10"/>
    <n v="2026"/>
    <x v="2"/>
    <s v="Q2"/>
    <x v="3"/>
  </r>
  <r>
    <s v="O103928"/>
    <x v="338"/>
    <x v="5"/>
    <x v="2"/>
    <x v="2"/>
    <x v="2"/>
    <n v="10"/>
    <n v="3615901"/>
    <d v="2025-08-27T00:00:00"/>
    <n v="8"/>
    <n v="27"/>
    <n v="2025"/>
    <x v="8"/>
    <s v="Q3"/>
    <x v="2"/>
  </r>
  <r>
    <s v="O110135"/>
    <x v="160"/>
    <x v="8"/>
    <x v="0"/>
    <x v="0"/>
    <x v="3"/>
    <n v="7"/>
    <n v="3614973"/>
    <d v="2026-08-09T00:00:00"/>
    <n v="8"/>
    <n v="9"/>
    <n v="2026"/>
    <x v="8"/>
    <s v="Q3"/>
    <x v="0"/>
  </r>
  <r>
    <s v="O111943"/>
    <x v="249"/>
    <x v="2"/>
    <x v="0"/>
    <x v="4"/>
    <x v="0"/>
    <n v="8"/>
    <n v="3613975"/>
    <d v="2026-12-27T00:00:00"/>
    <n v="12"/>
    <n v="27"/>
    <n v="2026"/>
    <x v="7"/>
    <s v="Q4"/>
    <x v="4"/>
  </r>
  <r>
    <s v="O107740"/>
    <x v="442"/>
    <x v="4"/>
    <x v="0"/>
    <x v="3"/>
    <x v="3"/>
    <n v="7"/>
    <n v="3613924"/>
    <d v="2026-04-16T00:00:00"/>
    <n v="4"/>
    <n v="16"/>
    <n v="2026"/>
    <x v="11"/>
    <s v="Q2"/>
    <x v="3"/>
  </r>
  <r>
    <s v="O107069"/>
    <x v="443"/>
    <x v="5"/>
    <x v="0"/>
    <x v="4"/>
    <x v="3"/>
    <n v="10"/>
    <n v="3612816"/>
    <d v="2026-06-03T00:00:00"/>
    <n v="6"/>
    <n v="3"/>
    <n v="2026"/>
    <x v="2"/>
    <m/>
    <x v="4"/>
  </r>
  <r>
    <s v="O100643"/>
    <x v="305"/>
    <x v="5"/>
    <x v="0"/>
    <x v="3"/>
    <x v="1"/>
    <n v="7"/>
    <n v="3612360"/>
    <d v="2025-09-02T00:00:00"/>
    <n v="9"/>
    <n v="2"/>
    <n v="2025"/>
    <x v="1"/>
    <s v="Q3"/>
    <x v="3"/>
  </r>
  <r>
    <s v="O102088"/>
    <x v="444"/>
    <x v="6"/>
    <x v="2"/>
    <x v="4"/>
    <x v="3"/>
    <n v="10"/>
    <n v="3610684"/>
    <d v="2025-07-05T00:00:00"/>
    <n v="7"/>
    <n v="5"/>
    <n v="2025"/>
    <x v="10"/>
    <s v="Q3"/>
    <x v="4"/>
  </r>
  <r>
    <s v="O110879"/>
    <x v="120"/>
    <x v="5"/>
    <x v="0"/>
    <x v="2"/>
    <x v="2"/>
    <n v="7"/>
    <n v="3609243"/>
    <d v="2026-10-23T00:00:00"/>
    <n v="10"/>
    <n v="23"/>
    <n v="2026"/>
    <x v="9"/>
    <s v="Q4"/>
    <x v="2"/>
  </r>
  <r>
    <s v="O108235"/>
    <x v="445"/>
    <x v="4"/>
    <x v="0"/>
    <x v="2"/>
    <x v="3"/>
    <n v="7"/>
    <n v="3607113"/>
    <d v="2026-05-16T00:00:00"/>
    <n v="5"/>
    <n v="16"/>
    <n v="2026"/>
    <x v="3"/>
    <s v="Q2"/>
    <x v="2"/>
  </r>
  <r>
    <s v="O104708"/>
    <x v="58"/>
    <x v="2"/>
    <x v="0"/>
    <x v="1"/>
    <x v="0"/>
    <n v="9"/>
    <n v="3606078"/>
    <d v="2025-10-13T00:00:00"/>
    <n v="10"/>
    <n v="13"/>
    <n v="2025"/>
    <x v="9"/>
    <s v="Q4"/>
    <x v="1"/>
  </r>
  <r>
    <s v="O106617"/>
    <x v="281"/>
    <x v="6"/>
    <x v="0"/>
    <x v="4"/>
    <x v="0"/>
    <n v="9"/>
    <n v="3605552"/>
    <d v="2026-06-02T00:00:00"/>
    <n v="6"/>
    <n v="2"/>
    <n v="2026"/>
    <x v="2"/>
    <s v="Q2"/>
    <x v="4"/>
  </r>
  <r>
    <s v="O107315"/>
    <x v="72"/>
    <x v="4"/>
    <x v="0"/>
    <x v="0"/>
    <x v="1"/>
    <n v="9"/>
    <n v="3603458"/>
    <d v="2026-03-21T00:00:00"/>
    <n v="3"/>
    <n v="21"/>
    <n v="2026"/>
    <x v="5"/>
    <s v="Q1"/>
    <x v="0"/>
  </r>
  <r>
    <s v="O106597"/>
    <x v="131"/>
    <x v="2"/>
    <x v="0"/>
    <x v="4"/>
    <x v="1"/>
    <n v="7"/>
    <n v="3603135"/>
    <d v="2026-05-02T00:00:00"/>
    <n v="5"/>
    <n v="2"/>
    <n v="2026"/>
    <x v="3"/>
    <s v="Q2"/>
    <x v="4"/>
  </r>
  <r>
    <s v="O103632"/>
    <x v="367"/>
    <x v="0"/>
    <x v="0"/>
    <x v="2"/>
    <x v="2"/>
    <n v="7"/>
    <n v="3602613"/>
    <d v="2025-09-08T00:00:00"/>
    <n v="9"/>
    <n v="8"/>
    <n v="2025"/>
    <x v="1"/>
    <s v="Q3"/>
    <x v="2"/>
  </r>
  <r>
    <s v="O108969"/>
    <x v="446"/>
    <x v="2"/>
    <x v="2"/>
    <x v="1"/>
    <x v="3"/>
    <n v="10"/>
    <n v="3602165"/>
    <d v="2026-06-29T00:00:00"/>
    <n v="6"/>
    <n v="29"/>
    <n v="2026"/>
    <x v="2"/>
    <s v="Q2"/>
    <x v="1"/>
  </r>
  <r>
    <s v="O109877"/>
    <x v="378"/>
    <x v="8"/>
    <x v="0"/>
    <x v="0"/>
    <x v="2"/>
    <n v="8"/>
    <n v="3593971"/>
    <d v="2026-08-24T00:00:00"/>
    <n v="8"/>
    <n v="24"/>
    <n v="2026"/>
    <x v="8"/>
    <m/>
    <x v="0"/>
  </r>
  <r>
    <s v="O100388"/>
    <x v="328"/>
    <x v="9"/>
    <x v="0"/>
    <x v="0"/>
    <x v="0"/>
    <n v="8"/>
    <n v="3591894"/>
    <d v="2025-01-24T00:00:00"/>
    <n v="1"/>
    <n v="24"/>
    <n v="2025"/>
    <x v="6"/>
    <s v="Q1"/>
    <x v="0"/>
  </r>
  <r>
    <s v="O105881"/>
    <x v="5"/>
    <x v="2"/>
    <x v="0"/>
    <x v="2"/>
    <x v="1"/>
    <n v="9"/>
    <n v="3591349"/>
    <d v="2025-12-24T00:00:00"/>
    <n v="12"/>
    <n v="24"/>
    <n v="2025"/>
    <x v="7"/>
    <s v="Q4"/>
    <x v="2"/>
  </r>
  <r>
    <s v="O104033"/>
    <x v="447"/>
    <x v="10"/>
    <x v="0"/>
    <x v="2"/>
    <x v="0"/>
    <n v="7"/>
    <n v="3589716"/>
    <d v="2025-02-09T00:00:00"/>
    <n v="2"/>
    <n v="9"/>
    <n v="2025"/>
    <x v="4"/>
    <s v="Q1"/>
    <x v="2"/>
  </r>
  <r>
    <s v="O107457"/>
    <x v="5"/>
    <x v="2"/>
    <x v="2"/>
    <x v="0"/>
    <x v="3"/>
    <n v="10"/>
    <n v="3588895"/>
    <d v="2026-03-29T00:00:00"/>
    <n v="3"/>
    <n v="29"/>
    <n v="2026"/>
    <x v="5"/>
    <s v="Q1"/>
    <x v="0"/>
  </r>
  <r>
    <s v="O101514"/>
    <x v="413"/>
    <x v="10"/>
    <x v="0"/>
    <x v="3"/>
    <x v="3"/>
    <n v="10"/>
    <n v="3586466"/>
    <d v="2025-02-04T00:00:00"/>
    <n v="2"/>
    <n v="4"/>
    <n v="2025"/>
    <x v="4"/>
    <s v="Q1"/>
    <x v="3"/>
  </r>
  <r>
    <s v="O111125"/>
    <x v="448"/>
    <x v="6"/>
    <x v="0"/>
    <x v="2"/>
    <x v="2"/>
    <n v="7"/>
    <n v="3585954"/>
    <d v="2026-07-11T00:00:00"/>
    <n v="7"/>
    <n v="11"/>
    <n v="2026"/>
    <x v="10"/>
    <s v="Q3"/>
    <x v="2"/>
  </r>
  <r>
    <s v="O109321"/>
    <x v="449"/>
    <x v="6"/>
    <x v="0"/>
    <x v="2"/>
    <x v="1"/>
    <n v="7"/>
    <n v="3584728"/>
    <d v="2026-07-21T00:00:00"/>
    <n v="7"/>
    <n v="21"/>
    <n v="2026"/>
    <x v="10"/>
    <s v="Q3"/>
    <x v="2"/>
  </r>
  <r>
    <s v="O110858"/>
    <x v="450"/>
    <x v="2"/>
    <x v="0"/>
    <x v="2"/>
    <x v="0"/>
    <n v="8"/>
    <n v="3581491"/>
    <d v="2026-10-22T00:00:00"/>
    <n v="10"/>
    <n v="22"/>
    <n v="2026"/>
    <x v="9"/>
    <s v="Q4"/>
    <x v="2"/>
  </r>
  <r>
    <s v="O111106"/>
    <x v="451"/>
    <x v="9"/>
    <x v="0"/>
    <x v="1"/>
    <x v="0"/>
    <n v="9"/>
    <n v="3581382"/>
    <d v="2026-06-11T00:00:00"/>
    <n v="6"/>
    <n v="11"/>
    <n v="2026"/>
    <x v="2"/>
    <s v="Q2"/>
    <x v="1"/>
  </r>
  <r>
    <s v="O101898"/>
    <x v="244"/>
    <x v="4"/>
    <x v="0"/>
    <x v="1"/>
    <x v="3"/>
    <n v="8"/>
    <n v="3580895"/>
    <d v="2025-04-26T00:00:00"/>
    <n v="4"/>
    <n v="26"/>
    <n v="2025"/>
    <x v="11"/>
    <s v="Q2"/>
    <x v="1"/>
  </r>
  <r>
    <s v="O100094"/>
    <x v="411"/>
    <x v="8"/>
    <x v="2"/>
    <x v="3"/>
    <x v="3"/>
    <n v="10"/>
    <n v="3578908"/>
    <d v="2025-06-01T00:00:00"/>
    <n v="6"/>
    <n v="1"/>
    <n v="2025"/>
    <x v="2"/>
    <s v="Q2"/>
    <x v="3"/>
  </r>
  <r>
    <s v="O105456"/>
    <x v="452"/>
    <x v="2"/>
    <x v="0"/>
    <x v="0"/>
    <x v="3"/>
    <n v="9"/>
    <n v="3574980"/>
    <d v="2025-11-28T00:00:00"/>
    <n v="11"/>
    <n v="28"/>
    <n v="2025"/>
    <x v="0"/>
    <s v="Q4"/>
    <x v="0"/>
  </r>
  <r>
    <s v="O103470"/>
    <x v="308"/>
    <x v="5"/>
    <x v="0"/>
    <x v="4"/>
    <x v="3"/>
    <n v="8"/>
    <n v="3572663"/>
    <d v="2025-07-30T00:00:00"/>
    <n v="7"/>
    <n v="30"/>
    <n v="2025"/>
    <x v="10"/>
    <s v="Q3"/>
    <x v="4"/>
  </r>
  <r>
    <s v="O107923"/>
    <x v="453"/>
    <x v="2"/>
    <x v="0"/>
    <x v="1"/>
    <x v="0"/>
    <n v="10"/>
    <n v="3568138"/>
    <d v="2026-04-27T00:00:00"/>
    <n v="4"/>
    <n v="27"/>
    <n v="2026"/>
    <x v="11"/>
    <s v="Q2"/>
    <x v="1"/>
  </r>
  <r>
    <s v="O108857"/>
    <x v="32"/>
    <x v="4"/>
    <x v="0"/>
    <x v="4"/>
    <x v="2"/>
    <n v="7"/>
    <n v="3567043"/>
    <d v="2026-06-23T00:00:00"/>
    <n v="6"/>
    <n v="23"/>
    <n v="2026"/>
    <x v="2"/>
    <s v="Q2"/>
    <x v="4"/>
  </r>
  <r>
    <s v="O102858"/>
    <x v="354"/>
    <x v="0"/>
    <x v="0"/>
    <x v="2"/>
    <x v="2"/>
    <n v="7"/>
    <n v="3566839"/>
    <d v="2025-06-23T00:00:00"/>
    <n v="6"/>
    <n v="23"/>
    <n v="2025"/>
    <x v="2"/>
    <s v="Q2"/>
    <x v="2"/>
  </r>
  <r>
    <s v="O107114"/>
    <x v="426"/>
    <x v="0"/>
    <x v="0"/>
    <x v="4"/>
    <x v="0"/>
    <n v="10"/>
    <n v="3566781"/>
    <d v="2026-09-03T00:00:00"/>
    <n v="9"/>
    <n v="3"/>
    <n v="2026"/>
    <x v="1"/>
    <s v="Q3"/>
    <x v="4"/>
  </r>
  <r>
    <s v="O104538"/>
    <x v="3"/>
    <x v="0"/>
    <x v="2"/>
    <x v="2"/>
    <x v="3"/>
    <n v="10"/>
    <n v="3566632"/>
    <d v="2025-03-10T00:00:00"/>
    <n v="3"/>
    <n v="10"/>
    <n v="2025"/>
    <x v="5"/>
    <s v="Q1"/>
    <x v="2"/>
  </r>
  <r>
    <s v="O108180"/>
    <x v="376"/>
    <x v="1"/>
    <x v="0"/>
    <x v="4"/>
    <x v="0"/>
    <n v="7"/>
    <n v="3559890"/>
    <d v="2026-12-05T00:00:00"/>
    <n v="12"/>
    <n v="5"/>
    <n v="2026"/>
    <x v="7"/>
    <s v="Q4"/>
    <x v="4"/>
  </r>
  <r>
    <s v="O111868"/>
    <x v="454"/>
    <x v="8"/>
    <x v="0"/>
    <x v="4"/>
    <x v="1"/>
    <n v="8"/>
    <n v="3557648"/>
    <d v="2026-12-22T00:00:00"/>
    <n v="12"/>
    <n v="22"/>
    <n v="2026"/>
    <x v="7"/>
    <s v="Q4"/>
    <x v="4"/>
  </r>
  <r>
    <s v="O100641"/>
    <x v="103"/>
    <x v="10"/>
    <x v="0"/>
    <x v="1"/>
    <x v="3"/>
    <n v="8"/>
    <n v="3557383"/>
    <d v="2025-08-02T00:00:00"/>
    <n v="8"/>
    <n v="2"/>
    <n v="2025"/>
    <x v="8"/>
    <s v="Q3"/>
    <x v="1"/>
  </r>
  <r>
    <s v="O106563"/>
    <x v="284"/>
    <x v="2"/>
    <x v="0"/>
    <x v="4"/>
    <x v="3"/>
    <n v="8"/>
    <n v="3556620"/>
    <d v="2026-03-02T00:00:00"/>
    <n v="3"/>
    <n v="2"/>
    <n v="2026"/>
    <x v="5"/>
    <s v="Q1"/>
    <x v="4"/>
  </r>
  <r>
    <s v="O102195"/>
    <x v="409"/>
    <x v="3"/>
    <x v="0"/>
    <x v="3"/>
    <x v="2"/>
    <n v="10"/>
    <n v="3556319"/>
    <d v="2025-05-14T00:00:00"/>
    <n v="5"/>
    <n v="14"/>
    <n v="2025"/>
    <x v="3"/>
    <s v="Q2"/>
    <x v="3"/>
  </r>
  <r>
    <s v="O102946"/>
    <x v="455"/>
    <x v="1"/>
    <x v="0"/>
    <x v="0"/>
    <x v="1"/>
    <n v="9"/>
    <n v="3555566"/>
    <d v="2025-06-28T00:00:00"/>
    <n v="6"/>
    <n v="28"/>
    <n v="2025"/>
    <x v="2"/>
    <s v="Q2"/>
    <x v="0"/>
  </r>
  <r>
    <s v="O109486"/>
    <x v="342"/>
    <x v="1"/>
    <x v="2"/>
    <x v="1"/>
    <x v="0"/>
    <n v="10"/>
    <n v="3554587"/>
    <d v="2026-07-31T00:00:00"/>
    <n v="7"/>
    <n v="31"/>
    <n v="2026"/>
    <x v="10"/>
    <s v="Q3"/>
    <x v="1"/>
  </r>
  <r>
    <s v="O108010"/>
    <x v="456"/>
    <x v="0"/>
    <x v="0"/>
    <x v="4"/>
    <x v="2"/>
    <n v="9"/>
    <n v="3553432"/>
    <d v="2026-02-05T00:00:00"/>
    <n v="2"/>
    <n v="5"/>
    <n v="2026"/>
    <x v="4"/>
    <s v="Q1"/>
    <x v="4"/>
  </r>
  <r>
    <s v="O110871"/>
    <x v="457"/>
    <x v="1"/>
    <x v="0"/>
    <x v="1"/>
    <x v="2"/>
    <n v="9"/>
    <n v="3551524"/>
    <d v="2026-10-23T00:00:00"/>
    <n v="10"/>
    <n v="23"/>
    <n v="2026"/>
    <x v="9"/>
    <s v="Q4"/>
    <x v="1"/>
  </r>
  <r>
    <s v="O111518"/>
    <x v="350"/>
    <x v="9"/>
    <x v="0"/>
    <x v="5"/>
    <x v="0"/>
    <n v="8"/>
    <n v="3550527"/>
    <d v="2026-01-12T00:00:00"/>
    <n v="1"/>
    <n v="12"/>
    <n v="2026"/>
    <x v="6"/>
    <s v="Q1"/>
    <x v="5"/>
  </r>
  <r>
    <s v="O105328"/>
    <x v="229"/>
    <x v="10"/>
    <x v="0"/>
    <x v="4"/>
    <x v="3"/>
    <n v="7"/>
    <n v="3549685"/>
    <d v="2025-11-20T00:00:00"/>
    <n v="11"/>
    <n v="20"/>
    <n v="2025"/>
    <x v="0"/>
    <s v="Q4"/>
    <x v="4"/>
  </r>
  <r>
    <s v="O106554"/>
    <x v="25"/>
    <x v="0"/>
    <x v="0"/>
    <x v="3"/>
    <x v="0"/>
    <n v="10"/>
    <n v="3548762"/>
    <d v="2026-03-02T00:00:00"/>
    <n v="3"/>
    <n v="2"/>
    <n v="2026"/>
    <x v="5"/>
    <s v="Q1"/>
    <x v="3"/>
  </r>
  <r>
    <s v="O102427"/>
    <x v="30"/>
    <x v="3"/>
    <x v="0"/>
    <x v="4"/>
    <x v="1"/>
    <n v="7"/>
    <n v="3547050"/>
    <d v="2025-05-28T00:00:00"/>
    <n v="5"/>
    <n v="28"/>
    <n v="2025"/>
    <x v="3"/>
    <s v="Q2"/>
    <x v="4"/>
  </r>
  <r>
    <s v="O105800"/>
    <x v="368"/>
    <x v="8"/>
    <x v="0"/>
    <x v="4"/>
    <x v="3"/>
    <n v="8"/>
    <n v="3543959"/>
    <d v="2025-12-19T00:00:00"/>
    <n v="12"/>
    <n v="19"/>
    <n v="2025"/>
    <x v="7"/>
    <s v="Q4"/>
    <x v="4"/>
  </r>
  <r>
    <s v="O104903"/>
    <x v="458"/>
    <x v="6"/>
    <x v="0"/>
    <x v="0"/>
    <x v="3"/>
    <n v="8"/>
    <n v="3543677"/>
    <d v="2025-10-25T00:00:00"/>
    <n v="10"/>
    <n v="25"/>
    <n v="2025"/>
    <x v="9"/>
    <s v="Q4"/>
    <x v="0"/>
  </r>
  <r>
    <s v="O108578"/>
    <x v="459"/>
    <x v="5"/>
    <x v="0"/>
    <x v="1"/>
    <x v="0"/>
    <n v="8"/>
    <n v="3542392"/>
    <d v="2026-06-06T00:00:00"/>
    <n v="6"/>
    <n v="6"/>
    <n v="2026"/>
    <x v="2"/>
    <s v="Q2"/>
    <x v="1"/>
  </r>
  <r>
    <s v="O102800"/>
    <x v="460"/>
    <x v="0"/>
    <x v="0"/>
    <x v="2"/>
    <x v="1"/>
    <n v="10"/>
    <n v="3542298"/>
    <d v="2025-06-20T00:00:00"/>
    <n v="6"/>
    <n v="20"/>
    <n v="2025"/>
    <x v="2"/>
    <s v="Q2"/>
    <x v="2"/>
  </r>
  <r>
    <s v="O107152"/>
    <x v="461"/>
    <x v="4"/>
    <x v="0"/>
    <x v="0"/>
    <x v="1"/>
    <n v="7"/>
    <n v="3540998"/>
    <d v="2026-11-03T00:00:00"/>
    <n v="11"/>
    <n v="3"/>
    <n v="2026"/>
    <x v="0"/>
    <s v="Q4"/>
    <x v="0"/>
  </r>
  <r>
    <s v="O100879"/>
    <x v="49"/>
    <x v="6"/>
    <x v="0"/>
    <x v="2"/>
    <x v="3"/>
    <n v="8"/>
    <n v="3538823"/>
    <d v="2025-02-23T00:00:00"/>
    <n v="2"/>
    <n v="23"/>
    <n v="2025"/>
    <x v="4"/>
    <s v="Q1"/>
    <x v="2"/>
  </r>
  <r>
    <s v="O107497"/>
    <x v="462"/>
    <x v="5"/>
    <x v="0"/>
    <x v="1"/>
    <x v="0"/>
    <n v="9"/>
    <n v="3537198"/>
    <d v="2026-01-04T00:00:00"/>
    <n v="1"/>
    <n v="4"/>
    <n v="2026"/>
    <x v="6"/>
    <s v="Q1"/>
    <x v="1"/>
  </r>
  <r>
    <s v="O110022"/>
    <x v="116"/>
    <x v="0"/>
    <x v="0"/>
    <x v="2"/>
    <x v="1"/>
    <n v="8"/>
    <n v="3536992"/>
    <d v="2026-01-09T00:00:00"/>
    <n v="1"/>
    <n v="9"/>
    <n v="2026"/>
    <x v="6"/>
    <s v="Q1"/>
    <x v="2"/>
  </r>
  <r>
    <s v="O103334"/>
    <x v="463"/>
    <x v="10"/>
    <x v="0"/>
    <x v="2"/>
    <x v="1"/>
    <n v="9"/>
    <n v="3535890"/>
    <d v="2025-07-22T00:00:00"/>
    <n v="7"/>
    <n v="22"/>
    <n v="2025"/>
    <x v="10"/>
    <s v="Q3"/>
    <x v="2"/>
  </r>
  <r>
    <s v="O100845"/>
    <x v="464"/>
    <x v="6"/>
    <x v="0"/>
    <x v="1"/>
    <x v="3"/>
    <n v="10"/>
    <n v="3534036"/>
    <d v="2025-02-21T00:00:00"/>
    <n v="2"/>
    <n v="21"/>
    <n v="2025"/>
    <x v="4"/>
    <s v="Q1"/>
    <x v="1"/>
  </r>
  <r>
    <s v="O101157"/>
    <x v="379"/>
    <x v="4"/>
    <x v="0"/>
    <x v="3"/>
    <x v="0"/>
    <n v="8"/>
    <n v="3531273"/>
    <d v="2025-12-03T00:00:00"/>
    <n v="12"/>
    <n v="3"/>
    <n v="2025"/>
    <x v="7"/>
    <s v="Q4"/>
    <x v="3"/>
  </r>
  <r>
    <s v="O105168"/>
    <x v="465"/>
    <x v="9"/>
    <x v="0"/>
    <x v="2"/>
    <x v="2"/>
    <n v="7"/>
    <n v="3529334"/>
    <d v="2025-10-11T00:00:00"/>
    <n v="10"/>
    <n v="11"/>
    <n v="2025"/>
    <x v="9"/>
    <s v="Q4"/>
    <x v="2"/>
  </r>
  <r>
    <s v="O100622"/>
    <x v="215"/>
    <x v="10"/>
    <x v="0"/>
    <x v="0"/>
    <x v="3"/>
    <n v="7"/>
    <n v="3529287"/>
    <d v="2025-07-02T00:00:00"/>
    <n v="7"/>
    <n v="2"/>
    <n v="2025"/>
    <x v="10"/>
    <s v="Q3"/>
    <x v="0"/>
  </r>
  <r>
    <s v="O106682"/>
    <x v="466"/>
    <x v="5"/>
    <x v="0"/>
    <x v="4"/>
    <x v="3"/>
    <n v="7"/>
    <n v="3527234"/>
    <d v="2026-10-02T00:00:00"/>
    <n v="10"/>
    <n v="2"/>
    <n v="2026"/>
    <x v="9"/>
    <s v="Q4"/>
    <x v="4"/>
  </r>
  <r>
    <s v="O109668"/>
    <x v="467"/>
    <x v="4"/>
    <x v="0"/>
    <x v="2"/>
    <x v="3"/>
    <n v="8"/>
    <n v="3526941"/>
    <d v="2026-11-08T00:00:00"/>
    <n v="11"/>
    <n v="8"/>
    <n v="2026"/>
    <x v="0"/>
    <m/>
    <x v="2"/>
  </r>
  <r>
    <s v="O104901"/>
    <x v="468"/>
    <x v="0"/>
    <x v="0"/>
    <x v="1"/>
    <x v="0"/>
    <n v="7"/>
    <n v="3526889"/>
    <d v="2025-10-25T00:00:00"/>
    <n v="10"/>
    <n v="25"/>
    <n v="2025"/>
    <x v="9"/>
    <s v="Q4"/>
    <x v="1"/>
  </r>
  <r>
    <s v="O111357"/>
    <x v="469"/>
    <x v="6"/>
    <x v="0"/>
    <x v="0"/>
    <x v="2"/>
    <n v="8"/>
    <n v="3525707"/>
    <d v="2026-11-21T00:00:00"/>
    <n v="11"/>
    <n v="21"/>
    <n v="2026"/>
    <x v="0"/>
    <s v="Q4"/>
    <x v="0"/>
  </r>
  <r>
    <s v="O101645"/>
    <x v="157"/>
    <x v="3"/>
    <x v="0"/>
    <x v="3"/>
    <x v="2"/>
    <n v="7"/>
    <n v="3525153"/>
    <d v="2025-10-04T00:00:00"/>
    <n v="10"/>
    <n v="4"/>
    <n v="2025"/>
    <x v="9"/>
    <s v="Q4"/>
    <x v="3"/>
  </r>
  <r>
    <s v="O101763"/>
    <x v="69"/>
    <x v="6"/>
    <x v="0"/>
    <x v="0"/>
    <x v="3"/>
    <n v="9"/>
    <n v="3524792"/>
    <d v="2025-04-18T00:00:00"/>
    <n v="4"/>
    <n v="18"/>
    <n v="2025"/>
    <x v="11"/>
    <s v="Q2"/>
    <x v="0"/>
  </r>
  <r>
    <s v="O111769"/>
    <x v="316"/>
    <x v="8"/>
    <x v="0"/>
    <x v="2"/>
    <x v="3"/>
    <n v="7"/>
    <n v="3524622"/>
    <d v="2026-12-16T00:00:00"/>
    <n v="12"/>
    <n v="16"/>
    <n v="2026"/>
    <x v="7"/>
    <s v="Q4"/>
    <x v="2"/>
  </r>
  <r>
    <s v="O101752"/>
    <x v="98"/>
    <x v="1"/>
    <x v="0"/>
    <x v="4"/>
    <x v="2"/>
    <n v="8"/>
    <n v="3522949"/>
    <d v="2025-04-17T00:00:00"/>
    <n v="4"/>
    <n v="17"/>
    <n v="2025"/>
    <x v="11"/>
    <s v="Q2"/>
    <x v="4"/>
  </r>
  <r>
    <s v="O100771"/>
    <x v="470"/>
    <x v="3"/>
    <x v="0"/>
    <x v="4"/>
    <x v="0"/>
    <n v="10"/>
    <n v="3521079"/>
    <d v="2025-02-16T00:00:00"/>
    <n v="2"/>
    <n v="16"/>
    <n v="2025"/>
    <x v="4"/>
    <s v="Q1"/>
    <x v="4"/>
  </r>
  <r>
    <s v="O104369"/>
    <x v="471"/>
    <x v="9"/>
    <x v="0"/>
    <x v="1"/>
    <x v="1"/>
    <n v="8"/>
    <n v="3519104"/>
    <d v="2025-09-23T00:00:00"/>
    <n v="9"/>
    <n v="23"/>
    <n v="2025"/>
    <x v="1"/>
    <s v="Q3"/>
    <x v="1"/>
  </r>
  <r>
    <s v="O104844"/>
    <x v="135"/>
    <x v="2"/>
    <x v="0"/>
    <x v="3"/>
    <x v="2"/>
    <n v="7"/>
    <n v="3518753"/>
    <d v="2025-10-22T00:00:00"/>
    <n v="10"/>
    <n v="22"/>
    <n v="2025"/>
    <x v="9"/>
    <s v="Q4"/>
    <x v="3"/>
  </r>
  <r>
    <s v="O106034"/>
    <x v="472"/>
    <x v="5"/>
    <x v="0"/>
    <x v="1"/>
    <x v="3"/>
    <n v="7"/>
    <n v="3516330"/>
    <d v="2026-02-01T00:00:00"/>
    <n v="2"/>
    <n v="1"/>
    <n v="2026"/>
    <x v="4"/>
    <s v="Q1"/>
    <x v="1"/>
  </r>
  <r>
    <s v="O104885"/>
    <x v="447"/>
    <x v="4"/>
    <x v="0"/>
    <x v="3"/>
    <x v="0"/>
    <n v="7"/>
    <n v="3513522"/>
    <d v="2025-10-24T00:00:00"/>
    <n v="10"/>
    <n v="24"/>
    <n v="2025"/>
    <x v="9"/>
    <s v="Q4"/>
    <x v="3"/>
  </r>
  <r>
    <s v="O106205"/>
    <x v="341"/>
    <x v="10"/>
    <x v="0"/>
    <x v="1"/>
    <x v="1"/>
    <n v="10"/>
    <n v="3513355"/>
    <d v="2026-12-01T00:00:00"/>
    <n v="12"/>
    <n v="1"/>
    <n v="2026"/>
    <x v="7"/>
    <m/>
    <x v="1"/>
  </r>
  <r>
    <s v="O100485"/>
    <x v="473"/>
    <x v="8"/>
    <x v="2"/>
    <x v="4"/>
    <x v="1"/>
    <n v="10"/>
    <n v="3511945"/>
    <d v="2025-01-30T00:00:00"/>
    <n v="1"/>
    <n v="30"/>
    <n v="2025"/>
    <x v="6"/>
    <s v="Q1"/>
    <x v="4"/>
  </r>
  <r>
    <s v="O111469"/>
    <x v="380"/>
    <x v="5"/>
    <x v="0"/>
    <x v="0"/>
    <x v="1"/>
    <n v="10"/>
    <n v="3511276"/>
    <d v="2026-11-28T00:00:00"/>
    <n v="11"/>
    <n v="28"/>
    <n v="2026"/>
    <x v="0"/>
    <s v="Q4"/>
    <x v="0"/>
  </r>
  <r>
    <s v="O111939"/>
    <x v="238"/>
    <x v="4"/>
    <x v="0"/>
    <x v="1"/>
    <x v="2"/>
    <n v="7"/>
    <n v="3510847"/>
    <d v="2026-12-27T00:00:00"/>
    <n v="12"/>
    <n v="27"/>
    <n v="2026"/>
    <x v="7"/>
    <s v="Q4"/>
    <x v="1"/>
  </r>
  <r>
    <s v="O110007"/>
    <x v="231"/>
    <x v="1"/>
    <x v="0"/>
    <x v="3"/>
    <x v="2"/>
    <n v="7"/>
    <n v="3509278"/>
    <d v="2026-08-31T00:00:00"/>
    <n v="8"/>
    <n v="31"/>
    <n v="2026"/>
    <x v="8"/>
    <s v="Q3"/>
    <x v="3"/>
  </r>
  <r>
    <s v="O108932"/>
    <x v="304"/>
    <x v="6"/>
    <x v="0"/>
    <x v="3"/>
    <x v="3"/>
    <n v="7"/>
    <n v="3508824"/>
    <d v="2026-06-27T00:00:00"/>
    <n v="6"/>
    <n v="27"/>
    <n v="2026"/>
    <x v="2"/>
    <s v="Q2"/>
    <x v="3"/>
  </r>
  <r>
    <s v="O102933"/>
    <x v="474"/>
    <x v="0"/>
    <x v="0"/>
    <x v="2"/>
    <x v="2"/>
    <n v="9"/>
    <n v="3508735"/>
    <d v="2025-06-28T00:00:00"/>
    <n v="6"/>
    <n v="28"/>
    <n v="2025"/>
    <x v="2"/>
    <s v="Q2"/>
    <x v="2"/>
  </r>
  <r>
    <s v="O105519"/>
    <x v="427"/>
    <x v="3"/>
    <x v="0"/>
    <x v="1"/>
    <x v="3"/>
    <n v="7"/>
    <n v="3507247"/>
    <d v="2025-02-12T00:00:00"/>
    <n v="2"/>
    <n v="12"/>
    <n v="2025"/>
    <x v="4"/>
    <s v="Q1"/>
    <x v="1"/>
  </r>
  <r>
    <s v="O111817"/>
    <x v="167"/>
    <x v="5"/>
    <x v="2"/>
    <x v="2"/>
    <x v="0"/>
    <n v="10"/>
    <n v="3506315"/>
    <d v="2026-12-19T00:00:00"/>
    <n v="12"/>
    <n v="19"/>
    <n v="2026"/>
    <x v="7"/>
    <s v="Q4"/>
    <x v="2"/>
  </r>
  <r>
    <s v="O105655"/>
    <x v="475"/>
    <x v="4"/>
    <x v="0"/>
    <x v="4"/>
    <x v="2"/>
    <n v="8"/>
    <n v="3506190"/>
    <d v="2025-10-12T00:00:00"/>
    <n v="10"/>
    <n v="12"/>
    <n v="2025"/>
    <x v="9"/>
    <s v="Q4"/>
    <x v="4"/>
  </r>
  <r>
    <s v="O104662"/>
    <x v="366"/>
    <x v="8"/>
    <x v="2"/>
    <x v="4"/>
    <x v="3"/>
    <n v="10"/>
    <n v="3503732"/>
    <d v="2025-11-10T00:00:00"/>
    <n v="11"/>
    <n v="10"/>
    <n v="2025"/>
    <x v="0"/>
    <s v="Q4"/>
    <x v="4"/>
  </r>
  <r>
    <s v="O110031"/>
    <x v="198"/>
    <x v="1"/>
    <x v="0"/>
    <x v="0"/>
    <x v="2"/>
    <n v="8"/>
    <n v="3502861"/>
    <d v="2026-02-09T00:00:00"/>
    <n v="2"/>
    <n v="9"/>
    <n v="2026"/>
    <x v="4"/>
    <s v="Q1"/>
    <x v="0"/>
  </r>
  <r>
    <s v="O102139"/>
    <x v="46"/>
    <x v="6"/>
    <x v="0"/>
    <x v="0"/>
    <x v="3"/>
    <n v="7"/>
    <n v="3501311"/>
    <d v="2025-10-05T00:00:00"/>
    <n v="10"/>
    <n v="5"/>
    <n v="2025"/>
    <x v="9"/>
    <s v="Q4"/>
    <x v="0"/>
  </r>
  <r>
    <s v="O104356"/>
    <x v="476"/>
    <x v="9"/>
    <x v="2"/>
    <x v="0"/>
    <x v="0"/>
    <n v="10"/>
    <n v="3499526"/>
    <d v="2025-09-22T00:00:00"/>
    <n v="9"/>
    <n v="22"/>
    <n v="2025"/>
    <x v="1"/>
    <s v="Q3"/>
    <x v="0"/>
  </r>
  <r>
    <s v="O104000"/>
    <x v="139"/>
    <x v="10"/>
    <x v="0"/>
    <x v="4"/>
    <x v="0"/>
    <n v="10"/>
    <n v="3497560"/>
    <d v="2025-08-31T00:00:00"/>
    <n v="8"/>
    <n v="31"/>
    <n v="2025"/>
    <x v="8"/>
    <s v="Q3"/>
    <x v="4"/>
  </r>
  <r>
    <s v="O108107"/>
    <x v="474"/>
    <x v="8"/>
    <x v="0"/>
    <x v="1"/>
    <x v="1"/>
    <n v="7"/>
    <n v="3496815"/>
    <d v="2026-08-05T00:00:00"/>
    <n v="8"/>
    <n v="5"/>
    <n v="2026"/>
    <x v="8"/>
    <s v="Q3"/>
    <x v="1"/>
  </r>
  <r>
    <s v="O102342"/>
    <x v="477"/>
    <x v="9"/>
    <x v="0"/>
    <x v="4"/>
    <x v="1"/>
    <n v="8"/>
    <n v="3496735"/>
    <d v="2025-05-23T00:00:00"/>
    <n v="5"/>
    <n v="23"/>
    <n v="2025"/>
    <x v="3"/>
    <s v="Q2"/>
    <x v="4"/>
  </r>
  <r>
    <s v="O105220"/>
    <x v="222"/>
    <x v="0"/>
    <x v="0"/>
    <x v="2"/>
    <x v="1"/>
    <n v="8"/>
    <n v="3496305"/>
    <d v="2025-11-14T00:00:00"/>
    <n v="11"/>
    <n v="14"/>
    <n v="2025"/>
    <x v="0"/>
    <s v="Q4"/>
    <x v="2"/>
  </r>
  <r>
    <s v="O106108"/>
    <x v="478"/>
    <x v="0"/>
    <x v="0"/>
    <x v="1"/>
    <x v="0"/>
    <n v="7"/>
    <n v="3494461"/>
    <d v="2026-07-01T00:00:00"/>
    <n v="7"/>
    <n v="1"/>
    <n v="2026"/>
    <x v="10"/>
    <s v="Q3"/>
    <x v="1"/>
  </r>
  <r>
    <s v="O100935"/>
    <x v="59"/>
    <x v="2"/>
    <x v="0"/>
    <x v="0"/>
    <x v="3"/>
    <n v="10"/>
    <n v="3492276"/>
    <d v="2025-02-26T00:00:00"/>
    <n v="2"/>
    <n v="26"/>
    <n v="2025"/>
    <x v="4"/>
    <s v="Q1"/>
    <x v="0"/>
  </r>
  <r>
    <s v="O100014"/>
    <x v="479"/>
    <x v="8"/>
    <x v="0"/>
    <x v="0"/>
    <x v="0"/>
    <n v="7"/>
    <n v="3491182"/>
    <d v="2025-01-01T00:00:00"/>
    <n v="1"/>
    <n v="1"/>
    <n v="2025"/>
    <x v="6"/>
    <s v="Q1"/>
    <x v="0"/>
  </r>
  <r>
    <s v="O104408"/>
    <x v="420"/>
    <x v="6"/>
    <x v="0"/>
    <x v="4"/>
    <x v="1"/>
    <n v="7"/>
    <n v="3485478"/>
    <d v="2025-09-25T00:00:00"/>
    <n v="9"/>
    <n v="25"/>
    <n v="2025"/>
    <x v="1"/>
    <s v="Q3"/>
    <x v="4"/>
  </r>
  <r>
    <s v="O103078"/>
    <x v="199"/>
    <x v="4"/>
    <x v="0"/>
    <x v="4"/>
    <x v="2"/>
    <n v="8"/>
    <n v="3485107"/>
    <d v="2025-06-07T00:00:00"/>
    <n v="6"/>
    <n v="7"/>
    <n v="2025"/>
    <x v="2"/>
    <s v="Q2"/>
    <x v="4"/>
  </r>
  <r>
    <s v="O109017"/>
    <x v="53"/>
    <x v="10"/>
    <x v="0"/>
    <x v="4"/>
    <x v="0"/>
    <n v="10"/>
    <n v="3482711"/>
    <d v="2026-02-07T00:00:00"/>
    <n v="2"/>
    <n v="7"/>
    <n v="2026"/>
    <x v="4"/>
    <s v="Q1"/>
    <x v="4"/>
  </r>
  <r>
    <s v="O106146"/>
    <x v="226"/>
    <x v="3"/>
    <x v="0"/>
    <x v="1"/>
    <x v="0"/>
    <n v="10"/>
    <n v="3481543"/>
    <d v="2026-09-01T00:00:00"/>
    <n v="9"/>
    <n v="1"/>
    <n v="2026"/>
    <x v="1"/>
    <s v="Q3"/>
    <x v="1"/>
  </r>
  <r>
    <s v="O110116"/>
    <x v="480"/>
    <x v="3"/>
    <x v="0"/>
    <x v="2"/>
    <x v="0"/>
    <n v="10"/>
    <n v="3479735"/>
    <d v="2026-07-09T00:00:00"/>
    <n v="7"/>
    <n v="9"/>
    <n v="2026"/>
    <x v="10"/>
    <s v="Q3"/>
    <x v="2"/>
  </r>
  <r>
    <s v="O105370"/>
    <x v="401"/>
    <x v="1"/>
    <x v="0"/>
    <x v="1"/>
    <x v="1"/>
    <n v="8"/>
    <n v="3478219"/>
    <d v="2025-11-23T00:00:00"/>
    <n v="11"/>
    <n v="23"/>
    <n v="2025"/>
    <x v="0"/>
    <s v="Q4"/>
    <x v="1"/>
  </r>
  <r>
    <s v="O111994"/>
    <x v="481"/>
    <x v="4"/>
    <x v="0"/>
    <x v="1"/>
    <x v="2"/>
    <n v="8"/>
    <n v="3476296"/>
    <d v="2026-12-30T00:00:00"/>
    <n v="12"/>
    <n v="30"/>
    <n v="2026"/>
    <x v="7"/>
    <s v="Q4"/>
    <x v="1"/>
  </r>
  <r>
    <s v="O110905"/>
    <x v="265"/>
    <x v="9"/>
    <x v="2"/>
    <x v="1"/>
    <x v="3"/>
    <n v="10"/>
    <n v="3475949"/>
    <d v="2026-10-25T00:00:00"/>
    <n v="10"/>
    <n v="25"/>
    <n v="2026"/>
    <x v="9"/>
    <s v="Q4"/>
    <x v="1"/>
  </r>
  <r>
    <s v="O100831"/>
    <x v="482"/>
    <x v="10"/>
    <x v="0"/>
    <x v="3"/>
    <x v="2"/>
    <n v="8"/>
    <n v="3475685"/>
    <d v="2025-02-20T00:00:00"/>
    <n v="2"/>
    <n v="20"/>
    <n v="2025"/>
    <x v="4"/>
    <s v="Q1"/>
    <x v="3"/>
  </r>
  <r>
    <s v="O105599"/>
    <x v="15"/>
    <x v="3"/>
    <x v="2"/>
    <x v="2"/>
    <x v="1"/>
    <n v="10"/>
    <n v="3473045"/>
    <d v="2025-07-12T00:00:00"/>
    <n v="7"/>
    <n v="12"/>
    <n v="2025"/>
    <x v="10"/>
    <s v="Q3"/>
    <x v="2"/>
  </r>
  <r>
    <s v="O103431"/>
    <x v="34"/>
    <x v="3"/>
    <x v="2"/>
    <x v="2"/>
    <x v="0"/>
    <n v="10"/>
    <n v="3472539"/>
    <d v="2025-07-28T00:00:00"/>
    <n v="7"/>
    <n v="28"/>
    <n v="2025"/>
    <x v="10"/>
    <s v="Q3"/>
    <x v="2"/>
  </r>
  <r>
    <s v="O101894"/>
    <x v="483"/>
    <x v="6"/>
    <x v="0"/>
    <x v="0"/>
    <x v="3"/>
    <n v="10"/>
    <n v="3471404"/>
    <d v="2025-04-26T00:00:00"/>
    <n v="4"/>
    <n v="26"/>
    <n v="2025"/>
    <x v="11"/>
    <s v="Q2"/>
    <x v="0"/>
  </r>
  <r>
    <s v="O110332"/>
    <x v="8"/>
    <x v="5"/>
    <x v="2"/>
    <x v="4"/>
    <x v="3"/>
    <n v="10"/>
    <n v="3468618"/>
    <d v="2026-09-20T00:00:00"/>
    <n v="9"/>
    <n v="20"/>
    <n v="2026"/>
    <x v="1"/>
    <s v="Q3"/>
    <x v="4"/>
  </r>
  <r>
    <s v="O101020"/>
    <x v="285"/>
    <x v="5"/>
    <x v="0"/>
    <x v="4"/>
    <x v="2"/>
    <n v="8"/>
    <n v="3466548"/>
    <d v="2025-03-03T00:00:00"/>
    <n v="3"/>
    <n v="3"/>
    <n v="2025"/>
    <x v="5"/>
    <s v="Q1"/>
    <x v="4"/>
  </r>
  <r>
    <s v="O102115"/>
    <x v="351"/>
    <x v="6"/>
    <x v="2"/>
    <x v="3"/>
    <x v="2"/>
    <n v="10"/>
    <n v="3464763"/>
    <d v="2025-09-05T00:00:00"/>
    <n v="9"/>
    <n v="5"/>
    <n v="2025"/>
    <x v="1"/>
    <s v="Q3"/>
    <x v="3"/>
  </r>
  <r>
    <s v="O104011"/>
    <x v="67"/>
    <x v="7"/>
    <x v="0"/>
    <x v="4"/>
    <x v="2"/>
    <n v="7"/>
    <n v="3462478"/>
    <d v="2025-01-09T00:00:00"/>
    <n v="1"/>
    <n v="9"/>
    <n v="2025"/>
    <x v="6"/>
    <s v="Q1"/>
    <x v="4"/>
  </r>
  <r>
    <s v="O103098"/>
    <x v="99"/>
    <x v="10"/>
    <x v="0"/>
    <x v="4"/>
    <x v="2"/>
    <n v="7"/>
    <n v="3462181"/>
    <d v="2025-08-07T00:00:00"/>
    <n v="8"/>
    <n v="7"/>
    <n v="2025"/>
    <x v="8"/>
    <s v="Q3"/>
    <x v="4"/>
  </r>
  <r>
    <s v="O100629"/>
    <x v="353"/>
    <x v="5"/>
    <x v="0"/>
    <x v="2"/>
    <x v="1"/>
    <n v="10"/>
    <n v="3461695"/>
    <d v="2025-08-02T00:00:00"/>
    <n v="8"/>
    <n v="2"/>
    <n v="2025"/>
    <x v="8"/>
    <s v="Q3"/>
    <x v="2"/>
  </r>
  <r>
    <s v="O110757"/>
    <x v="484"/>
    <x v="0"/>
    <x v="0"/>
    <x v="0"/>
    <x v="1"/>
    <n v="9"/>
    <n v="3461401"/>
    <d v="2026-10-16T00:00:00"/>
    <n v="10"/>
    <n v="16"/>
    <n v="2026"/>
    <x v="9"/>
    <s v="Q4"/>
    <x v="0"/>
  </r>
  <r>
    <s v="O101986"/>
    <x v="485"/>
    <x v="4"/>
    <x v="0"/>
    <x v="2"/>
    <x v="0"/>
    <n v="8"/>
    <n v="3459389"/>
    <d v="2025-01-05T00:00:00"/>
    <n v="1"/>
    <n v="5"/>
    <n v="2025"/>
    <x v="6"/>
    <s v="Q1"/>
    <x v="2"/>
  </r>
  <r>
    <s v="O109968"/>
    <x v="407"/>
    <x v="5"/>
    <x v="0"/>
    <x v="3"/>
    <x v="0"/>
    <n v="9"/>
    <n v="3459318"/>
    <d v="2026-08-29T00:00:00"/>
    <n v="8"/>
    <n v="29"/>
    <n v="2026"/>
    <x v="8"/>
    <s v="Q3"/>
    <x v="3"/>
  </r>
  <r>
    <s v="O106088"/>
    <x v="154"/>
    <x v="1"/>
    <x v="0"/>
    <x v="2"/>
    <x v="2"/>
    <n v="8"/>
    <n v="3458000"/>
    <d v="2026-05-01T00:00:00"/>
    <n v="5"/>
    <n v="1"/>
    <n v="2026"/>
    <x v="3"/>
    <s v="Q2"/>
    <x v="2"/>
  </r>
  <r>
    <s v="O100430"/>
    <x v="486"/>
    <x v="6"/>
    <x v="0"/>
    <x v="1"/>
    <x v="2"/>
    <n v="9"/>
    <n v="3451856"/>
    <d v="2025-01-27T00:00:00"/>
    <n v="1"/>
    <n v="27"/>
    <n v="2025"/>
    <x v="6"/>
    <s v="Q1"/>
    <x v="1"/>
  </r>
  <r>
    <s v="O108348"/>
    <x v="487"/>
    <x v="8"/>
    <x v="0"/>
    <x v="3"/>
    <x v="3"/>
    <n v="9"/>
    <n v="3450769"/>
    <d v="2026-05-23T00:00:00"/>
    <n v="5"/>
    <n v="23"/>
    <n v="2026"/>
    <x v="3"/>
    <s v="Q2"/>
    <x v="3"/>
  </r>
  <r>
    <s v="O100348"/>
    <x v="488"/>
    <x v="9"/>
    <x v="0"/>
    <x v="1"/>
    <x v="0"/>
    <n v="9"/>
    <n v="3448298"/>
    <d v="2025-01-22T00:00:00"/>
    <n v="1"/>
    <n v="22"/>
    <n v="2025"/>
    <x v="6"/>
    <s v="Q1"/>
    <x v="1"/>
  </r>
  <r>
    <s v="O103025"/>
    <x v="219"/>
    <x v="6"/>
    <x v="0"/>
    <x v="3"/>
    <x v="2"/>
    <n v="8"/>
    <n v="3446806"/>
    <d v="2025-03-07T00:00:00"/>
    <n v="3"/>
    <n v="7"/>
    <n v="2025"/>
    <x v="5"/>
    <s v="Q1"/>
    <x v="3"/>
  </r>
  <r>
    <s v="O106135"/>
    <x v="360"/>
    <x v="1"/>
    <x v="0"/>
    <x v="2"/>
    <x v="1"/>
    <n v="7"/>
    <n v="3446358"/>
    <d v="2026-08-01T00:00:00"/>
    <n v="8"/>
    <n v="1"/>
    <n v="2026"/>
    <x v="8"/>
    <s v="Q3"/>
    <x v="2"/>
  </r>
  <r>
    <s v="O108704"/>
    <x v="303"/>
    <x v="6"/>
    <x v="0"/>
    <x v="2"/>
    <x v="2"/>
    <n v="7"/>
    <n v="3444437"/>
    <d v="2026-06-13T00:00:00"/>
    <n v="6"/>
    <n v="13"/>
    <n v="2026"/>
    <x v="2"/>
    <s v="Q2"/>
    <x v="2"/>
  </r>
  <r>
    <s v="O110286"/>
    <x v="390"/>
    <x v="3"/>
    <x v="0"/>
    <x v="4"/>
    <x v="2"/>
    <n v="8"/>
    <n v="3443366"/>
    <d v="2026-09-17T00:00:00"/>
    <n v="9"/>
    <n v="17"/>
    <n v="2026"/>
    <x v="1"/>
    <s v="Q3"/>
    <x v="4"/>
  </r>
  <r>
    <s v="O106516"/>
    <x v="478"/>
    <x v="9"/>
    <x v="0"/>
    <x v="2"/>
    <x v="3"/>
    <n v="7"/>
    <n v="3442443"/>
    <d v="2026-01-31T00:00:00"/>
    <n v="1"/>
    <n v="31"/>
    <n v="2026"/>
    <x v="6"/>
    <s v="Q1"/>
    <x v="2"/>
  </r>
  <r>
    <s v="O110166"/>
    <x v="489"/>
    <x v="8"/>
    <x v="0"/>
    <x v="0"/>
    <x v="0"/>
    <n v="8"/>
    <n v="3438278"/>
    <d v="2026-10-09T00:00:00"/>
    <n v="10"/>
    <n v="9"/>
    <n v="2026"/>
    <x v="9"/>
    <s v="Q4"/>
    <x v="0"/>
  </r>
  <r>
    <s v="O105709"/>
    <x v="427"/>
    <x v="9"/>
    <x v="2"/>
    <x v="2"/>
    <x v="3"/>
    <n v="10"/>
    <n v="3437827"/>
    <d v="2025-12-13T00:00:00"/>
    <n v="12"/>
    <n v="13"/>
    <n v="2025"/>
    <x v="7"/>
    <s v="Q4"/>
    <x v="2"/>
  </r>
  <r>
    <s v="O106743"/>
    <x v="490"/>
    <x v="6"/>
    <x v="2"/>
    <x v="4"/>
    <x v="1"/>
    <n v="10"/>
    <n v="3435699"/>
    <d v="2026-02-14T00:00:00"/>
    <n v="2"/>
    <n v="14"/>
    <n v="2026"/>
    <x v="4"/>
    <s v="Q1"/>
    <x v="4"/>
  </r>
  <r>
    <s v="O103426"/>
    <x v="473"/>
    <x v="6"/>
    <x v="2"/>
    <x v="4"/>
    <x v="2"/>
    <n v="10"/>
    <n v="3433154"/>
    <d v="2025-07-28T00:00:00"/>
    <n v="7"/>
    <n v="28"/>
    <n v="2025"/>
    <x v="10"/>
    <s v="Q3"/>
    <x v="4"/>
  </r>
  <r>
    <s v="O110890"/>
    <x v="491"/>
    <x v="0"/>
    <x v="0"/>
    <x v="4"/>
    <x v="0"/>
    <n v="8"/>
    <n v="3433091"/>
    <d v="2026-10-24T00:00:00"/>
    <n v="10"/>
    <n v="24"/>
    <n v="2026"/>
    <x v="9"/>
    <m/>
    <x v="4"/>
  </r>
  <r>
    <s v="O101910"/>
    <x v="287"/>
    <x v="4"/>
    <x v="0"/>
    <x v="3"/>
    <x v="2"/>
    <n v="10"/>
    <n v="3432567"/>
    <d v="2025-04-26T00:00:00"/>
    <n v="4"/>
    <n v="26"/>
    <n v="2025"/>
    <x v="11"/>
    <s v="Q2"/>
    <x v="3"/>
  </r>
  <r>
    <s v="O106914"/>
    <x v="492"/>
    <x v="2"/>
    <x v="0"/>
    <x v="4"/>
    <x v="0"/>
    <n v="9"/>
    <n v="3431090"/>
    <d v="2026-02-24T00:00:00"/>
    <n v="2"/>
    <n v="24"/>
    <n v="2026"/>
    <x v="4"/>
    <s v="Q1"/>
    <x v="4"/>
  </r>
  <r>
    <s v="O102534"/>
    <x v="476"/>
    <x v="1"/>
    <x v="0"/>
    <x v="3"/>
    <x v="1"/>
    <n v="7"/>
    <n v="3431023"/>
    <d v="2025-03-06T00:00:00"/>
    <n v="3"/>
    <n v="6"/>
    <n v="2025"/>
    <x v="5"/>
    <s v="Q1"/>
    <x v="3"/>
  </r>
  <r>
    <s v="O102703"/>
    <x v="327"/>
    <x v="6"/>
    <x v="0"/>
    <x v="0"/>
    <x v="3"/>
    <n v="7"/>
    <n v="3430439"/>
    <d v="2025-06-14T00:00:00"/>
    <n v="6"/>
    <n v="14"/>
    <n v="2025"/>
    <x v="2"/>
    <s v="Q2"/>
    <x v="0"/>
  </r>
  <r>
    <s v="O108014"/>
    <x v="493"/>
    <x v="5"/>
    <x v="0"/>
    <x v="0"/>
    <x v="0"/>
    <n v="10"/>
    <n v="3427758"/>
    <d v="2026-02-05T00:00:00"/>
    <n v="2"/>
    <n v="5"/>
    <n v="2026"/>
    <x v="4"/>
    <s v="Q1"/>
    <x v="0"/>
  </r>
  <r>
    <s v="O103256"/>
    <x v="259"/>
    <x v="10"/>
    <x v="0"/>
    <x v="4"/>
    <x v="2"/>
    <n v="7"/>
    <n v="3426484"/>
    <d v="2025-07-17T00:00:00"/>
    <n v="7"/>
    <n v="17"/>
    <n v="2025"/>
    <x v="10"/>
    <s v="Q3"/>
    <x v="4"/>
  </r>
  <r>
    <s v="O101744"/>
    <x v="343"/>
    <x v="6"/>
    <x v="0"/>
    <x v="3"/>
    <x v="2"/>
    <n v="9"/>
    <n v="3426169"/>
    <d v="2025-04-16T00:00:00"/>
    <n v="4"/>
    <n v="16"/>
    <n v="2025"/>
    <x v="11"/>
    <s v="Q2"/>
    <x v="3"/>
  </r>
  <r>
    <s v="O107954"/>
    <x v="494"/>
    <x v="5"/>
    <x v="0"/>
    <x v="1"/>
    <x v="3"/>
    <n v="8"/>
    <n v="3425231"/>
    <d v="2026-04-29T00:00:00"/>
    <n v="4"/>
    <n v="29"/>
    <n v="2026"/>
    <x v="11"/>
    <s v="Q2"/>
    <x v="1"/>
  </r>
  <r>
    <s v="O103611"/>
    <x v="17"/>
    <x v="6"/>
    <x v="2"/>
    <x v="0"/>
    <x v="1"/>
    <n v="10"/>
    <n v="3424021"/>
    <d v="2025-08-08T00:00:00"/>
    <n v="8"/>
    <n v="8"/>
    <n v="2025"/>
    <x v="8"/>
    <s v="Q3"/>
    <x v="0"/>
  </r>
  <r>
    <s v="O109804"/>
    <x v="328"/>
    <x v="0"/>
    <x v="2"/>
    <x v="2"/>
    <x v="2"/>
    <n v="10"/>
    <n v="3423107"/>
    <d v="2026-08-19T00:00:00"/>
    <n v="8"/>
    <n v="19"/>
    <n v="2026"/>
    <x v="8"/>
    <s v="Q3"/>
    <x v="2"/>
  </r>
  <r>
    <s v="O104548"/>
    <x v="324"/>
    <x v="0"/>
    <x v="2"/>
    <x v="1"/>
    <x v="0"/>
    <n v="10"/>
    <n v="3422945"/>
    <d v="2025-04-10T00:00:00"/>
    <n v="4"/>
    <n v="10"/>
    <n v="2025"/>
    <x v="11"/>
    <m/>
    <x v="1"/>
  </r>
  <r>
    <s v="O101837"/>
    <x v="495"/>
    <x v="9"/>
    <x v="0"/>
    <x v="2"/>
    <x v="1"/>
    <n v="8"/>
    <n v="3421652"/>
    <d v="2025-04-22T00:00:00"/>
    <n v="4"/>
    <n v="22"/>
    <n v="2025"/>
    <x v="11"/>
    <s v="Q2"/>
    <x v="2"/>
  </r>
  <r>
    <s v="O100180"/>
    <x v="87"/>
    <x v="0"/>
    <x v="0"/>
    <x v="3"/>
    <x v="2"/>
    <n v="8"/>
    <n v="3417713"/>
    <d v="2025-11-01T00:00:00"/>
    <n v="11"/>
    <n v="1"/>
    <n v="2025"/>
    <x v="0"/>
    <s v="Q4"/>
    <x v="3"/>
  </r>
  <r>
    <s v="O106484"/>
    <x v="496"/>
    <x v="0"/>
    <x v="0"/>
    <x v="4"/>
    <x v="0"/>
    <n v="9"/>
    <n v="3417046"/>
    <d v="2026-01-29T00:00:00"/>
    <n v="1"/>
    <n v="29"/>
    <n v="2026"/>
    <x v="6"/>
    <s v="Q1"/>
    <x v="4"/>
  </r>
  <r>
    <s v="O104612"/>
    <x v="436"/>
    <x v="4"/>
    <x v="0"/>
    <x v="3"/>
    <x v="2"/>
    <n v="8"/>
    <n v="3415900"/>
    <d v="2025-08-10T00:00:00"/>
    <n v="8"/>
    <n v="10"/>
    <n v="2025"/>
    <x v="8"/>
    <s v="Q3"/>
    <x v="3"/>
  </r>
  <r>
    <s v="O102778"/>
    <x v="497"/>
    <x v="3"/>
    <x v="0"/>
    <x v="1"/>
    <x v="2"/>
    <n v="7"/>
    <n v="3414245"/>
    <d v="2025-06-18T00:00:00"/>
    <n v="6"/>
    <n v="18"/>
    <n v="2025"/>
    <x v="2"/>
    <s v="Q2"/>
    <x v="1"/>
  </r>
  <r>
    <s v="O111813"/>
    <x v="498"/>
    <x v="8"/>
    <x v="0"/>
    <x v="4"/>
    <x v="3"/>
    <n v="7"/>
    <n v="3413253"/>
    <d v="2026-12-19T00:00:00"/>
    <n v="12"/>
    <n v="19"/>
    <n v="2026"/>
    <x v="7"/>
    <s v="Q4"/>
    <x v="4"/>
  </r>
  <r>
    <s v="O111794"/>
    <x v="137"/>
    <x v="10"/>
    <x v="0"/>
    <x v="2"/>
    <x v="3"/>
    <n v="7"/>
    <n v="3411509"/>
    <d v="2026-12-18T00:00:00"/>
    <n v="12"/>
    <n v="18"/>
    <n v="2026"/>
    <x v="7"/>
    <s v="Q4"/>
    <x v="2"/>
  </r>
  <r>
    <s v="O108197"/>
    <x v="499"/>
    <x v="5"/>
    <x v="2"/>
    <x v="1"/>
    <x v="3"/>
    <n v="10"/>
    <n v="3411121"/>
    <d v="2026-05-13T00:00:00"/>
    <n v="5"/>
    <n v="13"/>
    <n v="2026"/>
    <x v="3"/>
    <s v="Q2"/>
    <x v="1"/>
  </r>
  <r>
    <s v="O110119"/>
    <x v="500"/>
    <x v="3"/>
    <x v="0"/>
    <x v="4"/>
    <x v="1"/>
    <n v="7"/>
    <n v="3407933"/>
    <d v="2026-07-09T00:00:00"/>
    <n v="7"/>
    <n v="9"/>
    <n v="2026"/>
    <x v="10"/>
    <s v="Q3"/>
    <x v="4"/>
  </r>
  <r>
    <s v="O110954"/>
    <x v="501"/>
    <x v="2"/>
    <x v="0"/>
    <x v="2"/>
    <x v="3"/>
    <n v="9"/>
    <n v="3406687"/>
    <d v="2026-10-28T00:00:00"/>
    <n v="10"/>
    <n v="28"/>
    <n v="2026"/>
    <x v="9"/>
    <s v="Q4"/>
    <x v="2"/>
  </r>
  <r>
    <s v="O100168"/>
    <x v="168"/>
    <x v="4"/>
    <x v="0"/>
    <x v="4"/>
    <x v="0"/>
    <n v="10"/>
    <n v="3405279"/>
    <d v="2025-11-01T00:00:00"/>
    <n v="11"/>
    <n v="1"/>
    <n v="2025"/>
    <x v="0"/>
    <s v="Q4"/>
    <x v="4"/>
  </r>
  <r>
    <s v="O104801"/>
    <x v="140"/>
    <x v="0"/>
    <x v="0"/>
    <x v="3"/>
    <x v="2"/>
    <n v="8"/>
    <n v="3404742"/>
    <d v="2025-10-19T00:00:00"/>
    <n v="10"/>
    <n v="19"/>
    <n v="2025"/>
    <x v="9"/>
    <s v="Q4"/>
    <x v="3"/>
  </r>
  <r>
    <s v="O101750"/>
    <x v="502"/>
    <x v="10"/>
    <x v="0"/>
    <x v="0"/>
    <x v="3"/>
    <n v="10"/>
    <n v="3403038"/>
    <d v="2025-04-17T00:00:00"/>
    <n v="4"/>
    <n v="17"/>
    <n v="2025"/>
    <x v="11"/>
    <s v="Q2"/>
    <x v="0"/>
  </r>
  <r>
    <s v="O110493"/>
    <x v="260"/>
    <x v="6"/>
    <x v="0"/>
    <x v="0"/>
    <x v="1"/>
    <n v="8"/>
    <n v="3402340"/>
    <d v="2026-09-30T00:00:00"/>
    <n v="9"/>
    <n v="30"/>
    <n v="2026"/>
    <x v="1"/>
    <s v="Q3"/>
    <x v="0"/>
  </r>
  <r>
    <s v="O101934"/>
    <x v="430"/>
    <x v="3"/>
    <x v="2"/>
    <x v="1"/>
    <x v="1"/>
    <n v="10"/>
    <n v="3402213"/>
    <d v="2025-04-28T00:00:00"/>
    <n v="4"/>
    <n v="28"/>
    <n v="2025"/>
    <x v="11"/>
    <s v="Q2"/>
    <x v="1"/>
  </r>
  <r>
    <s v="O103039"/>
    <x v="211"/>
    <x v="4"/>
    <x v="0"/>
    <x v="0"/>
    <x v="3"/>
    <n v="9"/>
    <n v="3401378"/>
    <d v="2025-04-07T00:00:00"/>
    <n v="4"/>
    <n v="7"/>
    <n v="2025"/>
    <x v="11"/>
    <s v="Q2"/>
    <x v="0"/>
  </r>
  <r>
    <s v="O107327"/>
    <x v="503"/>
    <x v="2"/>
    <x v="0"/>
    <x v="3"/>
    <x v="0"/>
    <n v="10"/>
    <n v="3398941"/>
    <d v="2026-03-22T00:00:00"/>
    <n v="3"/>
    <n v="22"/>
    <n v="2026"/>
    <x v="5"/>
    <s v="Q1"/>
    <x v="3"/>
  </r>
  <r>
    <s v="O102185"/>
    <x v="483"/>
    <x v="3"/>
    <x v="2"/>
    <x v="0"/>
    <x v="0"/>
    <n v="10"/>
    <n v="3398355"/>
    <d v="2025-05-13T00:00:00"/>
    <n v="5"/>
    <n v="13"/>
    <n v="2025"/>
    <x v="3"/>
    <s v="Q2"/>
    <x v="0"/>
  </r>
  <r>
    <s v="O109048"/>
    <x v="63"/>
    <x v="8"/>
    <x v="2"/>
    <x v="0"/>
    <x v="0"/>
    <n v="10"/>
    <n v="3398285"/>
    <d v="2026-04-07T00:00:00"/>
    <n v="4"/>
    <n v="7"/>
    <n v="2026"/>
    <x v="11"/>
    <s v="Q2"/>
    <x v="0"/>
  </r>
  <r>
    <s v="O107747"/>
    <x v="504"/>
    <x v="5"/>
    <x v="0"/>
    <x v="4"/>
    <x v="0"/>
    <n v="7"/>
    <n v="3397838"/>
    <d v="2026-04-16T00:00:00"/>
    <n v="4"/>
    <n v="16"/>
    <n v="2026"/>
    <x v="11"/>
    <s v="Q2"/>
    <x v="4"/>
  </r>
  <r>
    <s v="O104177"/>
    <x v="505"/>
    <x v="8"/>
    <x v="2"/>
    <x v="2"/>
    <x v="1"/>
    <n v="10"/>
    <n v="3397471"/>
    <d v="2025-11-09T00:00:00"/>
    <n v="11"/>
    <n v="9"/>
    <n v="2025"/>
    <x v="0"/>
    <s v="Q4"/>
    <x v="2"/>
  </r>
  <r>
    <s v="O103237"/>
    <x v="127"/>
    <x v="9"/>
    <x v="0"/>
    <x v="1"/>
    <x v="1"/>
    <n v="10"/>
    <n v="3393050"/>
    <d v="2025-07-16T00:00:00"/>
    <n v="7"/>
    <n v="16"/>
    <n v="2025"/>
    <x v="10"/>
    <s v="Q3"/>
    <x v="1"/>
  </r>
  <r>
    <s v="O103616"/>
    <x v="506"/>
    <x v="1"/>
    <x v="0"/>
    <x v="2"/>
    <x v="3"/>
    <n v="10"/>
    <n v="3392412"/>
    <d v="2025-08-08T00:00:00"/>
    <n v="8"/>
    <n v="8"/>
    <n v="2025"/>
    <x v="8"/>
    <s v="Q3"/>
    <x v="2"/>
  </r>
  <r>
    <s v="O103223"/>
    <x v="295"/>
    <x v="8"/>
    <x v="0"/>
    <x v="1"/>
    <x v="3"/>
    <n v="8"/>
    <n v="3389829"/>
    <d v="2025-07-15T00:00:00"/>
    <n v="7"/>
    <n v="15"/>
    <n v="2025"/>
    <x v="10"/>
    <s v="Q3"/>
    <x v="1"/>
  </r>
  <r>
    <s v="O106735"/>
    <x v="87"/>
    <x v="4"/>
    <x v="0"/>
    <x v="1"/>
    <x v="3"/>
    <n v="9"/>
    <n v="3386714"/>
    <d v="2026-02-14T00:00:00"/>
    <n v="2"/>
    <n v="14"/>
    <n v="2026"/>
    <x v="4"/>
    <s v="Q1"/>
    <x v="1"/>
  </r>
  <r>
    <s v="O111870"/>
    <x v="507"/>
    <x v="5"/>
    <x v="2"/>
    <x v="3"/>
    <x v="2"/>
    <n v="10"/>
    <n v="3385527"/>
    <d v="2026-12-23T00:00:00"/>
    <n v="12"/>
    <n v="23"/>
    <n v="2026"/>
    <x v="7"/>
    <s v="Q4"/>
    <x v="3"/>
  </r>
  <r>
    <s v="O101097"/>
    <x v="495"/>
    <x v="5"/>
    <x v="0"/>
    <x v="3"/>
    <x v="2"/>
    <n v="9"/>
    <n v="3384538"/>
    <d v="2025-08-03T00:00:00"/>
    <n v="8"/>
    <n v="3"/>
    <n v="2025"/>
    <x v="8"/>
    <s v="Q3"/>
    <x v="3"/>
  </r>
  <r>
    <s v="O100132"/>
    <x v="508"/>
    <x v="5"/>
    <x v="0"/>
    <x v="3"/>
    <x v="2"/>
    <n v="7"/>
    <n v="3383344"/>
    <d v="2025-08-01T00:00:00"/>
    <n v="8"/>
    <n v="1"/>
    <n v="2025"/>
    <x v="8"/>
    <s v="Q3"/>
    <x v="3"/>
  </r>
  <r>
    <s v="O109741"/>
    <x v="395"/>
    <x v="4"/>
    <x v="0"/>
    <x v="2"/>
    <x v="0"/>
    <n v="9"/>
    <n v="3382055"/>
    <d v="2026-08-15T00:00:00"/>
    <n v="8"/>
    <n v="15"/>
    <n v="2026"/>
    <x v="8"/>
    <s v="Q3"/>
    <x v="2"/>
  </r>
  <r>
    <s v="O101721"/>
    <x v="509"/>
    <x v="4"/>
    <x v="0"/>
    <x v="1"/>
    <x v="2"/>
    <n v="10"/>
    <n v="3381197"/>
    <d v="2025-04-15T00:00:00"/>
    <n v="4"/>
    <n v="15"/>
    <n v="2025"/>
    <x v="11"/>
    <s v="Q2"/>
    <x v="1"/>
  </r>
  <r>
    <s v="O104687"/>
    <x v="510"/>
    <x v="2"/>
    <x v="0"/>
    <x v="4"/>
    <x v="0"/>
    <n v="7"/>
    <n v="3380321"/>
    <d v="2025-12-10T00:00:00"/>
    <n v="12"/>
    <n v="10"/>
    <n v="2025"/>
    <x v="7"/>
    <s v="Q4"/>
    <x v="4"/>
  </r>
  <r>
    <s v="O111768"/>
    <x v="27"/>
    <x v="8"/>
    <x v="0"/>
    <x v="4"/>
    <x v="1"/>
    <n v="7"/>
    <n v="3380141"/>
    <d v="2026-12-16T00:00:00"/>
    <n v="12"/>
    <n v="16"/>
    <n v="2026"/>
    <x v="7"/>
    <s v="Q4"/>
    <x v="4"/>
  </r>
  <r>
    <s v="O109188"/>
    <x v="253"/>
    <x v="1"/>
    <x v="0"/>
    <x v="4"/>
    <x v="1"/>
    <n v="9"/>
    <n v="3377213"/>
    <d v="2026-07-13T00:00:00"/>
    <n v="7"/>
    <n v="13"/>
    <n v="2026"/>
    <x v="10"/>
    <s v="Q3"/>
    <x v="4"/>
  </r>
  <r>
    <s v="O106950"/>
    <x v="421"/>
    <x v="2"/>
    <x v="0"/>
    <x v="3"/>
    <x v="3"/>
    <n v="8"/>
    <n v="3368670"/>
    <d v="2026-02-27T00:00:00"/>
    <n v="2"/>
    <n v="27"/>
    <n v="2026"/>
    <x v="4"/>
    <s v="Q1"/>
    <x v="3"/>
  </r>
  <r>
    <s v="O102605"/>
    <x v="477"/>
    <x v="2"/>
    <x v="0"/>
    <x v="1"/>
    <x v="1"/>
    <n v="9"/>
    <n v="3368051"/>
    <d v="2025-08-06T00:00:00"/>
    <n v="8"/>
    <n v="6"/>
    <n v="2025"/>
    <x v="8"/>
    <s v="Q3"/>
    <x v="1"/>
  </r>
  <r>
    <s v="O105753"/>
    <x v="276"/>
    <x v="1"/>
    <x v="0"/>
    <x v="0"/>
    <x v="1"/>
    <n v="8"/>
    <n v="3367593"/>
    <d v="2025-12-16T00:00:00"/>
    <n v="12"/>
    <n v="16"/>
    <n v="2025"/>
    <x v="7"/>
    <s v="Q4"/>
    <x v="0"/>
  </r>
  <r>
    <s v="O100176"/>
    <x v="511"/>
    <x v="3"/>
    <x v="0"/>
    <x v="3"/>
    <x v="3"/>
    <n v="9"/>
    <n v="3365903"/>
    <d v="2025-11-01T00:00:00"/>
    <n v="11"/>
    <n v="1"/>
    <n v="2025"/>
    <x v="0"/>
    <s v="Q4"/>
    <x v="3"/>
  </r>
  <r>
    <s v="O103096"/>
    <x v="512"/>
    <x v="0"/>
    <x v="2"/>
    <x v="4"/>
    <x v="0"/>
    <n v="10"/>
    <n v="3364360"/>
    <d v="2025-08-07T00:00:00"/>
    <n v="8"/>
    <n v="7"/>
    <n v="2025"/>
    <x v="8"/>
    <s v="Q3"/>
    <x v="4"/>
  </r>
  <r>
    <s v="O107418"/>
    <x v="190"/>
    <x v="3"/>
    <x v="0"/>
    <x v="2"/>
    <x v="2"/>
    <n v="7"/>
    <n v="3363487"/>
    <d v="2026-03-27T00:00:00"/>
    <n v="3"/>
    <n v="27"/>
    <n v="2026"/>
    <x v="5"/>
    <s v="Q1"/>
    <x v="2"/>
  </r>
  <r>
    <s v="O101808"/>
    <x v="513"/>
    <x v="4"/>
    <x v="0"/>
    <x v="2"/>
    <x v="0"/>
    <n v="6"/>
    <n v="3360986"/>
    <d v="2025-04-20T00:00:00"/>
    <n v="4"/>
    <n v="20"/>
    <n v="2025"/>
    <x v="11"/>
    <s v="Q2"/>
    <x v="2"/>
  </r>
  <r>
    <s v="O109199"/>
    <x v="88"/>
    <x v="5"/>
    <x v="2"/>
    <x v="0"/>
    <x v="1"/>
    <n v="10"/>
    <n v="3359382"/>
    <d v="2026-07-13T00:00:00"/>
    <n v="7"/>
    <n v="13"/>
    <n v="2026"/>
    <x v="10"/>
    <s v="Q3"/>
    <x v="0"/>
  </r>
  <r>
    <s v="O111000"/>
    <x v="491"/>
    <x v="10"/>
    <x v="2"/>
    <x v="1"/>
    <x v="1"/>
    <n v="10"/>
    <n v="3358292"/>
    <d v="2026-10-31T00:00:00"/>
    <n v="10"/>
    <n v="31"/>
    <n v="2026"/>
    <x v="9"/>
    <m/>
    <x v="1"/>
  </r>
  <r>
    <s v="O104086"/>
    <x v="514"/>
    <x v="6"/>
    <x v="0"/>
    <x v="3"/>
    <x v="0"/>
    <n v="8"/>
    <n v="3358129"/>
    <d v="2025-06-09T00:00:00"/>
    <n v="6"/>
    <n v="9"/>
    <n v="2025"/>
    <x v="2"/>
    <m/>
    <x v="3"/>
  </r>
  <r>
    <s v="O102506"/>
    <x v="515"/>
    <x v="5"/>
    <x v="0"/>
    <x v="2"/>
    <x v="2"/>
    <n v="9"/>
    <n v="3357729"/>
    <d v="2025-02-06T00:00:00"/>
    <n v="2"/>
    <n v="6"/>
    <n v="2025"/>
    <x v="4"/>
    <s v="Q1"/>
    <x v="2"/>
  </r>
  <r>
    <s v="O107091"/>
    <x v="55"/>
    <x v="9"/>
    <x v="0"/>
    <x v="0"/>
    <x v="1"/>
    <n v="9"/>
    <n v="3357375"/>
    <d v="2026-07-03T00:00:00"/>
    <n v="7"/>
    <n v="3"/>
    <n v="2026"/>
    <x v="10"/>
    <s v="Q3"/>
    <x v="0"/>
  </r>
  <r>
    <s v="O103211"/>
    <x v="516"/>
    <x v="6"/>
    <x v="0"/>
    <x v="2"/>
    <x v="3"/>
    <n v="9"/>
    <n v="3355404"/>
    <d v="2025-07-15T00:00:00"/>
    <n v="7"/>
    <n v="15"/>
    <n v="2025"/>
    <x v="10"/>
    <s v="Q3"/>
    <x v="2"/>
  </r>
  <r>
    <s v="O100260"/>
    <x v="516"/>
    <x v="2"/>
    <x v="0"/>
    <x v="2"/>
    <x v="3"/>
    <n v="8"/>
    <n v="3355340"/>
    <d v="2025-01-16T00:00:00"/>
    <n v="1"/>
    <n v="16"/>
    <n v="2025"/>
    <x v="6"/>
    <s v="Q1"/>
    <x v="2"/>
  </r>
  <r>
    <s v="O107533"/>
    <x v="517"/>
    <x v="5"/>
    <x v="0"/>
    <x v="2"/>
    <x v="1"/>
    <n v="8"/>
    <n v="3355294"/>
    <d v="2026-03-04T00:00:00"/>
    <n v="3"/>
    <n v="4"/>
    <n v="2026"/>
    <x v="5"/>
    <s v="Q1"/>
    <x v="2"/>
  </r>
  <r>
    <s v="O101970"/>
    <x v="518"/>
    <x v="4"/>
    <x v="0"/>
    <x v="4"/>
    <x v="0"/>
    <n v="7"/>
    <n v="3354482"/>
    <d v="2025-04-30T00:00:00"/>
    <n v="4"/>
    <n v="30"/>
    <n v="2025"/>
    <x v="11"/>
    <s v="Q2"/>
    <x v="4"/>
  </r>
  <r>
    <s v="O111701"/>
    <x v="519"/>
    <x v="2"/>
    <x v="0"/>
    <x v="0"/>
    <x v="1"/>
    <n v="8"/>
    <n v="3354342"/>
    <d v="2026-12-12T00:00:00"/>
    <n v="12"/>
    <n v="12"/>
    <n v="2026"/>
    <x v="7"/>
    <s v="Q4"/>
    <x v="0"/>
  </r>
  <r>
    <s v="O105362"/>
    <x v="147"/>
    <x v="5"/>
    <x v="0"/>
    <x v="2"/>
    <x v="1"/>
    <n v="9"/>
    <n v="3354301"/>
    <d v="2025-11-22T00:00:00"/>
    <n v="11"/>
    <n v="22"/>
    <n v="2025"/>
    <x v="0"/>
    <s v="Q4"/>
    <x v="2"/>
  </r>
  <r>
    <s v="O107106"/>
    <x v="382"/>
    <x v="2"/>
    <x v="0"/>
    <x v="1"/>
    <x v="2"/>
    <n v="7"/>
    <n v="3353839"/>
    <d v="2026-08-03T00:00:00"/>
    <n v="8"/>
    <n v="3"/>
    <n v="2026"/>
    <x v="8"/>
    <s v="Q3"/>
    <x v="1"/>
  </r>
  <r>
    <s v="O100073"/>
    <x v="289"/>
    <x v="1"/>
    <x v="0"/>
    <x v="2"/>
    <x v="0"/>
    <n v="6"/>
    <n v="3352571"/>
    <d v="2025-05-01T00:00:00"/>
    <n v="5"/>
    <n v="1"/>
    <n v="2025"/>
    <x v="3"/>
    <s v="Q2"/>
    <x v="2"/>
  </r>
  <r>
    <s v="O108156"/>
    <x v="352"/>
    <x v="9"/>
    <x v="0"/>
    <x v="2"/>
    <x v="0"/>
    <n v="8"/>
    <n v="3348417"/>
    <d v="2026-11-05T00:00:00"/>
    <n v="11"/>
    <n v="5"/>
    <n v="2026"/>
    <x v="0"/>
    <s v="Q4"/>
    <x v="2"/>
  </r>
  <r>
    <s v="O108240"/>
    <x v="520"/>
    <x v="6"/>
    <x v="0"/>
    <x v="2"/>
    <x v="1"/>
    <n v="7"/>
    <n v="3347688"/>
    <d v="2026-05-16T00:00:00"/>
    <n v="5"/>
    <n v="16"/>
    <n v="2026"/>
    <x v="3"/>
    <s v="Q2"/>
    <x v="2"/>
  </r>
  <r>
    <s v="O103217"/>
    <x v="521"/>
    <x v="10"/>
    <x v="0"/>
    <x v="2"/>
    <x v="3"/>
    <n v="6"/>
    <n v="3347580"/>
    <d v="2025-07-15T00:00:00"/>
    <n v="7"/>
    <n v="15"/>
    <n v="2025"/>
    <x v="10"/>
    <s v="Q3"/>
    <x v="2"/>
  </r>
  <r>
    <s v="O102522"/>
    <x v="120"/>
    <x v="3"/>
    <x v="0"/>
    <x v="3"/>
    <x v="3"/>
    <n v="9"/>
    <n v="3347476"/>
    <d v="2025-03-06T00:00:00"/>
    <n v="3"/>
    <n v="6"/>
    <n v="2025"/>
    <x v="5"/>
    <s v="Q1"/>
    <x v="3"/>
  </r>
  <r>
    <s v="O100543"/>
    <x v="522"/>
    <x v="3"/>
    <x v="0"/>
    <x v="0"/>
    <x v="0"/>
    <n v="6"/>
    <n v="3346745"/>
    <d v="2025-02-02T00:00:00"/>
    <n v="2"/>
    <n v="2"/>
    <n v="2025"/>
    <x v="4"/>
    <s v="Q1"/>
    <x v="0"/>
  </r>
  <r>
    <s v="O106212"/>
    <x v="13"/>
    <x v="10"/>
    <x v="0"/>
    <x v="4"/>
    <x v="1"/>
    <n v="8"/>
    <n v="3346589"/>
    <d v="2026-01-13T00:00:00"/>
    <n v="1"/>
    <n v="13"/>
    <n v="2026"/>
    <x v="6"/>
    <s v="Q1"/>
    <x v="4"/>
  </r>
  <r>
    <s v="O104743"/>
    <x v="523"/>
    <x v="1"/>
    <x v="0"/>
    <x v="4"/>
    <x v="2"/>
    <n v="9"/>
    <n v="3344795"/>
    <d v="2025-10-16T00:00:00"/>
    <n v="10"/>
    <n v="16"/>
    <n v="2025"/>
    <x v="9"/>
    <s v="Q4"/>
    <x v="4"/>
  </r>
  <r>
    <s v="O111653"/>
    <x v="380"/>
    <x v="3"/>
    <x v="0"/>
    <x v="0"/>
    <x v="3"/>
    <n v="9"/>
    <n v="3344252"/>
    <d v="2026-09-12T00:00:00"/>
    <n v="9"/>
    <n v="12"/>
    <n v="2026"/>
    <x v="1"/>
    <s v="Q3"/>
    <x v="0"/>
  </r>
  <r>
    <s v="O108789"/>
    <x v="294"/>
    <x v="0"/>
    <x v="0"/>
    <x v="3"/>
    <x v="1"/>
    <n v="6"/>
    <n v="3344164"/>
    <d v="2026-06-18T00:00:00"/>
    <n v="6"/>
    <n v="18"/>
    <n v="2026"/>
    <x v="2"/>
    <s v="Q2"/>
    <x v="3"/>
  </r>
  <r>
    <s v="O100983"/>
    <x v="524"/>
    <x v="9"/>
    <x v="0"/>
    <x v="4"/>
    <x v="0"/>
    <n v="6"/>
    <n v="3341840"/>
    <d v="2025-01-03T00:00:00"/>
    <n v="1"/>
    <n v="3"/>
    <n v="2025"/>
    <x v="6"/>
    <s v="Q1"/>
    <x v="4"/>
  </r>
  <r>
    <s v="O111185"/>
    <x v="408"/>
    <x v="3"/>
    <x v="2"/>
    <x v="0"/>
    <x v="0"/>
    <n v="9"/>
    <n v="3341193"/>
    <d v="2026-11-11T00:00:00"/>
    <n v="11"/>
    <n v="11"/>
    <n v="2026"/>
    <x v="0"/>
    <s v="Q4"/>
    <x v="0"/>
  </r>
  <r>
    <s v="O106973"/>
    <x v="525"/>
    <x v="3"/>
    <x v="0"/>
    <x v="0"/>
    <x v="2"/>
    <n v="9"/>
    <n v="3338599"/>
    <d v="2026-02-28T00:00:00"/>
    <n v="2"/>
    <n v="28"/>
    <n v="2026"/>
    <x v="4"/>
    <s v="Q1"/>
    <x v="0"/>
  </r>
  <r>
    <s v="O106697"/>
    <x v="520"/>
    <x v="8"/>
    <x v="2"/>
    <x v="2"/>
    <x v="3"/>
    <n v="9"/>
    <n v="3333402"/>
    <d v="2026-02-11T00:00:00"/>
    <n v="2"/>
    <n v="11"/>
    <n v="2026"/>
    <x v="4"/>
    <s v="Q1"/>
    <x v="2"/>
  </r>
  <r>
    <s v="O108811"/>
    <x v="247"/>
    <x v="1"/>
    <x v="0"/>
    <x v="4"/>
    <x v="2"/>
    <n v="6"/>
    <n v="3332630"/>
    <d v="2026-06-20T00:00:00"/>
    <n v="6"/>
    <n v="20"/>
    <n v="2026"/>
    <x v="2"/>
    <s v="Q2"/>
    <x v="4"/>
  </r>
  <r>
    <s v="O101392"/>
    <x v="91"/>
    <x v="4"/>
    <x v="0"/>
    <x v="1"/>
    <x v="0"/>
    <n v="8"/>
    <n v="3331506"/>
    <d v="2025-03-26T00:00:00"/>
    <n v="3"/>
    <n v="26"/>
    <n v="2025"/>
    <x v="5"/>
    <s v="Q1"/>
    <x v="1"/>
  </r>
  <r>
    <s v="O107860"/>
    <x v="526"/>
    <x v="9"/>
    <x v="0"/>
    <x v="1"/>
    <x v="3"/>
    <n v="6"/>
    <n v="3329272"/>
    <d v="2026-04-23T00:00:00"/>
    <n v="4"/>
    <n v="23"/>
    <n v="2026"/>
    <x v="11"/>
    <s v="Q2"/>
    <x v="1"/>
  </r>
  <r>
    <s v="O109900"/>
    <x v="239"/>
    <x v="10"/>
    <x v="0"/>
    <x v="2"/>
    <x v="2"/>
    <n v="-2"/>
    <n v="3328513"/>
    <d v="2026-08-25T00:00:00"/>
    <n v="8"/>
    <n v="25"/>
    <n v="2026"/>
    <x v="8"/>
    <s v="Q3"/>
    <x v="2"/>
  </r>
  <r>
    <s v="O100669"/>
    <x v="527"/>
    <x v="6"/>
    <x v="0"/>
    <x v="0"/>
    <x v="2"/>
    <n v="6"/>
    <n v="3327647"/>
    <d v="2025-10-02T00:00:00"/>
    <n v="10"/>
    <n v="2"/>
    <n v="2025"/>
    <x v="9"/>
    <m/>
    <x v="0"/>
  </r>
  <r>
    <s v="O100240"/>
    <x v="528"/>
    <x v="6"/>
    <x v="0"/>
    <x v="4"/>
    <x v="2"/>
    <n v="6"/>
    <n v="3327456"/>
    <d v="2025-01-15T00:00:00"/>
    <n v="1"/>
    <n v="15"/>
    <n v="2025"/>
    <x v="6"/>
    <s v="Q1"/>
    <x v="4"/>
  </r>
  <r>
    <s v="O109762"/>
    <x v="391"/>
    <x v="2"/>
    <x v="0"/>
    <x v="4"/>
    <x v="0"/>
    <n v="6"/>
    <n v="3327010"/>
    <d v="2026-08-17T00:00:00"/>
    <n v="8"/>
    <n v="17"/>
    <n v="2026"/>
    <x v="8"/>
    <s v="Q3"/>
    <x v="4"/>
  </r>
  <r>
    <s v="O109013"/>
    <x v="187"/>
    <x v="2"/>
    <x v="0"/>
    <x v="0"/>
    <x v="2"/>
    <n v="7"/>
    <n v="3326304"/>
    <d v="2026-02-07T00:00:00"/>
    <n v="2"/>
    <n v="7"/>
    <n v="2026"/>
    <x v="4"/>
    <s v="Q1"/>
    <x v="0"/>
  </r>
  <r>
    <s v="O110260"/>
    <x v="88"/>
    <x v="5"/>
    <x v="0"/>
    <x v="4"/>
    <x v="0"/>
    <n v="6"/>
    <n v="3325972"/>
    <d v="2026-09-16T00:00:00"/>
    <n v="9"/>
    <n v="16"/>
    <n v="2026"/>
    <x v="1"/>
    <s v="Q3"/>
    <x v="4"/>
  </r>
  <r>
    <s v="O103199"/>
    <x v="353"/>
    <x v="0"/>
    <x v="0"/>
    <x v="2"/>
    <x v="2"/>
    <n v="6"/>
    <n v="3325407"/>
    <d v="2025-07-14T00:00:00"/>
    <n v="7"/>
    <n v="14"/>
    <n v="2025"/>
    <x v="10"/>
    <s v="Q3"/>
    <x v="2"/>
  </r>
  <r>
    <s v="O111052"/>
    <x v="339"/>
    <x v="0"/>
    <x v="0"/>
    <x v="8"/>
    <x v="1"/>
    <n v="6"/>
    <n v="3324799"/>
    <d v="2026-03-11T00:00:00"/>
    <n v="3"/>
    <n v="11"/>
    <n v="2026"/>
    <x v="5"/>
    <s v="Q1"/>
    <x v="2"/>
  </r>
  <r>
    <s v="O105747"/>
    <x v="527"/>
    <x v="0"/>
    <x v="2"/>
    <x v="1"/>
    <x v="3"/>
    <n v="9"/>
    <n v="3324148"/>
    <d v="2025-12-16T00:00:00"/>
    <n v="12"/>
    <n v="16"/>
    <n v="2025"/>
    <x v="7"/>
    <m/>
    <x v="1"/>
  </r>
  <r>
    <s v="O103465"/>
    <x v="396"/>
    <x v="8"/>
    <x v="0"/>
    <x v="3"/>
    <x v="3"/>
    <n v="6"/>
    <n v="3321790"/>
    <d v="2025-07-30T00:00:00"/>
    <n v="7"/>
    <n v="30"/>
    <n v="2025"/>
    <x v="10"/>
    <s v="Q3"/>
    <x v="3"/>
  </r>
  <r>
    <s v="O104493"/>
    <x v="190"/>
    <x v="10"/>
    <x v="2"/>
    <x v="3"/>
    <x v="2"/>
    <n v="9"/>
    <n v="3321712"/>
    <d v="2025-09-30T00:00:00"/>
    <n v="9"/>
    <n v="30"/>
    <n v="2025"/>
    <x v="1"/>
    <s v="Q3"/>
    <x v="3"/>
  </r>
  <r>
    <s v="O110214"/>
    <x v="129"/>
    <x v="6"/>
    <x v="2"/>
    <x v="2"/>
    <x v="0"/>
    <n v="9"/>
    <n v="3312872"/>
    <d v="2026-09-13T00:00:00"/>
    <n v="9"/>
    <n v="13"/>
    <n v="2026"/>
    <x v="1"/>
    <s v="Q3"/>
    <x v="2"/>
  </r>
  <r>
    <s v="O100487"/>
    <x v="347"/>
    <x v="1"/>
    <x v="0"/>
    <x v="3"/>
    <x v="2"/>
    <n v="8"/>
    <n v="3311569"/>
    <d v="2025-01-30T00:00:00"/>
    <n v="1"/>
    <n v="30"/>
    <n v="2025"/>
    <x v="6"/>
    <s v="Q1"/>
    <x v="3"/>
  </r>
  <r>
    <s v="O109970"/>
    <x v="445"/>
    <x v="10"/>
    <x v="0"/>
    <x v="3"/>
    <x v="3"/>
    <n v="7"/>
    <n v="3311042"/>
    <d v="2026-08-29T00:00:00"/>
    <n v="8"/>
    <n v="29"/>
    <n v="2026"/>
    <x v="8"/>
    <s v="Q3"/>
    <x v="3"/>
  </r>
  <r>
    <s v="O110206"/>
    <x v="529"/>
    <x v="3"/>
    <x v="0"/>
    <x v="1"/>
    <x v="2"/>
    <n v="6"/>
    <n v="3309070"/>
    <d v="2026-09-13T00:00:00"/>
    <n v="9"/>
    <n v="13"/>
    <n v="2026"/>
    <x v="1"/>
    <s v="Q3"/>
    <x v="1"/>
  </r>
  <r>
    <s v="O104873"/>
    <x v="438"/>
    <x v="5"/>
    <x v="0"/>
    <x v="4"/>
    <x v="3"/>
    <n v="6"/>
    <n v="3308423"/>
    <d v="2025-10-23T00:00:00"/>
    <n v="10"/>
    <n v="23"/>
    <n v="2025"/>
    <x v="9"/>
    <s v="Q4"/>
    <x v="4"/>
  </r>
  <r>
    <s v="O111188"/>
    <x v="530"/>
    <x v="10"/>
    <x v="2"/>
    <x v="0"/>
    <x v="3"/>
    <n v="10"/>
    <n v="3308132"/>
    <d v="2026-11-11T00:00:00"/>
    <n v="11"/>
    <n v="11"/>
    <n v="2026"/>
    <x v="0"/>
    <s v="Q4"/>
    <x v="0"/>
  </r>
  <r>
    <s v="O102302"/>
    <x v="188"/>
    <x v="2"/>
    <x v="2"/>
    <x v="2"/>
    <x v="1"/>
    <n v="9"/>
    <n v="3307866"/>
    <d v="2025-05-20T00:00:00"/>
    <n v="5"/>
    <n v="20"/>
    <n v="2025"/>
    <x v="3"/>
    <s v="Q2"/>
    <x v="2"/>
  </r>
  <r>
    <s v="O109397"/>
    <x v="352"/>
    <x v="8"/>
    <x v="0"/>
    <x v="3"/>
    <x v="1"/>
    <n v="6"/>
    <n v="3307857"/>
    <d v="2026-07-25T00:00:00"/>
    <n v="7"/>
    <n v="25"/>
    <n v="2026"/>
    <x v="10"/>
    <s v="Q3"/>
    <x v="3"/>
  </r>
  <r>
    <s v="O107257"/>
    <x v="520"/>
    <x v="8"/>
    <x v="0"/>
    <x v="0"/>
    <x v="2"/>
    <n v="6"/>
    <n v="3307759"/>
    <d v="2026-03-17T00:00:00"/>
    <n v="3"/>
    <n v="17"/>
    <n v="2026"/>
    <x v="5"/>
    <s v="Q1"/>
    <x v="0"/>
  </r>
  <r>
    <s v="O111968"/>
    <x v="341"/>
    <x v="2"/>
    <x v="0"/>
    <x v="4"/>
    <x v="3"/>
    <n v="7"/>
    <n v="3307246"/>
    <d v="2026-12-29T00:00:00"/>
    <n v="12"/>
    <n v="29"/>
    <n v="2026"/>
    <x v="7"/>
    <m/>
    <x v="4"/>
  </r>
  <r>
    <s v="O102111"/>
    <x v="31"/>
    <x v="0"/>
    <x v="0"/>
    <x v="1"/>
    <x v="1"/>
    <n v="8"/>
    <n v="3306909"/>
    <d v="2025-09-05T00:00:00"/>
    <n v="9"/>
    <n v="5"/>
    <n v="2025"/>
    <x v="1"/>
    <s v="Q3"/>
    <x v="1"/>
  </r>
  <r>
    <s v="O103123"/>
    <x v="63"/>
    <x v="0"/>
    <x v="0"/>
    <x v="1"/>
    <x v="2"/>
    <n v="9"/>
    <n v="3306627"/>
    <d v="2025-09-07T00:00:00"/>
    <n v="9"/>
    <n v="7"/>
    <n v="2025"/>
    <x v="1"/>
    <s v="Q3"/>
    <x v="1"/>
  </r>
  <r>
    <s v="O103234"/>
    <x v="130"/>
    <x v="8"/>
    <x v="0"/>
    <x v="1"/>
    <x v="0"/>
    <n v="9"/>
    <n v="3306394"/>
    <d v="2025-07-16T00:00:00"/>
    <n v="7"/>
    <n v="16"/>
    <n v="2025"/>
    <x v="10"/>
    <s v="Q3"/>
    <x v="1"/>
  </r>
  <r>
    <s v="O103846"/>
    <x v="287"/>
    <x v="4"/>
    <x v="2"/>
    <x v="4"/>
    <x v="0"/>
    <n v="10"/>
    <n v="3306343"/>
    <d v="2025-08-22T00:00:00"/>
    <n v="8"/>
    <n v="22"/>
    <n v="2025"/>
    <x v="8"/>
    <s v="Q3"/>
    <x v="4"/>
  </r>
  <r>
    <s v="O106763"/>
    <x v="531"/>
    <x v="5"/>
    <x v="0"/>
    <x v="2"/>
    <x v="1"/>
    <n v="7"/>
    <n v="3305687"/>
    <d v="2026-02-15T00:00:00"/>
    <n v="2"/>
    <n v="15"/>
    <n v="2026"/>
    <x v="4"/>
    <s v="Q1"/>
    <x v="2"/>
  </r>
  <r>
    <s v="O101579"/>
    <x v="270"/>
    <x v="9"/>
    <x v="2"/>
    <x v="0"/>
    <x v="1"/>
    <n v="9"/>
    <n v="3305544"/>
    <d v="2025-06-04T00:00:00"/>
    <n v="6"/>
    <n v="4"/>
    <n v="2025"/>
    <x v="2"/>
    <s v="Q2"/>
    <x v="0"/>
  </r>
  <r>
    <s v="O108689"/>
    <x v="229"/>
    <x v="6"/>
    <x v="0"/>
    <x v="0"/>
    <x v="1"/>
    <n v="6"/>
    <n v="3304595"/>
    <d v="2026-12-06T00:00:00"/>
    <n v="12"/>
    <n v="6"/>
    <n v="2026"/>
    <x v="7"/>
    <s v="Q4"/>
    <x v="0"/>
  </r>
  <r>
    <s v="O102860"/>
    <x v="155"/>
    <x v="8"/>
    <x v="0"/>
    <x v="4"/>
    <x v="1"/>
    <n v="6"/>
    <n v="3304385"/>
    <d v="2025-06-23T00:00:00"/>
    <n v="6"/>
    <n v="23"/>
    <n v="2025"/>
    <x v="2"/>
    <s v="Q2"/>
    <x v="4"/>
  </r>
  <r>
    <s v="O103984"/>
    <x v="127"/>
    <x v="10"/>
    <x v="0"/>
    <x v="4"/>
    <x v="0"/>
    <n v="6"/>
    <n v="3304231"/>
    <d v="2025-08-30T00:00:00"/>
    <n v="8"/>
    <n v="30"/>
    <n v="2025"/>
    <x v="8"/>
    <s v="Q3"/>
    <x v="4"/>
  </r>
  <r>
    <s v="O108694"/>
    <x v="532"/>
    <x v="6"/>
    <x v="0"/>
    <x v="1"/>
    <x v="1"/>
    <n v="7"/>
    <n v="3303775"/>
    <d v="2026-06-13T00:00:00"/>
    <n v="6"/>
    <n v="13"/>
    <n v="2026"/>
    <x v="2"/>
    <s v="Q2"/>
    <x v="1"/>
  </r>
  <r>
    <s v="O109592"/>
    <x v="279"/>
    <x v="9"/>
    <x v="0"/>
    <x v="3"/>
    <x v="2"/>
    <n v="9"/>
    <n v="3301300"/>
    <d v="2026-06-08T00:00:00"/>
    <n v="6"/>
    <n v="8"/>
    <n v="2026"/>
    <x v="2"/>
    <s v="Q2"/>
    <x v="3"/>
  </r>
  <r>
    <s v="O101266"/>
    <x v="53"/>
    <x v="9"/>
    <x v="0"/>
    <x v="2"/>
    <x v="2"/>
    <n v="6"/>
    <n v="3299462"/>
    <d v="2025-03-18T00:00:00"/>
    <n v="3"/>
    <n v="18"/>
    <n v="2025"/>
    <x v="5"/>
    <s v="Q1"/>
    <x v="2"/>
  </r>
  <r>
    <s v="O100174"/>
    <x v="110"/>
    <x v="2"/>
    <x v="0"/>
    <x v="0"/>
    <x v="1"/>
    <n v="8"/>
    <n v="3298352"/>
    <d v="2025-11-01T00:00:00"/>
    <n v="11"/>
    <n v="1"/>
    <n v="2025"/>
    <x v="0"/>
    <s v="Q4"/>
    <x v="0"/>
  </r>
  <r>
    <s v="O101722"/>
    <x v="533"/>
    <x v="9"/>
    <x v="0"/>
    <x v="2"/>
    <x v="2"/>
    <n v="8"/>
    <n v="3294226"/>
    <d v="2025-04-15T00:00:00"/>
    <n v="4"/>
    <n v="15"/>
    <n v="2025"/>
    <x v="11"/>
    <s v="Q2"/>
    <x v="2"/>
  </r>
  <r>
    <s v="O109423"/>
    <x v="29"/>
    <x v="10"/>
    <x v="2"/>
    <x v="0"/>
    <x v="2"/>
    <n v="10"/>
    <n v="3293565"/>
    <d v="2026-07-27T00:00:00"/>
    <n v="7"/>
    <n v="27"/>
    <n v="2026"/>
    <x v="10"/>
    <s v="Q3"/>
    <x v="0"/>
  </r>
  <r>
    <s v="O100084"/>
    <x v="534"/>
    <x v="8"/>
    <x v="0"/>
    <x v="3"/>
    <x v="2"/>
    <n v="6"/>
    <n v="3286677"/>
    <d v="2025-06-01T00:00:00"/>
    <n v="6"/>
    <n v="1"/>
    <n v="2025"/>
    <x v="2"/>
    <s v="Q2"/>
    <x v="3"/>
  </r>
  <r>
    <s v="O111836"/>
    <x v="535"/>
    <x v="1"/>
    <x v="0"/>
    <x v="3"/>
    <x v="3"/>
    <n v="6"/>
    <n v="3286378"/>
    <d v="2026-12-21T00:00:00"/>
    <n v="12"/>
    <n v="21"/>
    <n v="2026"/>
    <x v="7"/>
    <s v="Q4"/>
    <x v="3"/>
  </r>
  <r>
    <s v="O104731"/>
    <x v="398"/>
    <x v="5"/>
    <x v="0"/>
    <x v="1"/>
    <x v="1"/>
    <n v="6"/>
    <n v="3285528"/>
    <d v="2025-10-15T00:00:00"/>
    <n v="10"/>
    <n v="15"/>
    <n v="2025"/>
    <x v="9"/>
    <s v="Q4"/>
    <x v="1"/>
  </r>
  <r>
    <s v="O107623"/>
    <x v="457"/>
    <x v="6"/>
    <x v="0"/>
    <x v="3"/>
    <x v="1"/>
    <n v="8"/>
    <n v="3283839"/>
    <d v="2026-09-04T00:00:00"/>
    <n v="9"/>
    <n v="4"/>
    <n v="2026"/>
    <x v="1"/>
    <s v="Q3"/>
    <x v="3"/>
  </r>
  <r>
    <s v="O108470"/>
    <x v="36"/>
    <x v="0"/>
    <x v="0"/>
    <x v="2"/>
    <x v="3"/>
    <n v="6"/>
    <n v="3280382"/>
    <d v="2026-05-30T00:00:00"/>
    <n v="5"/>
    <n v="30"/>
    <n v="2026"/>
    <x v="3"/>
    <s v="Q2"/>
    <x v="2"/>
  </r>
  <r>
    <s v="O104598"/>
    <x v="38"/>
    <x v="8"/>
    <x v="0"/>
    <x v="3"/>
    <x v="0"/>
    <n v="7"/>
    <n v="3279034"/>
    <d v="2025-07-10T00:00:00"/>
    <n v="7"/>
    <n v="10"/>
    <n v="2025"/>
    <x v="10"/>
    <s v="Q3"/>
    <x v="3"/>
  </r>
  <r>
    <s v="O105014"/>
    <x v="536"/>
    <x v="9"/>
    <x v="2"/>
    <x v="3"/>
    <x v="2"/>
    <n v="9"/>
    <n v="3276960"/>
    <d v="2025-01-11T00:00:00"/>
    <n v="1"/>
    <n v="11"/>
    <n v="2025"/>
    <x v="6"/>
    <s v="Q1"/>
    <x v="3"/>
  </r>
  <r>
    <s v="O100961"/>
    <x v="537"/>
    <x v="2"/>
    <x v="0"/>
    <x v="3"/>
    <x v="2"/>
    <n v="7"/>
    <n v="3276605"/>
    <d v="2025-02-28T00:00:00"/>
    <n v="2"/>
    <n v="28"/>
    <n v="2025"/>
    <x v="4"/>
    <s v="Q1"/>
    <x v="3"/>
  </r>
  <r>
    <s v="O102961"/>
    <x v="538"/>
    <x v="8"/>
    <x v="0"/>
    <x v="1"/>
    <x v="3"/>
    <n v="7"/>
    <n v="3273341"/>
    <d v="2025-06-29T00:00:00"/>
    <n v="6"/>
    <n v="29"/>
    <n v="2025"/>
    <x v="2"/>
    <m/>
    <x v="1"/>
  </r>
  <r>
    <s v="O102081"/>
    <x v="9"/>
    <x v="10"/>
    <x v="0"/>
    <x v="1"/>
    <x v="0"/>
    <n v="9"/>
    <n v="3273040"/>
    <d v="2025-07-05T00:00:00"/>
    <n v="7"/>
    <n v="5"/>
    <n v="2025"/>
    <x v="10"/>
    <s v="Q3"/>
    <x v="1"/>
  </r>
  <r>
    <s v="O104139"/>
    <x v="539"/>
    <x v="5"/>
    <x v="2"/>
    <x v="2"/>
    <x v="1"/>
    <n v="10"/>
    <n v="3269418"/>
    <d v="2025-09-09T00:00:00"/>
    <n v="9"/>
    <n v="9"/>
    <n v="2025"/>
    <x v="1"/>
    <s v="Q3"/>
    <x v="2"/>
  </r>
  <r>
    <s v="O110917"/>
    <x v="380"/>
    <x v="9"/>
    <x v="0"/>
    <x v="4"/>
    <x v="3"/>
    <n v="8"/>
    <n v="3268098"/>
    <d v="2026-10-26T00:00:00"/>
    <n v="10"/>
    <n v="26"/>
    <n v="2026"/>
    <x v="9"/>
    <s v="Q4"/>
    <x v="4"/>
  </r>
  <r>
    <s v="O103559"/>
    <x v="221"/>
    <x v="10"/>
    <x v="0"/>
    <x v="1"/>
    <x v="3"/>
    <n v="6"/>
    <n v="3267890"/>
    <d v="2025-05-08T00:00:00"/>
    <n v="5"/>
    <n v="8"/>
    <n v="2025"/>
    <x v="3"/>
    <s v="Q2"/>
    <x v="1"/>
  </r>
  <r>
    <s v="O106932"/>
    <x v="157"/>
    <x v="10"/>
    <x v="0"/>
    <x v="3"/>
    <x v="0"/>
    <n v="6"/>
    <n v="3267030"/>
    <d v="2026-02-26T00:00:00"/>
    <n v="2"/>
    <n v="26"/>
    <n v="2026"/>
    <x v="4"/>
    <s v="Q1"/>
    <x v="3"/>
  </r>
  <r>
    <s v="O103877"/>
    <x v="240"/>
    <x v="6"/>
    <x v="0"/>
    <x v="4"/>
    <x v="2"/>
    <n v="7"/>
    <n v="3266358"/>
    <d v="2025-08-24T00:00:00"/>
    <n v="8"/>
    <n v="24"/>
    <n v="2025"/>
    <x v="8"/>
    <s v="Q3"/>
    <x v="4"/>
  </r>
  <r>
    <s v="O108104"/>
    <x v="291"/>
    <x v="0"/>
    <x v="0"/>
    <x v="3"/>
    <x v="0"/>
    <n v="6"/>
    <n v="3261623"/>
    <d v="2026-08-05T00:00:00"/>
    <n v="8"/>
    <n v="5"/>
    <n v="2026"/>
    <x v="8"/>
    <s v="Q3"/>
    <x v="3"/>
  </r>
  <r>
    <s v="O109620"/>
    <x v="398"/>
    <x v="6"/>
    <x v="0"/>
    <x v="0"/>
    <x v="2"/>
    <n v="7"/>
    <n v="3260752"/>
    <d v="2026-08-08T00:00:00"/>
    <n v="8"/>
    <n v="8"/>
    <n v="2026"/>
    <x v="8"/>
    <s v="Q3"/>
    <x v="0"/>
  </r>
  <r>
    <s v="O110141"/>
    <x v="540"/>
    <x v="5"/>
    <x v="0"/>
    <x v="0"/>
    <x v="2"/>
    <n v="6"/>
    <n v="3260009"/>
    <d v="2026-09-09T00:00:00"/>
    <n v="9"/>
    <n v="9"/>
    <n v="2026"/>
    <x v="1"/>
    <s v="Q3"/>
    <x v="0"/>
  </r>
  <r>
    <s v="O101798"/>
    <x v="541"/>
    <x v="3"/>
    <x v="0"/>
    <x v="0"/>
    <x v="0"/>
    <n v="9"/>
    <n v="3259664"/>
    <d v="2025-04-20T00:00:00"/>
    <n v="4"/>
    <n v="20"/>
    <n v="2025"/>
    <x v="11"/>
    <s v="Q2"/>
    <x v="0"/>
  </r>
  <r>
    <s v="O105432"/>
    <x v="1"/>
    <x v="8"/>
    <x v="0"/>
    <x v="0"/>
    <x v="3"/>
    <n v="8"/>
    <n v="3259357"/>
    <d v="2025-11-26T00:00:00"/>
    <n v="11"/>
    <n v="26"/>
    <n v="2025"/>
    <x v="0"/>
    <s v="Q4"/>
    <x v="0"/>
  </r>
  <r>
    <s v="O108355"/>
    <x v="434"/>
    <x v="6"/>
    <x v="0"/>
    <x v="0"/>
    <x v="2"/>
    <n v="8"/>
    <n v="3258645"/>
    <d v="2026-05-23T00:00:00"/>
    <n v="5"/>
    <n v="23"/>
    <n v="2026"/>
    <x v="3"/>
    <s v="Q2"/>
    <x v="0"/>
  </r>
  <r>
    <s v="O108229"/>
    <x v="481"/>
    <x v="9"/>
    <x v="2"/>
    <x v="0"/>
    <x v="3"/>
    <n v="10"/>
    <n v="3256544"/>
    <d v="2026-05-15T00:00:00"/>
    <n v="5"/>
    <n v="15"/>
    <n v="2026"/>
    <x v="3"/>
    <s v="Q2"/>
    <x v="0"/>
  </r>
  <r>
    <s v="O111608"/>
    <x v="542"/>
    <x v="6"/>
    <x v="0"/>
    <x v="3"/>
    <x v="2"/>
    <n v="6"/>
    <n v="3256071"/>
    <d v="2026-07-12T00:00:00"/>
    <n v="7"/>
    <n v="12"/>
    <n v="2026"/>
    <x v="10"/>
    <s v="Q3"/>
    <x v="3"/>
  </r>
  <r>
    <s v="O110129"/>
    <x v="326"/>
    <x v="0"/>
    <x v="2"/>
    <x v="0"/>
    <x v="3"/>
    <n v="10"/>
    <n v="3255789"/>
    <d v="2026-08-09T00:00:00"/>
    <n v="8"/>
    <n v="9"/>
    <n v="2026"/>
    <x v="8"/>
    <s v="Q3"/>
    <x v="0"/>
  </r>
  <r>
    <s v="O110100"/>
    <x v="543"/>
    <x v="8"/>
    <x v="0"/>
    <x v="4"/>
    <x v="3"/>
    <n v="9"/>
    <n v="3254401"/>
    <d v="2026-06-09T00:00:00"/>
    <n v="6"/>
    <n v="9"/>
    <n v="2026"/>
    <x v="2"/>
    <s v="Q2"/>
    <x v="4"/>
  </r>
  <r>
    <s v="O101250"/>
    <x v="438"/>
    <x v="6"/>
    <x v="1"/>
    <x v="0"/>
    <x v="2"/>
    <n v="9"/>
    <n v="3253174"/>
    <d v="2025-03-17T00:00:00"/>
    <n v="3"/>
    <n v="17"/>
    <n v="2025"/>
    <x v="5"/>
    <s v="Q1"/>
    <x v="0"/>
  </r>
  <r>
    <s v="O105991"/>
    <x v="396"/>
    <x v="1"/>
    <x v="0"/>
    <x v="0"/>
    <x v="0"/>
    <n v="6"/>
    <n v="3252204"/>
    <d v="2025-12-30T00:00:00"/>
    <n v="12"/>
    <n v="30"/>
    <n v="2025"/>
    <x v="7"/>
    <s v="Q4"/>
    <x v="0"/>
  </r>
  <r>
    <s v="O102704"/>
    <x v="544"/>
    <x v="0"/>
    <x v="0"/>
    <x v="4"/>
    <x v="0"/>
    <n v="7"/>
    <n v="3251814"/>
    <d v="2025-06-14T00:00:00"/>
    <n v="6"/>
    <n v="14"/>
    <n v="2025"/>
    <x v="2"/>
    <s v="Q2"/>
    <x v="4"/>
  </r>
  <r>
    <s v="O106651"/>
    <x v="407"/>
    <x v="4"/>
    <x v="0"/>
    <x v="0"/>
    <x v="3"/>
    <n v="6"/>
    <n v="3250262"/>
    <d v="2026-09-02T00:00:00"/>
    <n v="9"/>
    <n v="2"/>
    <n v="2026"/>
    <x v="1"/>
    <s v="Q3"/>
    <x v="0"/>
  </r>
  <r>
    <s v="O100673"/>
    <x v="545"/>
    <x v="4"/>
    <x v="0"/>
    <x v="1"/>
    <x v="1"/>
    <n v="6"/>
    <n v="3249120"/>
    <d v="2025-10-02T00:00:00"/>
    <n v="10"/>
    <n v="2"/>
    <n v="2025"/>
    <x v="9"/>
    <s v="Q4"/>
    <x v="1"/>
  </r>
  <r>
    <s v="O111703"/>
    <x v="291"/>
    <x v="5"/>
    <x v="0"/>
    <x v="0"/>
    <x v="1"/>
    <n v="9"/>
    <n v="3248449"/>
    <d v="2026-12-12T00:00:00"/>
    <n v="12"/>
    <n v="12"/>
    <n v="2026"/>
    <x v="7"/>
    <s v="Q4"/>
    <x v="0"/>
  </r>
  <r>
    <s v="O109719"/>
    <x v="255"/>
    <x v="9"/>
    <x v="0"/>
    <x v="2"/>
    <x v="1"/>
    <n v="8"/>
    <n v="3242489"/>
    <d v="2026-08-14T00:00:00"/>
    <n v="8"/>
    <n v="14"/>
    <n v="2026"/>
    <x v="8"/>
    <s v="Q3"/>
    <x v="2"/>
  </r>
  <r>
    <s v="O103792"/>
    <x v="546"/>
    <x v="6"/>
    <x v="0"/>
    <x v="1"/>
    <x v="3"/>
    <n v="6"/>
    <n v="3240232"/>
    <d v="2025-08-19T00:00:00"/>
    <n v="8"/>
    <n v="19"/>
    <n v="2025"/>
    <x v="8"/>
    <s v="Q3"/>
    <x v="1"/>
  </r>
  <r>
    <s v="O109251"/>
    <x v="210"/>
    <x v="0"/>
    <x v="0"/>
    <x v="0"/>
    <x v="1"/>
    <n v="7"/>
    <n v="3239730"/>
    <d v="2026-07-16T00:00:00"/>
    <n v="7"/>
    <n v="16"/>
    <n v="2026"/>
    <x v="10"/>
    <s v="Q3"/>
    <x v="0"/>
  </r>
  <r>
    <s v="O100599"/>
    <x v="280"/>
    <x v="6"/>
    <x v="0"/>
    <x v="3"/>
    <x v="2"/>
    <n v="8"/>
    <n v="3239525"/>
    <d v="2025-06-02T00:00:00"/>
    <n v="6"/>
    <n v="2"/>
    <n v="2025"/>
    <x v="2"/>
    <s v="Q2"/>
    <x v="3"/>
  </r>
  <r>
    <s v="O101233"/>
    <x v="547"/>
    <x v="6"/>
    <x v="0"/>
    <x v="1"/>
    <x v="1"/>
    <n v="6"/>
    <n v="3239451"/>
    <d v="2025-03-16T00:00:00"/>
    <n v="3"/>
    <n v="16"/>
    <n v="2025"/>
    <x v="5"/>
    <s v="Q1"/>
    <x v="1"/>
  </r>
  <r>
    <s v="O108552"/>
    <x v="548"/>
    <x v="3"/>
    <x v="0"/>
    <x v="4"/>
    <x v="1"/>
    <n v="8"/>
    <n v="3238929"/>
    <d v="2026-04-06T00:00:00"/>
    <n v="4"/>
    <n v="6"/>
    <n v="2026"/>
    <x v="11"/>
    <s v="Q2"/>
    <x v="4"/>
  </r>
  <r>
    <s v="O101194"/>
    <x v="549"/>
    <x v="9"/>
    <x v="2"/>
    <x v="3"/>
    <x v="2"/>
    <n v="10"/>
    <n v="3238159"/>
    <d v="2025-03-14T00:00:00"/>
    <n v="3"/>
    <n v="14"/>
    <n v="2025"/>
    <x v="5"/>
    <s v="Q1"/>
    <x v="3"/>
  </r>
  <r>
    <s v="O107610"/>
    <x v="281"/>
    <x v="5"/>
    <x v="0"/>
    <x v="3"/>
    <x v="3"/>
    <n v="7"/>
    <n v="3237186"/>
    <d v="2026-08-04T00:00:00"/>
    <n v="8"/>
    <n v="4"/>
    <n v="2026"/>
    <x v="8"/>
    <s v="Q3"/>
    <x v="3"/>
  </r>
  <r>
    <s v="O102167"/>
    <x v="453"/>
    <x v="10"/>
    <x v="2"/>
    <x v="3"/>
    <x v="1"/>
    <n v="10"/>
    <n v="3235555"/>
    <d v="2025-12-05T00:00:00"/>
    <n v="12"/>
    <n v="5"/>
    <n v="2025"/>
    <x v="7"/>
    <s v="Q4"/>
    <x v="3"/>
  </r>
  <r>
    <s v="O111774"/>
    <x v="114"/>
    <x v="2"/>
    <x v="0"/>
    <x v="2"/>
    <x v="3"/>
    <n v="9"/>
    <n v="3233927"/>
    <d v="2026-12-17T00:00:00"/>
    <n v="12"/>
    <n v="17"/>
    <n v="2026"/>
    <x v="7"/>
    <s v="Q4"/>
    <x v="2"/>
  </r>
  <r>
    <s v="O105802"/>
    <x v="294"/>
    <x v="4"/>
    <x v="0"/>
    <x v="3"/>
    <x v="0"/>
    <n v="6"/>
    <n v="3233466"/>
    <d v="2025-12-19T00:00:00"/>
    <n v="12"/>
    <n v="19"/>
    <n v="2025"/>
    <x v="7"/>
    <s v="Q4"/>
    <x v="3"/>
  </r>
  <r>
    <s v="O104978"/>
    <x v="259"/>
    <x v="3"/>
    <x v="0"/>
    <x v="0"/>
    <x v="2"/>
    <n v="6"/>
    <n v="3232885"/>
    <d v="2025-10-30T00:00:00"/>
    <n v="10"/>
    <n v="30"/>
    <n v="2025"/>
    <x v="9"/>
    <s v="Q4"/>
    <x v="0"/>
  </r>
  <r>
    <s v="O109453"/>
    <x v="184"/>
    <x v="8"/>
    <x v="0"/>
    <x v="2"/>
    <x v="3"/>
    <n v="7"/>
    <n v="3231939"/>
    <d v="2026-07-29T00:00:00"/>
    <n v="7"/>
    <n v="29"/>
    <n v="2026"/>
    <x v="10"/>
    <s v="Q3"/>
    <x v="2"/>
  </r>
  <r>
    <s v="O106073"/>
    <x v="550"/>
    <x v="1"/>
    <x v="0"/>
    <x v="0"/>
    <x v="3"/>
    <n v="6"/>
    <n v="3229702"/>
    <d v="2026-04-01T00:00:00"/>
    <n v="4"/>
    <n v="1"/>
    <n v="2026"/>
    <x v="11"/>
    <s v="Q2"/>
    <x v="0"/>
  </r>
  <r>
    <s v="O100773"/>
    <x v="276"/>
    <x v="9"/>
    <x v="0"/>
    <x v="2"/>
    <x v="2"/>
    <n v="8"/>
    <n v="3229475"/>
    <d v="2025-02-16T00:00:00"/>
    <n v="2"/>
    <n v="16"/>
    <n v="2025"/>
    <x v="4"/>
    <s v="Q1"/>
    <x v="2"/>
  </r>
  <r>
    <s v="O101423"/>
    <x v="428"/>
    <x v="4"/>
    <x v="0"/>
    <x v="4"/>
    <x v="3"/>
    <n v="6"/>
    <n v="3227827"/>
    <d v="2025-03-28T00:00:00"/>
    <n v="3"/>
    <n v="28"/>
    <n v="2025"/>
    <x v="5"/>
    <s v="Q1"/>
    <x v="4"/>
  </r>
  <r>
    <s v="O107090"/>
    <x v="366"/>
    <x v="4"/>
    <x v="0"/>
    <x v="0"/>
    <x v="1"/>
    <n v="6"/>
    <n v="3225846"/>
    <d v="2026-07-03T00:00:00"/>
    <n v="7"/>
    <n v="3"/>
    <n v="2026"/>
    <x v="10"/>
    <s v="Q3"/>
    <x v="0"/>
  </r>
  <r>
    <s v="O111453"/>
    <x v="551"/>
    <x v="6"/>
    <x v="0"/>
    <x v="0"/>
    <x v="3"/>
    <n v="8"/>
    <n v="3225787"/>
    <d v="2026-11-27T00:00:00"/>
    <n v="11"/>
    <n v="27"/>
    <n v="2026"/>
    <x v="0"/>
    <s v="Q4"/>
    <x v="0"/>
  </r>
  <r>
    <s v="O101195"/>
    <x v="103"/>
    <x v="0"/>
    <x v="0"/>
    <x v="1"/>
    <x v="1"/>
    <n v="6"/>
    <n v="3225140"/>
    <d v="2025-03-14T00:00:00"/>
    <n v="3"/>
    <n v="14"/>
    <n v="2025"/>
    <x v="5"/>
    <s v="Q1"/>
    <x v="1"/>
  </r>
  <r>
    <s v="O104393"/>
    <x v="165"/>
    <x v="10"/>
    <x v="2"/>
    <x v="1"/>
    <x v="2"/>
    <n v="10"/>
    <n v="3224415"/>
    <d v="2025-09-24T00:00:00"/>
    <n v="9"/>
    <n v="24"/>
    <n v="2025"/>
    <x v="1"/>
    <s v="Q3"/>
    <x v="1"/>
  </r>
  <r>
    <s v="O101532"/>
    <x v="330"/>
    <x v="6"/>
    <x v="2"/>
    <x v="3"/>
    <x v="0"/>
    <n v="9"/>
    <n v="3223614"/>
    <d v="2025-04-04T00:00:00"/>
    <n v="4"/>
    <n v="4"/>
    <n v="2025"/>
    <x v="11"/>
    <s v="Q2"/>
    <x v="3"/>
  </r>
  <r>
    <s v="O103756"/>
    <x v="344"/>
    <x v="2"/>
    <x v="0"/>
    <x v="5"/>
    <x v="0"/>
    <n v="6"/>
    <n v="3222355"/>
    <d v="2025-08-17T00:00:00"/>
    <n v="8"/>
    <n v="17"/>
    <n v="2025"/>
    <x v="8"/>
    <s v="Q3"/>
    <x v="5"/>
  </r>
  <r>
    <s v="O103356"/>
    <x v="505"/>
    <x v="0"/>
    <x v="0"/>
    <x v="1"/>
    <x v="2"/>
    <n v="6"/>
    <n v="3222342"/>
    <d v="2025-07-23T00:00:00"/>
    <n v="7"/>
    <n v="23"/>
    <n v="2025"/>
    <x v="10"/>
    <s v="Q3"/>
    <x v="1"/>
  </r>
  <r>
    <s v="O104807"/>
    <x v="285"/>
    <x v="10"/>
    <x v="0"/>
    <x v="0"/>
    <x v="0"/>
    <n v="6"/>
    <n v="3222341"/>
    <d v="2025-10-19T00:00:00"/>
    <n v="10"/>
    <n v="19"/>
    <n v="2025"/>
    <x v="9"/>
    <s v="Q4"/>
    <x v="0"/>
  </r>
  <r>
    <s v="O103369"/>
    <x v="552"/>
    <x v="0"/>
    <x v="0"/>
    <x v="0"/>
    <x v="0"/>
    <n v="8"/>
    <n v="3222001"/>
    <d v="2025-07-24T00:00:00"/>
    <n v="7"/>
    <n v="24"/>
    <n v="2025"/>
    <x v="10"/>
    <s v="Q3"/>
    <x v="0"/>
  </r>
  <r>
    <s v="O110125"/>
    <x v="553"/>
    <x v="0"/>
    <x v="0"/>
    <x v="1"/>
    <x v="0"/>
    <n v="6"/>
    <n v="3219725"/>
    <d v="2026-08-09T00:00:00"/>
    <n v="8"/>
    <n v="9"/>
    <n v="2026"/>
    <x v="8"/>
    <s v="Q3"/>
    <x v="1"/>
  </r>
  <r>
    <s v="O102449"/>
    <x v="261"/>
    <x v="4"/>
    <x v="0"/>
    <x v="3"/>
    <x v="0"/>
    <n v="8"/>
    <n v="3219336"/>
    <d v="2025-05-29T00:00:00"/>
    <n v="5"/>
    <n v="29"/>
    <n v="2025"/>
    <x v="3"/>
    <s v="Q2"/>
    <x v="3"/>
  </r>
  <r>
    <s v="O103590"/>
    <x v="105"/>
    <x v="6"/>
    <x v="0"/>
    <x v="4"/>
    <x v="0"/>
    <n v="9"/>
    <n v="3217788"/>
    <d v="2025-07-08T00:00:00"/>
    <n v="7"/>
    <n v="8"/>
    <n v="2025"/>
    <x v="10"/>
    <s v="Q3"/>
    <x v="4"/>
  </r>
  <r>
    <s v="O106869"/>
    <x v="60"/>
    <x v="6"/>
    <x v="2"/>
    <x v="3"/>
    <x v="2"/>
    <n v="10"/>
    <n v="3217485"/>
    <d v="2026-02-22T00:00:00"/>
    <n v="2"/>
    <n v="22"/>
    <n v="2026"/>
    <x v="4"/>
    <s v="Q1"/>
    <x v="3"/>
  </r>
  <r>
    <s v="O108264"/>
    <x v="554"/>
    <x v="2"/>
    <x v="0"/>
    <x v="1"/>
    <x v="2"/>
    <n v="6"/>
    <n v="3217013"/>
    <d v="2026-05-18T00:00:00"/>
    <n v="5"/>
    <n v="18"/>
    <n v="2026"/>
    <x v="3"/>
    <s v="Q2"/>
    <x v="1"/>
  </r>
  <r>
    <s v="O100776"/>
    <x v="509"/>
    <x v="9"/>
    <x v="0"/>
    <x v="9"/>
    <x v="1"/>
    <n v="8"/>
    <n v="3216762"/>
    <d v="2025-02-17T00:00:00"/>
    <n v="2"/>
    <n v="17"/>
    <n v="2025"/>
    <x v="4"/>
    <s v="Q1"/>
    <x v="0"/>
  </r>
  <r>
    <s v="O101638"/>
    <x v="280"/>
    <x v="9"/>
    <x v="0"/>
    <x v="4"/>
    <x v="2"/>
    <n v="7"/>
    <n v="3216451"/>
    <d v="2025-10-04T00:00:00"/>
    <n v="10"/>
    <n v="4"/>
    <n v="2025"/>
    <x v="9"/>
    <s v="Q4"/>
    <x v="4"/>
  </r>
  <r>
    <s v="O111139"/>
    <x v="555"/>
    <x v="4"/>
    <x v="2"/>
    <x v="1"/>
    <x v="3"/>
    <n v="9"/>
    <n v="3215815"/>
    <d v="2026-08-11T00:00:00"/>
    <n v="8"/>
    <n v="11"/>
    <n v="2026"/>
    <x v="8"/>
    <s v="Q3"/>
    <x v="1"/>
  </r>
  <r>
    <s v="O109658"/>
    <x v="374"/>
    <x v="6"/>
    <x v="0"/>
    <x v="1"/>
    <x v="1"/>
    <n v="6"/>
    <n v="3215526"/>
    <d v="2026-10-08T00:00:00"/>
    <n v="10"/>
    <n v="8"/>
    <n v="2026"/>
    <x v="9"/>
    <s v="Q4"/>
    <x v="1"/>
  </r>
  <r>
    <s v="O110922"/>
    <x v="2"/>
    <x v="5"/>
    <x v="2"/>
    <x v="3"/>
    <x v="2"/>
    <n v="10"/>
    <n v="3212782"/>
    <d v="2026-10-26T00:00:00"/>
    <n v="10"/>
    <n v="26"/>
    <n v="2026"/>
    <x v="9"/>
    <s v="Q4"/>
    <x v="3"/>
  </r>
  <r>
    <s v="O110202"/>
    <x v="556"/>
    <x v="5"/>
    <x v="0"/>
    <x v="3"/>
    <x v="3"/>
    <n v="9"/>
    <n v="3212555"/>
    <d v="2026-12-09T00:00:00"/>
    <n v="12"/>
    <n v="9"/>
    <n v="2026"/>
    <x v="7"/>
    <s v="Q4"/>
    <x v="3"/>
  </r>
  <r>
    <s v="O110474"/>
    <x v="149"/>
    <x v="5"/>
    <x v="0"/>
    <x v="2"/>
    <x v="1"/>
    <n v="9"/>
    <n v="3212208"/>
    <d v="2026-09-29T00:00:00"/>
    <n v="9"/>
    <n v="29"/>
    <n v="2026"/>
    <x v="1"/>
    <s v="Q3"/>
    <x v="2"/>
  </r>
  <r>
    <s v="O111573"/>
    <x v="407"/>
    <x v="2"/>
    <x v="0"/>
    <x v="0"/>
    <x v="3"/>
    <n v="8"/>
    <n v="3211674"/>
    <d v="2026-05-12T00:00:00"/>
    <n v="5"/>
    <n v="12"/>
    <n v="2026"/>
    <x v="3"/>
    <s v="Q2"/>
    <x v="0"/>
  </r>
  <r>
    <s v="O102414"/>
    <x v="82"/>
    <x v="8"/>
    <x v="0"/>
    <x v="2"/>
    <x v="0"/>
    <n v="8"/>
    <n v="3211476"/>
    <d v="2025-05-27T00:00:00"/>
    <n v="5"/>
    <n v="27"/>
    <n v="2025"/>
    <x v="3"/>
    <s v="Q2"/>
    <x v="2"/>
  </r>
  <r>
    <s v="O108425"/>
    <x v="126"/>
    <x v="6"/>
    <x v="0"/>
    <x v="0"/>
    <x v="0"/>
    <n v="9"/>
    <n v="3211060"/>
    <d v="2026-05-27T00:00:00"/>
    <n v="5"/>
    <n v="27"/>
    <n v="2026"/>
    <x v="3"/>
    <s v="Q2"/>
    <x v="0"/>
  </r>
  <r>
    <s v="O101014"/>
    <x v="271"/>
    <x v="10"/>
    <x v="0"/>
    <x v="4"/>
    <x v="3"/>
    <n v="8"/>
    <n v="3210731"/>
    <d v="2025-03-03T00:00:00"/>
    <n v="3"/>
    <n v="3"/>
    <n v="2025"/>
    <x v="5"/>
    <s v="Q1"/>
    <x v="4"/>
  </r>
  <r>
    <s v="O108823"/>
    <x v="332"/>
    <x v="0"/>
    <x v="0"/>
    <x v="1"/>
    <x v="0"/>
    <n v="7"/>
    <n v="3210604"/>
    <d v="2026-06-20T00:00:00"/>
    <n v="6"/>
    <n v="20"/>
    <n v="2026"/>
    <x v="2"/>
    <s v="Q2"/>
    <x v="1"/>
  </r>
  <r>
    <s v="O110987"/>
    <x v="74"/>
    <x v="0"/>
    <x v="0"/>
    <x v="0"/>
    <x v="2"/>
    <n v="6"/>
    <n v="3209845"/>
    <d v="2026-10-30T00:00:00"/>
    <n v="10"/>
    <n v="30"/>
    <n v="2026"/>
    <x v="9"/>
    <s v="Q4"/>
    <x v="0"/>
  </r>
  <r>
    <s v="O103959"/>
    <x v="557"/>
    <x v="2"/>
    <x v="0"/>
    <x v="1"/>
    <x v="0"/>
    <n v="6"/>
    <n v="3205474"/>
    <d v="2025-08-29T00:00:00"/>
    <n v="8"/>
    <n v="29"/>
    <n v="2025"/>
    <x v="8"/>
    <s v="Q3"/>
    <x v="1"/>
  </r>
  <r>
    <s v="O110299"/>
    <x v="306"/>
    <x v="0"/>
    <x v="0"/>
    <x v="1"/>
    <x v="3"/>
    <n v="6"/>
    <n v="3204453"/>
    <d v="2026-09-18T00:00:00"/>
    <n v="9"/>
    <n v="18"/>
    <n v="2026"/>
    <x v="1"/>
    <s v="Q3"/>
    <x v="1"/>
  </r>
  <r>
    <s v="O109098"/>
    <x v="102"/>
    <x v="0"/>
    <x v="0"/>
    <x v="3"/>
    <x v="0"/>
    <n v="6"/>
    <n v="3201905"/>
    <d v="2026-07-07T00:00:00"/>
    <n v="7"/>
    <n v="7"/>
    <n v="2026"/>
    <x v="10"/>
    <s v="Q3"/>
    <x v="3"/>
  </r>
  <r>
    <s v="O111551"/>
    <x v="343"/>
    <x v="1"/>
    <x v="0"/>
    <x v="4"/>
    <x v="3"/>
    <n v="9"/>
    <n v="3201363"/>
    <d v="2026-03-12T00:00:00"/>
    <n v="3"/>
    <n v="12"/>
    <n v="2026"/>
    <x v="5"/>
    <s v="Q1"/>
    <x v="4"/>
  </r>
  <r>
    <s v="O111348"/>
    <x v="362"/>
    <x v="9"/>
    <x v="0"/>
    <x v="2"/>
    <x v="1"/>
    <n v="8"/>
    <n v="3200159"/>
    <d v="2026-11-21T00:00:00"/>
    <n v="11"/>
    <n v="21"/>
    <n v="2026"/>
    <x v="0"/>
    <s v="Q4"/>
    <x v="2"/>
  </r>
  <r>
    <s v="O111992"/>
    <x v="424"/>
    <x v="4"/>
    <x v="0"/>
    <x v="0"/>
    <x v="0"/>
    <n v="8"/>
    <n v="3196878"/>
    <d v="2026-12-30T00:00:00"/>
    <n v="12"/>
    <n v="30"/>
    <n v="2026"/>
    <x v="7"/>
    <s v="Q4"/>
    <x v="0"/>
  </r>
  <r>
    <s v="O101200"/>
    <x v="558"/>
    <x v="8"/>
    <x v="0"/>
    <x v="4"/>
    <x v="2"/>
    <n v="6"/>
    <n v="3195664"/>
    <d v="2025-03-14T00:00:00"/>
    <n v="3"/>
    <n v="14"/>
    <n v="2025"/>
    <x v="5"/>
    <s v="Q1"/>
    <x v="4"/>
  </r>
  <r>
    <s v="O108452"/>
    <x v="80"/>
    <x v="5"/>
    <x v="0"/>
    <x v="1"/>
    <x v="1"/>
    <n v="6"/>
    <n v="3195566"/>
    <d v="2026-05-29T00:00:00"/>
    <n v="5"/>
    <n v="29"/>
    <n v="2026"/>
    <x v="3"/>
    <s v="Q2"/>
    <x v="1"/>
  </r>
  <r>
    <s v="O106268"/>
    <x v="559"/>
    <x v="3"/>
    <x v="0"/>
    <x v="1"/>
    <x v="3"/>
    <n v="7"/>
    <n v="3193854"/>
    <d v="2026-01-16T00:00:00"/>
    <n v="1"/>
    <n v="16"/>
    <n v="2026"/>
    <x v="6"/>
    <m/>
    <x v="1"/>
  </r>
  <r>
    <s v="O101120"/>
    <x v="560"/>
    <x v="3"/>
    <x v="0"/>
    <x v="0"/>
    <x v="2"/>
    <n v="6"/>
    <n v="3193734"/>
    <d v="2025-09-03T00:00:00"/>
    <n v="9"/>
    <n v="3"/>
    <n v="2025"/>
    <x v="1"/>
    <s v="Q3"/>
    <x v="0"/>
  </r>
  <r>
    <s v="O102740"/>
    <x v="561"/>
    <x v="4"/>
    <x v="0"/>
    <x v="0"/>
    <x v="0"/>
    <n v="7"/>
    <n v="3192897"/>
    <d v="2025-06-16T00:00:00"/>
    <n v="6"/>
    <n v="16"/>
    <n v="2025"/>
    <x v="2"/>
    <s v="Q2"/>
    <x v="0"/>
  </r>
  <r>
    <s v="O102497"/>
    <x v="562"/>
    <x v="9"/>
    <x v="2"/>
    <x v="4"/>
    <x v="0"/>
    <n v="10"/>
    <n v="3190065"/>
    <d v="2025-01-06T00:00:00"/>
    <n v="1"/>
    <n v="6"/>
    <n v="2025"/>
    <x v="6"/>
    <s v="Q1"/>
    <x v="4"/>
  </r>
  <r>
    <s v="O104888"/>
    <x v="389"/>
    <x v="10"/>
    <x v="2"/>
    <x v="3"/>
    <x v="1"/>
    <n v="10"/>
    <n v="3188979"/>
    <d v="2025-10-24T00:00:00"/>
    <n v="10"/>
    <n v="24"/>
    <n v="2025"/>
    <x v="9"/>
    <s v="Q4"/>
    <x v="3"/>
  </r>
  <r>
    <s v="O107799"/>
    <x v="563"/>
    <x v="9"/>
    <x v="0"/>
    <x v="3"/>
    <x v="0"/>
    <n v="9"/>
    <n v="3188225"/>
    <d v="2026-04-19T00:00:00"/>
    <n v="4"/>
    <n v="19"/>
    <n v="2026"/>
    <x v="11"/>
    <s v="Q2"/>
    <x v="3"/>
  </r>
  <r>
    <s v="O106200"/>
    <x v="559"/>
    <x v="10"/>
    <x v="0"/>
    <x v="4"/>
    <x v="3"/>
    <n v="6"/>
    <n v="3187800"/>
    <d v="2026-12-01T00:00:00"/>
    <n v="12"/>
    <n v="1"/>
    <n v="2026"/>
    <x v="7"/>
    <m/>
    <x v="4"/>
  </r>
  <r>
    <s v="O110377"/>
    <x v="314"/>
    <x v="5"/>
    <x v="0"/>
    <x v="2"/>
    <x v="3"/>
    <n v="6"/>
    <n v="3187375"/>
    <d v="2026-09-23T00:00:00"/>
    <n v="9"/>
    <n v="23"/>
    <n v="2026"/>
    <x v="1"/>
    <s v="Q3"/>
    <x v="2"/>
  </r>
  <r>
    <s v="O107607"/>
    <x v="564"/>
    <x v="9"/>
    <x v="0"/>
    <x v="4"/>
    <x v="0"/>
    <n v="8"/>
    <n v="3186414"/>
    <d v="2026-08-04T00:00:00"/>
    <n v="8"/>
    <n v="4"/>
    <n v="2026"/>
    <x v="8"/>
    <s v="Q3"/>
    <x v="4"/>
  </r>
  <r>
    <s v="O105977"/>
    <x v="565"/>
    <x v="0"/>
    <x v="0"/>
    <x v="1"/>
    <x v="0"/>
    <n v="6"/>
    <n v="3185757"/>
    <d v="2025-12-30T00:00:00"/>
    <n v="12"/>
    <n v="30"/>
    <n v="2025"/>
    <x v="7"/>
    <s v="Q4"/>
    <x v="1"/>
  </r>
  <r>
    <s v="O104371"/>
    <x v="166"/>
    <x v="1"/>
    <x v="0"/>
    <x v="0"/>
    <x v="0"/>
    <n v="6"/>
    <n v="3185251"/>
    <d v="2025-09-23T00:00:00"/>
    <n v="9"/>
    <n v="23"/>
    <n v="2025"/>
    <x v="1"/>
    <s v="Q3"/>
    <x v="0"/>
  </r>
  <r>
    <s v="O110806"/>
    <x v="566"/>
    <x v="5"/>
    <x v="0"/>
    <x v="2"/>
    <x v="2"/>
    <n v="6"/>
    <n v="3184707"/>
    <d v="2026-10-19T00:00:00"/>
    <n v="10"/>
    <n v="19"/>
    <n v="2026"/>
    <x v="9"/>
    <s v="Q4"/>
    <x v="2"/>
  </r>
  <r>
    <s v="O104080"/>
    <x v="113"/>
    <x v="3"/>
    <x v="0"/>
    <x v="4"/>
    <x v="1"/>
    <n v="8"/>
    <n v="3183418"/>
    <d v="2025-05-09T00:00:00"/>
    <n v="5"/>
    <n v="9"/>
    <n v="2025"/>
    <x v="3"/>
    <s v="Q2"/>
    <x v="4"/>
  </r>
  <r>
    <s v="O102399"/>
    <x v="215"/>
    <x v="2"/>
    <x v="2"/>
    <x v="3"/>
    <x v="3"/>
    <n v="9"/>
    <n v="3183024"/>
    <d v="2025-05-26T00:00:00"/>
    <n v="5"/>
    <n v="26"/>
    <n v="2025"/>
    <x v="3"/>
    <s v="Q2"/>
    <x v="3"/>
  </r>
  <r>
    <s v="O105453"/>
    <x v="378"/>
    <x v="3"/>
    <x v="0"/>
    <x v="3"/>
    <x v="1"/>
    <n v="6"/>
    <n v="3181642"/>
    <d v="2025-11-28T00:00:00"/>
    <n v="11"/>
    <n v="28"/>
    <n v="2025"/>
    <x v="0"/>
    <m/>
    <x v="3"/>
  </r>
  <r>
    <s v="O109345"/>
    <x v="510"/>
    <x v="5"/>
    <x v="0"/>
    <x v="3"/>
    <x v="0"/>
    <n v="7"/>
    <n v="3180255"/>
    <d v="2026-07-22T00:00:00"/>
    <n v="7"/>
    <n v="22"/>
    <n v="2026"/>
    <x v="10"/>
    <s v="Q3"/>
    <x v="3"/>
  </r>
  <r>
    <s v="O111886"/>
    <x v="222"/>
    <x v="9"/>
    <x v="0"/>
    <x v="3"/>
    <x v="1"/>
    <n v="6"/>
    <n v="3179112"/>
    <d v="2026-12-24T00:00:00"/>
    <n v="12"/>
    <n v="24"/>
    <n v="2026"/>
    <x v="7"/>
    <s v="Q4"/>
    <x v="3"/>
  </r>
  <r>
    <s v="O108352"/>
    <x v="567"/>
    <x v="1"/>
    <x v="0"/>
    <x v="4"/>
    <x v="3"/>
    <n v="9"/>
    <n v="3178677"/>
    <d v="2026-05-23T00:00:00"/>
    <n v="5"/>
    <n v="23"/>
    <n v="2026"/>
    <x v="3"/>
    <s v="Q2"/>
    <x v="4"/>
  </r>
  <r>
    <s v="O105434"/>
    <x v="143"/>
    <x v="4"/>
    <x v="0"/>
    <x v="0"/>
    <x v="0"/>
    <n v="6"/>
    <n v="3178389"/>
    <d v="2025-11-27T00:00:00"/>
    <n v="11"/>
    <n v="27"/>
    <n v="2025"/>
    <x v="0"/>
    <s v="Q4"/>
    <x v="0"/>
  </r>
  <r>
    <s v="O100460"/>
    <x v="530"/>
    <x v="9"/>
    <x v="0"/>
    <x v="4"/>
    <x v="0"/>
    <n v="6"/>
    <n v="3175514"/>
    <d v="2025-01-28T00:00:00"/>
    <n v="1"/>
    <n v="28"/>
    <n v="2025"/>
    <x v="6"/>
    <s v="Q1"/>
    <x v="4"/>
  </r>
  <r>
    <s v="O103015"/>
    <x v="15"/>
    <x v="0"/>
    <x v="2"/>
    <x v="2"/>
    <x v="2"/>
    <n v="9"/>
    <n v="3174860"/>
    <d v="2025-03-07T00:00:00"/>
    <n v="3"/>
    <n v="7"/>
    <n v="2025"/>
    <x v="5"/>
    <s v="Q1"/>
    <x v="2"/>
  </r>
  <r>
    <s v="O106030"/>
    <x v="485"/>
    <x v="0"/>
    <x v="0"/>
    <x v="2"/>
    <x v="1"/>
    <n v="7"/>
    <n v="3174567"/>
    <d v="2026-02-01T00:00:00"/>
    <n v="2"/>
    <n v="1"/>
    <n v="2026"/>
    <x v="4"/>
    <s v="Q1"/>
    <x v="2"/>
  </r>
  <r>
    <s v="O100542"/>
    <x v="568"/>
    <x v="6"/>
    <x v="2"/>
    <x v="3"/>
    <x v="0"/>
    <n v="9"/>
    <n v="3173653"/>
    <d v="2025-02-02T00:00:00"/>
    <n v="2"/>
    <n v="2"/>
    <n v="2025"/>
    <x v="4"/>
    <s v="Q1"/>
    <x v="3"/>
  </r>
  <r>
    <s v="O111477"/>
    <x v="370"/>
    <x v="9"/>
    <x v="2"/>
    <x v="3"/>
    <x v="0"/>
    <n v="9"/>
    <n v="3171543"/>
    <d v="2026-11-29T00:00:00"/>
    <n v="11"/>
    <n v="29"/>
    <n v="2026"/>
    <x v="0"/>
    <s v="Q4"/>
    <x v="3"/>
  </r>
  <r>
    <s v="O111730"/>
    <x v="435"/>
    <x v="1"/>
    <x v="0"/>
    <x v="2"/>
    <x v="1"/>
    <n v="7"/>
    <n v="3169465"/>
    <d v="2026-12-14T00:00:00"/>
    <n v="12"/>
    <n v="14"/>
    <n v="2026"/>
    <x v="7"/>
    <s v="Q4"/>
    <x v="2"/>
  </r>
  <r>
    <s v="O107726"/>
    <x v="569"/>
    <x v="6"/>
    <x v="0"/>
    <x v="4"/>
    <x v="0"/>
    <n v="6"/>
    <n v="3163286"/>
    <d v="2026-04-15T00:00:00"/>
    <n v="4"/>
    <n v="15"/>
    <n v="2026"/>
    <x v="11"/>
    <s v="Q2"/>
    <x v="4"/>
  </r>
  <r>
    <s v="O102479"/>
    <x v="570"/>
    <x v="8"/>
    <x v="0"/>
    <x v="1"/>
    <x v="3"/>
    <n v="9"/>
    <n v="3162627"/>
    <d v="2025-05-31T00:00:00"/>
    <n v="5"/>
    <n v="31"/>
    <n v="2025"/>
    <x v="3"/>
    <s v="Q2"/>
    <x v="1"/>
  </r>
  <r>
    <s v="O110940"/>
    <x v="154"/>
    <x v="1"/>
    <x v="0"/>
    <x v="0"/>
    <x v="2"/>
    <n v="9"/>
    <n v="3162467"/>
    <d v="2026-10-27T00:00:00"/>
    <n v="10"/>
    <n v="27"/>
    <n v="2026"/>
    <x v="9"/>
    <s v="Q4"/>
    <x v="0"/>
  </r>
  <r>
    <s v="O104313"/>
    <x v="99"/>
    <x v="6"/>
    <x v="0"/>
    <x v="1"/>
    <x v="0"/>
    <n v="7"/>
    <n v="3161105"/>
    <d v="2025-09-19T00:00:00"/>
    <n v="9"/>
    <n v="19"/>
    <n v="2025"/>
    <x v="1"/>
    <s v="Q3"/>
    <x v="1"/>
  </r>
  <r>
    <s v="O105790"/>
    <x v="161"/>
    <x v="10"/>
    <x v="0"/>
    <x v="1"/>
    <x v="0"/>
    <n v="6"/>
    <n v="3160073"/>
    <d v="2025-12-18T00:00:00"/>
    <n v="12"/>
    <n v="18"/>
    <n v="2025"/>
    <x v="7"/>
    <s v="Q4"/>
    <x v="1"/>
  </r>
  <r>
    <s v="O101092"/>
    <x v="571"/>
    <x v="8"/>
    <x v="2"/>
    <x v="1"/>
    <x v="1"/>
    <n v="10"/>
    <n v="3159187"/>
    <d v="2025-08-03T00:00:00"/>
    <n v="8"/>
    <n v="3"/>
    <n v="2025"/>
    <x v="8"/>
    <s v="Q3"/>
    <x v="1"/>
  </r>
  <r>
    <s v="O100419"/>
    <x v="572"/>
    <x v="4"/>
    <x v="2"/>
    <x v="0"/>
    <x v="1"/>
    <n v="10"/>
    <n v="3158729"/>
    <d v="2025-01-26T00:00:00"/>
    <n v="1"/>
    <n v="26"/>
    <n v="2025"/>
    <x v="6"/>
    <s v="Q1"/>
    <x v="0"/>
  </r>
  <r>
    <s v="O102743"/>
    <x v="462"/>
    <x v="10"/>
    <x v="0"/>
    <x v="2"/>
    <x v="0"/>
    <n v="7"/>
    <n v="3156402"/>
    <d v="2025-06-16T00:00:00"/>
    <n v="6"/>
    <n v="16"/>
    <n v="2025"/>
    <x v="2"/>
    <s v="Q2"/>
    <x v="2"/>
  </r>
  <r>
    <s v="O109858"/>
    <x v="573"/>
    <x v="3"/>
    <x v="2"/>
    <x v="2"/>
    <x v="1"/>
    <n v="9"/>
    <n v="3156359"/>
    <d v="2026-08-22T00:00:00"/>
    <n v="8"/>
    <n v="22"/>
    <n v="2026"/>
    <x v="8"/>
    <s v="Q3"/>
    <x v="2"/>
  </r>
  <r>
    <s v="O110308"/>
    <x v="166"/>
    <x v="8"/>
    <x v="0"/>
    <x v="1"/>
    <x v="1"/>
    <n v="7"/>
    <n v="3155459"/>
    <d v="2026-09-19T00:00:00"/>
    <n v="9"/>
    <n v="19"/>
    <n v="2026"/>
    <x v="1"/>
    <s v="Q3"/>
    <x v="1"/>
  </r>
  <r>
    <s v="O111306"/>
    <x v="409"/>
    <x v="10"/>
    <x v="0"/>
    <x v="4"/>
    <x v="2"/>
    <n v="7"/>
    <n v="3155303"/>
    <d v="2026-11-18T00:00:00"/>
    <n v="11"/>
    <n v="18"/>
    <n v="2026"/>
    <x v="0"/>
    <s v="Q4"/>
    <x v="4"/>
  </r>
  <r>
    <s v="O110320"/>
    <x v="113"/>
    <x v="2"/>
    <x v="0"/>
    <x v="4"/>
    <x v="0"/>
    <n v="6"/>
    <n v="3153582"/>
    <d v="2026-09-19T00:00:00"/>
    <n v="9"/>
    <n v="19"/>
    <n v="2026"/>
    <x v="1"/>
    <s v="Q3"/>
    <x v="4"/>
  </r>
  <r>
    <s v="O111332"/>
    <x v="43"/>
    <x v="6"/>
    <x v="0"/>
    <x v="1"/>
    <x v="1"/>
    <n v="8"/>
    <n v="3152176"/>
    <d v="2026-11-20T00:00:00"/>
    <n v="11"/>
    <n v="20"/>
    <n v="2026"/>
    <x v="0"/>
    <s v="Q4"/>
    <x v="1"/>
  </r>
  <r>
    <s v="O105809"/>
    <x v="154"/>
    <x v="2"/>
    <x v="2"/>
    <x v="3"/>
    <x v="2"/>
    <n v="9"/>
    <n v="3152126"/>
    <d v="2025-12-19T00:00:00"/>
    <n v="12"/>
    <n v="19"/>
    <n v="2025"/>
    <x v="7"/>
    <s v="Q4"/>
    <x v="3"/>
  </r>
  <r>
    <s v="O106827"/>
    <x v="409"/>
    <x v="0"/>
    <x v="0"/>
    <x v="4"/>
    <x v="1"/>
    <n v="8"/>
    <n v="3152014"/>
    <d v="2026-02-19T00:00:00"/>
    <n v="2"/>
    <n v="19"/>
    <n v="2026"/>
    <x v="4"/>
    <s v="Q1"/>
    <x v="4"/>
  </r>
  <r>
    <s v="O104098"/>
    <x v="154"/>
    <x v="0"/>
    <x v="0"/>
    <x v="4"/>
    <x v="3"/>
    <n v="7"/>
    <n v="3151735"/>
    <d v="2025-06-09T00:00:00"/>
    <n v="6"/>
    <n v="9"/>
    <n v="2025"/>
    <x v="2"/>
    <s v="Q2"/>
    <x v="4"/>
  </r>
  <r>
    <s v="O110333"/>
    <x v="574"/>
    <x v="10"/>
    <x v="0"/>
    <x v="0"/>
    <x v="0"/>
    <n v="6"/>
    <n v="3151406"/>
    <d v="2026-09-20T00:00:00"/>
    <n v="9"/>
    <n v="20"/>
    <n v="2026"/>
    <x v="1"/>
    <s v="Q3"/>
    <x v="0"/>
  </r>
  <r>
    <s v="O105300"/>
    <x v="33"/>
    <x v="0"/>
    <x v="0"/>
    <x v="3"/>
    <x v="3"/>
    <n v="6"/>
    <n v="3151094"/>
    <d v="2025-11-18T00:00:00"/>
    <n v="11"/>
    <n v="18"/>
    <n v="2025"/>
    <x v="0"/>
    <s v="Q4"/>
    <x v="3"/>
  </r>
  <r>
    <s v="O105693"/>
    <x v="561"/>
    <x v="9"/>
    <x v="2"/>
    <x v="0"/>
    <x v="0"/>
    <n v="10"/>
    <n v="3150561"/>
    <d v="2025-12-12T00:00:00"/>
    <n v="12"/>
    <n v="12"/>
    <n v="2025"/>
    <x v="7"/>
    <s v="Q4"/>
    <x v="0"/>
  </r>
  <r>
    <s v="O104742"/>
    <x v="575"/>
    <x v="2"/>
    <x v="0"/>
    <x v="0"/>
    <x v="1"/>
    <n v="9"/>
    <n v="3149972"/>
    <d v="2025-10-16T00:00:00"/>
    <n v="10"/>
    <n v="16"/>
    <n v="2025"/>
    <x v="9"/>
    <s v="Q4"/>
    <x v="0"/>
  </r>
  <r>
    <s v="O111982"/>
    <x v="46"/>
    <x v="8"/>
    <x v="0"/>
    <x v="4"/>
    <x v="2"/>
    <n v="9"/>
    <n v="3149827"/>
    <d v="2026-12-29T00:00:00"/>
    <n v="12"/>
    <n v="29"/>
    <n v="2026"/>
    <x v="7"/>
    <s v="Q4"/>
    <x v="4"/>
  </r>
  <r>
    <s v="O105681"/>
    <x v="576"/>
    <x v="1"/>
    <x v="0"/>
    <x v="2"/>
    <x v="1"/>
    <n v="7"/>
    <n v="3147039"/>
    <d v="2025-12-12T00:00:00"/>
    <n v="12"/>
    <n v="12"/>
    <n v="2025"/>
    <x v="7"/>
    <s v="Q4"/>
    <x v="2"/>
  </r>
  <r>
    <s v="O102290"/>
    <x v="451"/>
    <x v="9"/>
    <x v="0"/>
    <x v="4"/>
    <x v="2"/>
    <n v="7"/>
    <n v="3146416"/>
    <d v="2025-05-20T00:00:00"/>
    <n v="5"/>
    <n v="20"/>
    <n v="2025"/>
    <x v="3"/>
    <s v="Q2"/>
    <x v="4"/>
  </r>
  <r>
    <s v="O107960"/>
    <x v="80"/>
    <x v="6"/>
    <x v="0"/>
    <x v="1"/>
    <x v="1"/>
    <n v="8"/>
    <n v="3145873"/>
    <d v="2026-04-29T00:00:00"/>
    <n v="4"/>
    <n v="29"/>
    <n v="2026"/>
    <x v="11"/>
    <s v="Q2"/>
    <x v="1"/>
  </r>
  <r>
    <s v="O101442"/>
    <x v="289"/>
    <x v="6"/>
    <x v="0"/>
    <x v="0"/>
    <x v="3"/>
    <n v="6"/>
    <n v="3142732"/>
    <d v="2025-03-29T00:00:00"/>
    <n v="3"/>
    <n v="29"/>
    <n v="2025"/>
    <x v="5"/>
    <s v="Q1"/>
    <x v="0"/>
  </r>
  <r>
    <s v="O103115"/>
    <x v="110"/>
    <x v="5"/>
    <x v="0"/>
    <x v="2"/>
    <x v="0"/>
    <n v="8"/>
    <n v="3141792"/>
    <d v="2025-09-07T00:00:00"/>
    <n v="9"/>
    <n v="7"/>
    <n v="2025"/>
    <x v="1"/>
    <s v="Q3"/>
    <x v="2"/>
  </r>
  <r>
    <s v="O110967"/>
    <x v="577"/>
    <x v="0"/>
    <x v="0"/>
    <x v="3"/>
    <x v="3"/>
    <n v="7"/>
    <n v="3141611"/>
    <d v="2026-10-29T00:00:00"/>
    <n v="10"/>
    <n v="29"/>
    <n v="2026"/>
    <x v="9"/>
    <s v="Q4"/>
    <x v="3"/>
  </r>
  <r>
    <s v="O106996"/>
    <x v="185"/>
    <x v="1"/>
    <x v="2"/>
    <x v="2"/>
    <x v="2"/>
    <n v="9"/>
    <n v="3141378"/>
    <d v="2026-01-03T00:00:00"/>
    <n v="1"/>
    <n v="3"/>
    <n v="2026"/>
    <x v="6"/>
    <s v="Q1"/>
    <x v="2"/>
  </r>
  <r>
    <s v="O101435"/>
    <x v="49"/>
    <x v="2"/>
    <x v="0"/>
    <x v="3"/>
    <x v="3"/>
    <n v="9"/>
    <n v="3139635"/>
    <d v="2025-03-29T00:00:00"/>
    <n v="3"/>
    <n v="29"/>
    <n v="2025"/>
    <x v="5"/>
    <s v="Q1"/>
    <x v="3"/>
  </r>
  <r>
    <s v="O110136"/>
    <x v="578"/>
    <x v="2"/>
    <x v="0"/>
    <x v="4"/>
    <x v="3"/>
    <n v="9"/>
    <n v="3138997"/>
    <d v="2026-08-09T00:00:00"/>
    <n v="8"/>
    <n v="9"/>
    <n v="2026"/>
    <x v="8"/>
    <s v="Q3"/>
    <x v="4"/>
  </r>
  <r>
    <s v="O110021"/>
    <x v="424"/>
    <x v="10"/>
    <x v="0"/>
    <x v="0"/>
    <x v="1"/>
    <n v="6"/>
    <n v="3137769"/>
    <d v="2026-01-09T00:00:00"/>
    <n v="1"/>
    <n v="9"/>
    <n v="2026"/>
    <x v="6"/>
    <s v="Q1"/>
    <x v="0"/>
  </r>
  <r>
    <s v="O111241"/>
    <x v="193"/>
    <x v="9"/>
    <x v="0"/>
    <x v="2"/>
    <x v="2"/>
    <n v="9"/>
    <n v="3137696"/>
    <d v="2026-11-14T00:00:00"/>
    <n v="11"/>
    <n v="14"/>
    <n v="2026"/>
    <x v="0"/>
    <s v="Q4"/>
    <x v="2"/>
  </r>
  <r>
    <s v="O109401"/>
    <x v="224"/>
    <x v="10"/>
    <x v="2"/>
    <x v="0"/>
    <x v="0"/>
    <n v="9"/>
    <n v="3137202"/>
    <d v="2026-07-26T00:00:00"/>
    <n v="7"/>
    <n v="26"/>
    <n v="2026"/>
    <x v="10"/>
    <s v="Q3"/>
    <x v="0"/>
  </r>
  <r>
    <s v="O110274"/>
    <x v="579"/>
    <x v="3"/>
    <x v="0"/>
    <x v="0"/>
    <x v="1"/>
    <n v="8"/>
    <n v="3136669"/>
    <d v="2026-09-17T00:00:00"/>
    <n v="9"/>
    <n v="17"/>
    <n v="2026"/>
    <x v="1"/>
    <s v="Q3"/>
    <x v="0"/>
  </r>
  <r>
    <s v="O107027"/>
    <x v="580"/>
    <x v="9"/>
    <x v="0"/>
    <x v="4"/>
    <x v="3"/>
    <n v="6"/>
    <n v="3135142"/>
    <d v="2026-03-03T00:00:00"/>
    <n v="3"/>
    <n v="3"/>
    <n v="2026"/>
    <x v="5"/>
    <s v="Q1"/>
    <x v="4"/>
  </r>
  <r>
    <s v="O111588"/>
    <x v="581"/>
    <x v="9"/>
    <x v="0"/>
    <x v="1"/>
    <x v="3"/>
    <n v="6"/>
    <n v="3134189"/>
    <d v="2026-05-12T00:00:00"/>
    <n v="5"/>
    <n v="12"/>
    <n v="2026"/>
    <x v="3"/>
    <s v="Q2"/>
    <x v="1"/>
  </r>
  <r>
    <s v="O105685"/>
    <x v="582"/>
    <x v="1"/>
    <x v="0"/>
    <x v="3"/>
    <x v="2"/>
    <n v="8"/>
    <n v="3133264"/>
    <d v="2025-12-12T00:00:00"/>
    <n v="12"/>
    <n v="12"/>
    <n v="2025"/>
    <x v="7"/>
    <s v="Q4"/>
    <x v="3"/>
  </r>
  <r>
    <s v="O104076"/>
    <x v="270"/>
    <x v="0"/>
    <x v="2"/>
    <x v="4"/>
    <x v="2"/>
    <n v="10"/>
    <n v="3130611"/>
    <d v="2025-05-09T00:00:00"/>
    <n v="5"/>
    <n v="9"/>
    <n v="2025"/>
    <x v="3"/>
    <s v="Q2"/>
    <x v="4"/>
  </r>
  <r>
    <s v="O103008"/>
    <x v="583"/>
    <x v="3"/>
    <x v="0"/>
    <x v="0"/>
    <x v="1"/>
    <n v="6"/>
    <n v="3130500"/>
    <d v="2025-02-07T00:00:00"/>
    <n v="2"/>
    <n v="7"/>
    <n v="2025"/>
    <x v="4"/>
    <s v="Q1"/>
    <x v="0"/>
  </r>
  <r>
    <s v="O110209"/>
    <x v="584"/>
    <x v="3"/>
    <x v="0"/>
    <x v="3"/>
    <x v="0"/>
    <n v="6"/>
    <n v="3130405"/>
    <d v="2026-09-13T00:00:00"/>
    <n v="9"/>
    <n v="13"/>
    <n v="2026"/>
    <x v="1"/>
    <s v="Q3"/>
    <x v="3"/>
  </r>
  <r>
    <s v="O103109"/>
    <x v="235"/>
    <x v="2"/>
    <x v="2"/>
    <x v="1"/>
    <x v="3"/>
    <n v="9"/>
    <n v="3129944"/>
    <d v="2025-08-07T00:00:00"/>
    <n v="8"/>
    <n v="7"/>
    <n v="2025"/>
    <x v="8"/>
    <s v="Q3"/>
    <x v="1"/>
  </r>
  <r>
    <s v="O105844"/>
    <x v="585"/>
    <x v="1"/>
    <x v="0"/>
    <x v="0"/>
    <x v="3"/>
    <n v="9"/>
    <n v="3126900"/>
    <d v="2025-12-21T00:00:00"/>
    <n v="12"/>
    <n v="21"/>
    <n v="2025"/>
    <x v="7"/>
    <s v="Q4"/>
    <x v="0"/>
  </r>
  <r>
    <s v="O106403"/>
    <x v="581"/>
    <x v="4"/>
    <x v="0"/>
    <x v="3"/>
    <x v="1"/>
    <n v="7"/>
    <n v="3126075"/>
    <d v="2026-01-24T00:00:00"/>
    <n v="1"/>
    <n v="24"/>
    <n v="2026"/>
    <x v="6"/>
    <s v="Q1"/>
    <x v="3"/>
  </r>
  <r>
    <s v="O108207"/>
    <x v="276"/>
    <x v="3"/>
    <x v="0"/>
    <x v="2"/>
    <x v="0"/>
    <n v="6"/>
    <n v="3125712"/>
    <d v="2026-05-14T00:00:00"/>
    <n v="5"/>
    <n v="14"/>
    <n v="2026"/>
    <x v="3"/>
    <s v="Q2"/>
    <x v="2"/>
  </r>
  <r>
    <s v="O111615"/>
    <x v="586"/>
    <x v="6"/>
    <x v="0"/>
    <x v="5"/>
    <x v="0"/>
    <n v="8"/>
    <n v="3125250"/>
    <d v="2026-07-12T00:00:00"/>
    <n v="7"/>
    <n v="12"/>
    <n v="2026"/>
    <x v="10"/>
    <s v="Q3"/>
    <x v="5"/>
  </r>
  <r>
    <s v="O100152"/>
    <x v="60"/>
    <x v="0"/>
    <x v="0"/>
    <x v="2"/>
    <x v="1"/>
    <n v="6"/>
    <n v="3124402"/>
    <d v="2025-10-01T00:00:00"/>
    <n v="10"/>
    <n v="1"/>
    <n v="2025"/>
    <x v="9"/>
    <s v="Q4"/>
    <x v="2"/>
  </r>
  <r>
    <s v="O105949"/>
    <x v="587"/>
    <x v="5"/>
    <x v="2"/>
    <x v="1"/>
    <x v="3"/>
    <n v="10"/>
    <n v="3123664"/>
    <d v="2025-12-28T00:00:00"/>
    <n v="12"/>
    <n v="28"/>
    <n v="2025"/>
    <x v="7"/>
    <m/>
    <x v="1"/>
  </r>
  <r>
    <s v="O105051"/>
    <x v="152"/>
    <x v="8"/>
    <x v="0"/>
    <x v="2"/>
    <x v="1"/>
    <n v="6"/>
    <n v="3122523"/>
    <d v="2025-03-11T00:00:00"/>
    <n v="3"/>
    <n v="11"/>
    <n v="2025"/>
    <x v="5"/>
    <s v="Q1"/>
    <x v="2"/>
  </r>
  <r>
    <s v="O108740"/>
    <x v="45"/>
    <x v="8"/>
    <x v="2"/>
    <x v="2"/>
    <x v="0"/>
    <n v="9"/>
    <n v="3122147"/>
    <d v="2026-06-15T00:00:00"/>
    <n v="6"/>
    <n v="15"/>
    <n v="2026"/>
    <x v="2"/>
    <s v="Q2"/>
    <x v="2"/>
  </r>
  <r>
    <s v="O105996"/>
    <x v="109"/>
    <x v="10"/>
    <x v="2"/>
    <x v="3"/>
    <x v="1"/>
    <n v="9"/>
    <n v="3118145"/>
    <d v="2025-12-31T00:00:00"/>
    <n v="12"/>
    <n v="31"/>
    <n v="2025"/>
    <x v="7"/>
    <s v="Q4"/>
    <x v="3"/>
  </r>
  <r>
    <s v="O110494"/>
    <x v="455"/>
    <x v="6"/>
    <x v="0"/>
    <x v="0"/>
    <x v="3"/>
    <n v="8"/>
    <n v="3117606"/>
    <d v="2026-09-30T00:00:00"/>
    <n v="9"/>
    <n v="30"/>
    <n v="2026"/>
    <x v="1"/>
    <s v="Q3"/>
    <x v="0"/>
  </r>
  <r>
    <s v="O108077"/>
    <x v="344"/>
    <x v="2"/>
    <x v="2"/>
    <x v="0"/>
    <x v="1"/>
    <n v="9"/>
    <n v="3116507"/>
    <d v="2026-06-05T00:00:00"/>
    <n v="6"/>
    <n v="5"/>
    <n v="2026"/>
    <x v="2"/>
    <s v="Q2"/>
    <x v="0"/>
  </r>
  <r>
    <s v="O106944"/>
    <x v="379"/>
    <x v="9"/>
    <x v="0"/>
    <x v="2"/>
    <x v="0"/>
    <n v="9"/>
    <n v="3115707"/>
    <d v="2026-02-26T00:00:00"/>
    <n v="2"/>
    <n v="26"/>
    <n v="2026"/>
    <x v="4"/>
    <s v="Q1"/>
    <x v="2"/>
  </r>
  <r>
    <s v="O100069"/>
    <x v="147"/>
    <x v="0"/>
    <x v="0"/>
    <x v="3"/>
    <x v="0"/>
    <n v="7"/>
    <n v="3113760"/>
    <d v="2025-05-01T00:00:00"/>
    <n v="5"/>
    <n v="1"/>
    <n v="2025"/>
    <x v="3"/>
    <s v="Q2"/>
    <x v="3"/>
  </r>
  <r>
    <s v="O111673"/>
    <x v="483"/>
    <x v="10"/>
    <x v="0"/>
    <x v="1"/>
    <x v="2"/>
    <n v="7"/>
    <n v="3112618"/>
    <d v="2026-11-12T00:00:00"/>
    <n v="11"/>
    <n v="12"/>
    <n v="2026"/>
    <x v="0"/>
    <s v="Q4"/>
    <x v="1"/>
  </r>
  <r>
    <s v="O100046"/>
    <x v="580"/>
    <x v="8"/>
    <x v="1"/>
    <x v="2"/>
    <x v="2"/>
    <n v="10"/>
    <n v="3111082"/>
    <d v="2025-03-01T00:00:00"/>
    <n v="3"/>
    <n v="1"/>
    <n v="2025"/>
    <x v="5"/>
    <s v="Q1"/>
    <x v="2"/>
  </r>
  <r>
    <s v="O111676"/>
    <x v="513"/>
    <x v="10"/>
    <x v="0"/>
    <x v="4"/>
    <x v="2"/>
    <n v="6"/>
    <n v="3110662"/>
    <d v="2026-11-12T00:00:00"/>
    <n v="11"/>
    <n v="12"/>
    <n v="2026"/>
    <x v="0"/>
    <s v="Q4"/>
    <x v="4"/>
  </r>
  <r>
    <s v="O100591"/>
    <x v="314"/>
    <x v="9"/>
    <x v="0"/>
    <x v="3"/>
    <x v="3"/>
    <n v="8"/>
    <n v="3107843"/>
    <d v="2025-05-02T00:00:00"/>
    <n v="5"/>
    <n v="2"/>
    <n v="2025"/>
    <x v="3"/>
    <s v="Q2"/>
    <x v="3"/>
  </r>
  <r>
    <s v="O105857"/>
    <x v="446"/>
    <x v="6"/>
    <x v="0"/>
    <x v="4"/>
    <x v="3"/>
    <n v="8"/>
    <n v="3105931"/>
    <d v="2025-12-22T00:00:00"/>
    <n v="12"/>
    <n v="22"/>
    <n v="2025"/>
    <x v="7"/>
    <s v="Q4"/>
    <x v="4"/>
  </r>
  <r>
    <s v="O107930"/>
    <x v="588"/>
    <x v="5"/>
    <x v="0"/>
    <x v="1"/>
    <x v="3"/>
    <n v="9"/>
    <n v="3105900"/>
    <d v="2026-04-27T00:00:00"/>
    <n v="4"/>
    <n v="27"/>
    <n v="2026"/>
    <x v="11"/>
    <s v="Q2"/>
    <x v="1"/>
  </r>
  <r>
    <s v="O100112"/>
    <x v="359"/>
    <x v="3"/>
    <x v="0"/>
    <x v="4"/>
    <x v="1"/>
    <n v="8"/>
    <n v="3104751"/>
    <d v="2025-07-01T00:00:00"/>
    <n v="7"/>
    <n v="1"/>
    <n v="2025"/>
    <x v="10"/>
    <s v="Q3"/>
    <x v="4"/>
  </r>
  <r>
    <s v="O107283"/>
    <x v="11"/>
    <x v="10"/>
    <x v="0"/>
    <x v="2"/>
    <x v="2"/>
    <n v="6"/>
    <n v="3103876"/>
    <d v="2026-03-19T00:00:00"/>
    <n v="3"/>
    <n v="19"/>
    <n v="2026"/>
    <x v="5"/>
    <s v="Q1"/>
    <x v="2"/>
  </r>
  <r>
    <s v="O104104"/>
    <x v="589"/>
    <x v="5"/>
    <x v="0"/>
    <x v="4"/>
    <x v="4"/>
    <n v="6"/>
    <n v="3103285"/>
    <d v="2025-07-09T00:00:00"/>
    <n v="7"/>
    <n v="9"/>
    <n v="2025"/>
    <x v="10"/>
    <s v="Q3"/>
    <x v="4"/>
  </r>
  <r>
    <s v="O108793"/>
    <x v="590"/>
    <x v="6"/>
    <x v="0"/>
    <x v="3"/>
    <x v="1"/>
    <n v="7"/>
    <n v="3100336"/>
    <d v="2026-06-19T00:00:00"/>
    <n v="6"/>
    <n v="19"/>
    <n v="2026"/>
    <x v="2"/>
    <s v="Q2"/>
    <x v="3"/>
  </r>
  <r>
    <s v="O108478"/>
    <x v="101"/>
    <x v="3"/>
    <x v="2"/>
    <x v="1"/>
    <x v="2"/>
    <n v="9"/>
    <n v="3100237"/>
    <d v="2026-05-31T00:00:00"/>
    <n v="5"/>
    <n v="31"/>
    <n v="2026"/>
    <x v="3"/>
    <s v="Q2"/>
    <x v="1"/>
  </r>
  <r>
    <s v="O110485"/>
    <x v="294"/>
    <x v="9"/>
    <x v="0"/>
    <x v="4"/>
    <x v="3"/>
    <n v="6"/>
    <n v="3099363"/>
    <d v="2026-09-29T00:00:00"/>
    <n v="9"/>
    <n v="29"/>
    <n v="2026"/>
    <x v="1"/>
    <s v="Q3"/>
    <x v="4"/>
  </r>
  <r>
    <s v="O105916"/>
    <x v="591"/>
    <x v="8"/>
    <x v="0"/>
    <x v="1"/>
    <x v="2"/>
    <n v="9"/>
    <n v="3098712"/>
    <d v="2025-12-26T00:00:00"/>
    <n v="12"/>
    <n v="26"/>
    <n v="2025"/>
    <x v="7"/>
    <s v="Q4"/>
    <x v="1"/>
  </r>
  <r>
    <s v="O106217"/>
    <x v="164"/>
    <x v="6"/>
    <x v="0"/>
    <x v="0"/>
    <x v="1"/>
    <n v="7"/>
    <n v="3098037"/>
    <d v="2026-01-13T00:00:00"/>
    <n v="1"/>
    <n v="13"/>
    <n v="2026"/>
    <x v="6"/>
    <s v="Q1"/>
    <x v="0"/>
  </r>
  <r>
    <s v="O111892"/>
    <x v="115"/>
    <x v="9"/>
    <x v="0"/>
    <x v="4"/>
    <x v="0"/>
    <n v="6"/>
    <n v="3097209"/>
    <d v="2026-12-24T00:00:00"/>
    <n v="12"/>
    <n v="24"/>
    <n v="2026"/>
    <x v="7"/>
    <s v="Q4"/>
    <x v="4"/>
  </r>
  <r>
    <s v="O106922"/>
    <x v="389"/>
    <x v="8"/>
    <x v="0"/>
    <x v="1"/>
    <x v="1"/>
    <n v="7"/>
    <n v="3097196"/>
    <d v="2026-02-25T00:00:00"/>
    <n v="2"/>
    <n v="25"/>
    <n v="2026"/>
    <x v="4"/>
    <s v="Q1"/>
    <x v="1"/>
  </r>
  <r>
    <s v="O103452"/>
    <x v="592"/>
    <x v="1"/>
    <x v="2"/>
    <x v="0"/>
    <x v="3"/>
    <n v="10"/>
    <n v="3093726"/>
    <d v="2025-07-29T00:00:00"/>
    <n v="7"/>
    <n v="29"/>
    <n v="2025"/>
    <x v="10"/>
    <s v="Q3"/>
    <x v="0"/>
  </r>
  <r>
    <s v="O110360"/>
    <x v="42"/>
    <x v="5"/>
    <x v="2"/>
    <x v="0"/>
    <x v="2"/>
    <n v="9"/>
    <n v="3092959"/>
    <d v="2026-09-22T00:00:00"/>
    <n v="9"/>
    <n v="22"/>
    <n v="2026"/>
    <x v="1"/>
    <s v="Q3"/>
    <x v="0"/>
  </r>
  <r>
    <s v="O107285"/>
    <x v="593"/>
    <x v="5"/>
    <x v="0"/>
    <x v="4"/>
    <x v="1"/>
    <n v="7"/>
    <n v="3092946"/>
    <d v="2026-03-19T00:00:00"/>
    <n v="3"/>
    <n v="19"/>
    <n v="2026"/>
    <x v="5"/>
    <s v="Q1"/>
    <x v="4"/>
  </r>
  <r>
    <s v="O110404"/>
    <x v="461"/>
    <x v="6"/>
    <x v="0"/>
    <x v="4"/>
    <x v="3"/>
    <n v="7"/>
    <n v="3092373"/>
    <d v="2026-09-25T00:00:00"/>
    <n v="9"/>
    <n v="25"/>
    <n v="2026"/>
    <x v="1"/>
    <s v="Q3"/>
    <x v="4"/>
  </r>
  <r>
    <s v="O109222"/>
    <x v="302"/>
    <x v="4"/>
    <x v="2"/>
    <x v="1"/>
    <x v="0"/>
    <n v="9"/>
    <n v="3091941"/>
    <d v="2026-07-15T00:00:00"/>
    <n v="7"/>
    <n v="15"/>
    <n v="2026"/>
    <x v="10"/>
    <s v="Q3"/>
    <x v="1"/>
  </r>
  <r>
    <s v="O100511"/>
    <x v="402"/>
    <x v="3"/>
    <x v="2"/>
    <x v="4"/>
    <x v="2"/>
    <n v="9"/>
    <n v="3091760"/>
    <d v="2025-01-31T00:00:00"/>
    <n v="1"/>
    <n v="31"/>
    <n v="2025"/>
    <x v="6"/>
    <s v="Q1"/>
    <x v="4"/>
  </r>
  <r>
    <s v="O104747"/>
    <x v="37"/>
    <x v="6"/>
    <x v="0"/>
    <x v="4"/>
    <x v="1"/>
    <n v="9"/>
    <n v="3090707"/>
    <d v="2025-10-16T00:00:00"/>
    <n v="10"/>
    <n v="16"/>
    <n v="2025"/>
    <x v="9"/>
    <s v="Q4"/>
    <x v="4"/>
  </r>
  <r>
    <s v="O106654"/>
    <x v="594"/>
    <x v="5"/>
    <x v="0"/>
    <x v="1"/>
    <x v="1"/>
    <n v="9"/>
    <n v="3088912"/>
    <d v="2026-09-02T00:00:00"/>
    <n v="9"/>
    <n v="2"/>
    <n v="2026"/>
    <x v="1"/>
    <s v="Q3"/>
    <x v="1"/>
  </r>
  <r>
    <s v="O100566"/>
    <x v="517"/>
    <x v="10"/>
    <x v="2"/>
    <x v="4"/>
    <x v="3"/>
    <n v="9"/>
    <n v="3088163"/>
    <d v="2025-04-02T00:00:00"/>
    <n v="4"/>
    <n v="2"/>
    <n v="2025"/>
    <x v="11"/>
    <s v="Q2"/>
    <x v="4"/>
  </r>
  <r>
    <s v="O103816"/>
    <x v="595"/>
    <x v="8"/>
    <x v="2"/>
    <x v="3"/>
    <x v="3"/>
    <n v="10"/>
    <n v="3087508"/>
    <d v="2025-08-20T00:00:00"/>
    <n v="8"/>
    <n v="20"/>
    <n v="2025"/>
    <x v="8"/>
    <s v="Q3"/>
    <x v="3"/>
  </r>
  <r>
    <s v="O106189"/>
    <x v="596"/>
    <x v="6"/>
    <x v="0"/>
    <x v="1"/>
    <x v="2"/>
    <n v="6"/>
    <n v="3082664"/>
    <d v="2026-11-01T00:00:00"/>
    <n v="11"/>
    <n v="1"/>
    <n v="2026"/>
    <x v="0"/>
    <m/>
    <x v="1"/>
  </r>
  <r>
    <s v="O108810"/>
    <x v="226"/>
    <x v="10"/>
    <x v="0"/>
    <x v="1"/>
    <x v="0"/>
    <n v="8"/>
    <n v="3081915"/>
    <d v="2026-06-20T00:00:00"/>
    <n v="6"/>
    <n v="20"/>
    <n v="2026"/>
    <x v="2"/>
    <s v="Q2"/>
    <x v="1"/>
  </r>
  <r>
    <s v="O103767"/>
    <x v="475"/>
    <x v="8"/>
    <x v="2"/>
    <x v="2"/>
    <x v="1"/>
    <n v="10"/>
    <n v="3081443"/>
    <d v="2025-08-17T00:00:00"/>
    <n v="8"/>
    <n v="17"/>
    <n v="2025"/>
    <x v="8"/>
    <s v="Q3"/>
    <x v="2"/>
  </r>
  <r>
    <s v="O100146"/>
    <x v="597"/>
    <x v="5"/>
    <x v="0"/>
    <x v="0"/>
    <x v="2"/>
    <n v="7"/>
    <n v="3078782"/>
    <d v="2025-09-01T00:00:00"/>
    <n v="9"/>
    <n v="1"/>
    <n v="2025"/>
    <x v="1"/>
    <s v="Q3"/>
    <x v="0"/>
  </r>
  <r>
    <s v="O109531"/>
    <x v="598"/>
    <x v="8"/>
    <x v="0"/>
    <x v="4"/>
    <x v="2"/>
    <n v="8"/>
    <n v="3078385"/>
    <d v="2026-02-08T00:00:00"/>
    <n v="2"/>
    <n v="8"/>
    <n v="2026"/>
    <x v="4"/>
    <s v="Q1"/>
    <x v="4"/>
  </r>
  <r>
    <s v="O101706"/>
    <x v="101"/>
    <x v="5"/>
    <x v="0"/>
    <x v="2"/>
    <x v="2"/>
    <n v="9"/>
    <n v="3076902"/>
    <d v="2025-04-14T00:00:00"/>
    <n v="4"/>
    <n v="14"/>
    <n v="2025"/>
    <x v="11"/>
    <s v="Q2"/>
    <x v="2"/>
  </r>
  <r>
    <s v="O104826"/>
    <x v="34"/>
    <x v="0"/>
    <x v="0"/>
    <x v="0"/>
    <x v="4"/>
    <n v="7"/>
    <n v="3076854"/>
    <d v="2025-10-21T00:00:00"/>
    <n v="10"/>
    <n v="21"/>
    <n v="2025"/>
    <x v="9"/>
    <s v="Q4"/>
    <x v="0"/>
  </r>
  <r>
    <s v="O103540"/>
    <x v="95"/>
    <x v="8"/>
    <x v="0"/>
    <x v="1"/>
    <x v="1"/>
    <n v="8"/>
    <n v="3076392"/>
    <d v="2025-04-08T00:00:00"/>
    <n v="4"/>
    <n v="8"/>
    <n v="2025"/>
    <x v="11"/>
    <s v="Q2"/>
    <x v="1"/>
  </r>
  <r>
    <s v="O108127"/>
    <x v="66"/>
    <x v="1"/>
    <x v="0"/>
    <x v="4"/>
    <x v="3"/>
    <n v="7"/>
    <n v="3075277"/>
    <d v="2026-09-05T00:00:00"/>
    <n v="9"/>
    <n v="5"/>
    <n v="2026"/>
    <x v="1"/>
    <s v="Q3"/>
    <x v="4"/>
  </r>
  <r>
    <s v="O103482"/>
    <x v="280"/>
    <x v="9"/>
    <x v="2"/>
    <x v="4"/>
    <x v="3"/>
    <n v="9"/>
    <n v="3074739"/>
    <d v="2025-07-31T00:00:00"/>
    <n v="7"/>
    <n v="31"/>
    <n v="2025"/>
    <x v="10"/>
    <s v="Q3"/>
    <x v="4"/>
  </r>
  <r>
    <s v="O107262"/>
    <x v="294"/>
    <x v="4"/>
    <x v="0"/>
    <x v="3"/>
    <x v="2"/>
    <n v="6"/>
    <n v="3074153"/>
    <d v="2026-03-18T00:00:00"/>
    <n v="3"/>
    <n v="18"/>
    <n v="2026"/>
    <x v="5"/>
    <s v="Q1"/>
    <x v="3"/>
  </r>
  <r>
    <s v="O108923"/>
    <x v="330"/>
    <x v="1"/>
    <x v="2"/>
    <x v="0"/>
    <x v="1"/>
    <n v="9"/>
    <n v="3072852"/>
    <d v="2026-06-27T00:00:00"/>
    <n v="6"/>
    <n v="27"/>
    <n v="2026"/>
    <x v="2"/>
    <s v="Q2"/>
    <x v="0"/>
  </r>
  <r>
    <s v="O109728"/>
    <x v="194"/>
    <x v="0"/>
    <x v="0"/>
    <x v="0"/>
    <x v="3"/>
    <n v="8"/>
    <n v="3071467"/>
    <d v="2026-08-14T00:00:00"/>
    <n v="8"/>
    <n v="14"/>
    <n v="2026"/>
    <x v="8"/>
    <s v="Q3"/>
    <x v="0"/>
  </r>
  <r>
    <s v="O110062"/>
    <x v="599"/>
    <x v="9"/>
    <x v="0"/>
    <x v="4"/>
    <x v="2"/>
    <n v="7"/>
    <n v="3069108"/>
    <d v="2026-04-09T00:00:00"/>
    <n v="4"/>
    <n v="9"/>
    <n v="2026"/>
    <x v="11"/>
    <s v="Q2"/>
    <x v="4"/>
  </r>
  <r>
    <s v="O105325"/>
    <x v="411"/>
    <x v="4"/>
    <x v="0"/>
    <x v="4"/>
    <x v="1"/>
    <n v="9"/>
    <n v="3068254"/>
    <d v="2025-11-20T00:00:00"/>
    <n v="11"/>
    <n v="20"/>
    <n v="2025"/>
    <x v="0"/>
    <s v="Q4"/>
    <x v="4"/>
  </r>
  <r>
    <s v="O108785"/>
    <x v="65"/>
    <x v="0"/>
    <x v="2"/>
    <x v="3"/>
    <x v="3"/>
    <n v="10"/>
    <n v="3066822"/>
    <d v="2026-06-18T00:00:00"/>
    <n v="6"/>
    <n v="18"/>
    <n v="2026"/>
    <x v="2"/>
    <s v="Q2"/>
    <x v="3"/>
  </r>
  <r>
    <s v="O100987"/>
    <x v="600"/>
    <x v="2"/>
    <x v="2"/>
    <x v="0"/>
    <x v="0"/>
    <n v="9"/>
    <n v="3065974"/>
    <d v="2025-01-03T00:00:00"/>
    <n v="1"/>
    <n v="3"/>
    <n v="2025"/>
    <x v="6"/>
    <s v="Q1"/>
    <x v="0"/>
  </r>
  <r>
    <s v="O101503"/>
    <x v="330"/>
    <x v="1"/>
    <x v="0"/>
    <x v="4"/>
    <x v="0"/>
    <n v="7"/>
    <n v="3065599"/>
    <d v="2025-02-04T00:00:00"/>
    <n v="2"/>
    <n v="4"/>
    <n v="2025"/>
    <x v="4"/>
    <s v="Q1"/>
    <x v="4"/>
  </r>
  <r>
    <s v="O108415"/>
    <x v="227"/>
    <x v="0"/>
    <x v="0"/>
    <x v="2"/>
    <x v="1"/>
    <n v="7"/>
    <n v="3064143"/>
    <d v="2026-05-27T00:00:00"/>
    <n v="5"/>
    <n v="27"/>
    <n v="2026"/>
    <x v="3"/>
    <s v="Q2"/>
    <x v="2"/>
  </r>
  <r>
    <s v="O110761"/>
    <x v="363"/>
    <x v="1"/>
    <x v="0"/>
    <x v="2"/>
    <x v="0"/>
    <n v="7"/>
    <n v="3063923"/>
    <d v="2026-10-16T00:00:00"/>
    <n v="10"/>
    <n v="16"/>
    <n v="2026"/>
    <x v="9"/>
    <s v="Q4"/>
    <x v="2"/>
  </r>
  <r>
    <s v="O109960"/>
    <x v="435"/>
    <x v="6"/>
    <x v="0"/>
    <x v="0"/>
    <x v="0"/>
    <n v="7"/>
    <n v="3060983"/>
    <d v="2026-08-29T00:00:00"/>
    <n v="8"/>
    <n v="29"/>
    <n v="2026"/>
    <x v="8"/>
    <s v="Q3"/>
    <x v="0"/>
  </r>
  <r>
    <s v="O106234"/>
    <x v="601"/>
    <x v="10"/>
    <x v="0"/>
    <x v="0"/>
    <x v="2"/>
    <n v="7"/>
    <n v="3060965"/>
    <d v="2026-01-14T00:00:00"/>
    <n v="1"/>
    <n v="14"/>
    <n v="2026"/>
    <x v="6"/>
    <s v="Q1"/>
    <x v="0"/>
  </r>
  <r>
    <s v="O104997"/>
    <x v="238"/>
    <x v="3"/>
    <x v="0"/>
    <x v="4"/>
    <x v="0"/>
    <n v="6"/>
    <n v="3060153"/>
    <d v="2025-10-31T00:00:00"/>
    <n v="10"/>
    <n v="31"/>
    <n v="2025"/>
    <x v="9"/>
    <s v="Q4"/>
    <x v="4"/>
  </r>
  <r>
    <s v="O107739"/>
    <x v="272"/>
    <x v="6"/>
    <x v="2"/>
    <x v="0"/>
    <x v="0"/>
    <n v="10"/>
    <n v="3059031"/>
    <d v="2026-04-16T00:00:00"/>
    <n v="4"/>
    <n v="16"/>
    <n v="2026"/>
    <x v="11"/>
    <s v="Q2"/>
    <x v="0"/>
  </r>
  <r>
    <s v="O106572"/>
    <x v="481"/>
    <x v="4"/>
    <x v="0"/>
    <x v="1"/>
    <x v="3"/>
    <n v="8"/>
    <n v="3056906"/>
    <d v="2026-04-02T00:00:00"/>
    <n v="4"/>
    <n v="2"/>
    <n v="2026"/>
    <x v="11"/>
    <s v="Q2"/>
    <x v="1"/>
  </r>
  <r>
    <s v="O104468"/>
    <x v="602"/>
    <x v="10"/>
    <x v="0"/>
    <x v="1"/>
    <x v="2"/>
    <n v="6"/>
    <n v="3056346"/>
    <d v="2025-09-29T00:00:00"/>
    <n v="9"/>
    <n v="29"/>
    <n v="2025"/>
    <x v="1"/>
    <s v="Q3"/>
    <x v="1"/>
  </r>
  <r>
    <s v="O110850"/>
    <x v="460"/>
    <x v="9"/>
    <x v="0"/>
    <x v="4"/>
    <x v="0"/>
    <n v="7"/>
    <n v="3055419"/>
    <d v="2026-10-22T00:00:00"/>
    <n v="10"/>
    <n v="22"/>
    <n v="2026"/>
    <x v="9"/>
    <s v="Q4"/>
    <x v="4"/>
  </r>
  <r>
    <s v="O104601"/>
    <x v="603"/>
    <x v="0"/>
    <x v="0"/>
    <x v="3"/>
    <x v="0"/>
    <n v="6"/>
    <n v="3052894"/>
    <d v="2025-07-10T00:00:00"/>
    <n v="7"/>
    <n v="10"/>
    <n v="2025"/>
    <x v="10"/>
    <s v="Q3"/>
    <x v="3"/>
  </r>
  <r>
    <s v="O100755"/>
    <x v="124"/>
    <x v="2"/>
    <x v="0"/>
    <x v="4"/>
    <x v="2"/>
    <n v="9"/>
    <n v="3052304"/>
    <d v="2025-02-15T00:00:00"/>
    <n v="2"/>
    <n v="15"/>
    <n v="2025"/>
    <x v="4"/>
    <s v="Q1"/>
    <x v="4"/>
  </r>
  <r>
    <s v="O108297"/>
    <x v="344"/>
    <x v="9"/>
    <x v="2"/>
    <x v="0"/>
    <x v="1"/>
    <n v="9"/>
    <n v="3051376"/>
    <d v="2026-05-20T00:00:00"/>
    <n v="5"/>
    <n v="20"/>
    <n v="2026"/>
    <x v="3"/>
    <s v="Q2"/>
    <x v="0"/>
  </r>
  <r>
    <s v="O109360"/>
    <x v="604"/>
    <x v="1"/>
    <x v="2"/>
    <x v="1"/>
    <x v="2"/>
    <n v="9"/>
    <n v="3051228"/>
    <d v="2026-07-23T00:00:00"/>
    <n v="7"/>
    <n v="23"/>
    <n v="2026"/>
    <x v="10"/>
    <s v="Q3"/>
    <x v="1"/>
  </r>
  <r>
    <s v="O109574"/>
    <x v="605"/>
    <x v="9"/>
    <x v="0"/>
    <x v="1"/>
    <x v="1"/>
    <n v="6"/>
    <n v="3049489"/>
    <d v="2026-05-08T00:00:00"/>
    <n v="5"/>
    <n v="8"/>
    <n v="2026"/>
    <x v="3"/>
    <s v="Q2"/>
    <x v="1"/>
  </r>
  <r>
    <s v="O111443"/>
    <x v="221"/>
    <x v="4"/>
    <x v="0"/>
    <x v="1"/>
    <x v="3"/>
    <n v="8"/>
    <n v="3048493"/>
    <d v="2026-11-27T00:00:00"/>
    <n v="11"/>
    <n v="27"/>
    <n v="2026"/>
    <x v="0"/>
    <s v="Q4"/>
    <x v="1"/>
  </r>
  <r>
    <s v="O104390"/>
    <x v="422"/>
    <x v="7"/>
    <x v="0"/>
    <x v="2"/>
    <x v="2"/>
    <n v="7"/>
    <n v="3046947"/>
    <d v="2025-09-24T00:00:00"/>
    <n v="9"/>
    <n v="24"/>
    <n v="2025"/>
    <x v="1"/>
    <m/>
    <x v="2"/>
  </r>
  <r>
    <s v="O107715"/>
    <x v="409"/>
    <x v="6"/>
    <x v="0"/>
    <x v="2"/>
    <x v="1"/>
    <n v="7"/>
    <n v="3045663"/>
    <d v="2026-04-14T00:00:00"/>
    <n v="4"/>
    <n v="14"/>
    <n v="2026"/>
    <x v="11"/>
    <s v="Q2"/>
    <x v="2"/>
  </r>
  <r>
    <s v="O109393"/>
    <x v="202"/>
    <x v="4"/>
    <x v="0"/>
    <x v="3"/>
    <x v="0"/>
    <n v="6"/>
    <n v="3044761"/>
    <d v="2026-07-25T00:00:00"/>
    <n v="7"/>
    <n v="25"/>
    <n v="2026"/>
    <x v="10"/>
    <s v="Q3"/>
    <x v="3"/>
  </r>
  <r>
    <s v="O109793"/>
    <x v="272"/>
    <x v="6"/>
    <x v="0"/>
    <x v="1"/>
    <x v="2"/>
    <n v="8"/>
    <n v="3043539"/>
    <d v="2026-08-18T00:00:00"/>
    <n v="8"/>
    <n v="18"/>
    <n v="2026"/>
    <x v="8"/>
    <s v="Q3"/>
    <x v="1"/>
  </r>
  <r>
    <s v="O110175"/>
    <x v="327"/>
    <x v="5"/>
    <x v="0"/>
    <x v="3"/>
    <x v="3"/>
    <n v="6"/>
    <n v="3042568"/>
    <d v="2026-11-09T00:00:00"/>
    <n v="11"/>
    <n v="9"/>
    <n v="2026"/>
    <x v="0"/>
    <s v="Q4"/>
    <x v="3"/>
  </r>
  <r>
    <s v="O103677"/>
    <x v="563"/>
    <x v="8"/>
    <x v="0"/>
    <x v="0"/>
    <x v="3"/>
    <n v="7"/>
    <n v="3039841"/>
    <d v="2025-12-08T00:00:00"/>
    <n v="12"/>
    <n v="8"/>
    <n v="2025"/>
    <x v="7"/>
    <s v="Q4"/>
    <x v="0"/>
  </r>
  <r>
    <s v="O103151"/>
    <x v="606"/>
    <x v="4"/>
    <x v="2"/>
    <x v="0"/>
    <x v="0"/>
    <n v="9"/>
    <n v="3039393"/>
    <d v="2025-11-07T00:00:00"/>
    <n v="11"/>
    <n v="7"/>
    <n v="2025"/>
    <x v="0"/>
    <s v="Q4"/>
    <x v="0"/>
  </r>
  <r>
    <s v="O102853"/>
    <x v="292"/>
    <x v="0"/>
    <x v="0"/>
    <x v="2"/>
    <x v="1"/>
    <n v="6"/>
    <n v="3036503"/>
    <d v="2025-06-23T00:00:00"/>
    <n v="6"/>
    <n v="23"/>
    <n v="2025"/>
    <x v="2"/>
    <s v="Q2"/>
    <x v="2"/>
  </r>
  <r>
    <s v="O104345"/>
    <x v="607"/>
    <x v="4"/>
    <x v="2"/>
    <x v="3"/>
    <x v="0"/>
    <n v="9"/>
    <n v="3036402"/>
    <d v="2025-09-21T00:00:00"/>
    <n v="9"/>
    <n v="21"/>
    <n v="2025"/>
    <x v="1"/>
    <s v="Q3"/>
    <x v="3"/>
  </r>
  <r>
    <s v="O102431"/>
    <x v="310"/>
    <x v="4"/>
    <x v="2"/>
    <x v="1"/>
    <x v="1"/>
    <n v="9"/>
    <n v="3035835"/>
    <d v="2025-05-28T00:00:00"/>
    <n v="5"/>
    <n v="28"/>
    <n v="2025"/>
    <x v="3"/>
    <s v="Q2"/>
    <x v="1"/>
  </r>
  <r>
    <s v="O111667"/>
    <x v="608"/>
    <x v="0"/>
    <x v="2"/>
    <x v="0"/>
    <x v="3"/>
    <n v="9"/>
    <n v="3033994"/>
    <d v="2026-10-12T00:00:00"/>
    <n v="10"/>
    <n v="12"/>
    <n v="2026"/>
    <x v="9"/>
    <s v="Q4"/>
    <x v="0"/>
  </r>
  <r>
    <s v="O108052"/>
    <x v="577"/>
    <x v="5"/>
    <x v="0"/>
    <x v="0"/>
    <x v="0"/>
    <n v="6"/>
    <n v="3032985"/>
    <d v="2026-05-05T00:00:00"/>
    <n v="5"/>
    <n v="5"/>
    <n v="2026"/>
    <x v="3"/>
    <s v="Q2"/>
    <x v="0"/>
  </r>
  <r>
    <s v="O106196"/>
    <x v="106"/>
    <x v="9"/>
    <x v="0"/>
    <x v="1"/>
    <x v="1"/>
    <n v="6"/>
    <n v="3030556"/>
    <d v="2026-12-01T00:00:00"/>
    <n v="12"/>
    <n v="1"/>
    <n v="2026"/>
    <x v="7"/>
    <s v="Q4"/>
    <x v="1"/>
  </r>
  <r>
    <s v="O103761"/>
    <x v="554"/>
    <x v="10"/>
    <x v="0"/>
    <x v="2"/>
    <x v="2"/>
    <n v="7"/>
    <n v="3029180"/>
    <d v="2025-08-17T00:00:00"/>
    <n v="8"/>
    <n v="17"/>
    <n v="2025"/>
    <x v="8"/>
    <s v="Q3"/>
    <x v="2"/>
  </r>
  <r>
    <s v="O105942"/>
    <x v="588"/>
    <x v="8"/>
    <x v="0"/>
    <x v="3"/>
    <x v="1"/>
    <n v="6"/>
    <n v="3028587"/>
    <d v="2025-12-27T00:00:00"/>
    <n v="12"/>
    <n v="27"/>
    <n v="2025"/>
    <x v="7"/>
    <s v="Q4"/>
    <x v="3"/>
  </r>
  <r>
    <s v="O110590"/>
    <x v="64"/>
    <x v="3"/>
    <x v="0"/>
    <x v="4"/>
    <x v="2"/>
    <n v="8"/>
    <n v="3028284"/>
    <d v="2026-06-10T00:00:00"/>
    <n v="6"/>
    <n v="10"/>
    <n v="2026"/>
    <x v="2"/>
    <s v="Q2"/>
    <x v="4"/>
  </r>
  <r>
    <s v="O110707"/>
    <x v="609"/>
    <x v="3"/>
    <x v="2"/>
    <x v="0"/>
    <x v="2"/>
    <n v="10"/>
    <n v="3026508"/>
    <d v="2026-10-13T00:00:00"/>
    <n v="10"/>
    <n v="13"/>
    <n v="2026"/>
    <x v="9"/>
    <s v="Q4"/>
    <x v="0"/>
  </r>
  <r>
    <s v="O104452"/>
    <x v="105"/>
    <x v="5"/>
    <x v="2"/>
    <x v="4"/>
    <x v="0"/>
    <n v="10"/>
    <n v="3026294"/>
    <d v="2025-09-28T00:00:00"/>
    <n v="9"/>
    <n v="28"/>
    <n v="2025"/>
    <x v="1"/>
    <s v="Q3"/>
    <x v="4"/>
  </r>
  <r>
    <s v="O100373"/>
    <x v="439"/>
    <x v="0"/>
    <x v="0"/>
    <x v="1"/>
    <x v="1"/>
    <n v="8"/>
    <n v="3025812"/>
    <d v="2025-01-23T00:00:00"/>
    <n v="1"/>
    <n v="23"/>
    <n v="2025"/>
    <x v="6"/>
    <s v="Q1"/>
    <x v="1"/>
  </r>
  <r>
    <s v="O102239"/>
    <x v="423"/>
    <x v="1"/>
    <x v="0"/>
    <x v="3"/>
    <x v="1"/>
    <n v="7"/>
    <n v="3024849"/>
    <d v="2025-05-16T00:00:00"/>
    <n v="5"/>
    <n v="16"/>
    <n v="2025"/>
    <x v="3"/>
    <s v="Q2"/>
    <x v="3"/>
  </r>
  <r>
    <s v="O111300"/>
    <x v="366"/>
    <x v="9"/>
    <x v="0"/>
    <x v="2"/>
    <x v="2"/>
    <n v="8"/>
    <n v="3022314"/>
    <d v="2026-11-18T00:00:00"/>
    <n v="11"/>
    <n v="18"/>
    <n v="2026"/>
    <x v="0"/>
    <s v="Q4"/>
    <x v="2"/>
  </r>
  <r>
    <s v="O105954"/>
    <x v="345"/>
    <x v="2"/>
    <x v="2"/>
    <x v="4"/>
    <x v="0"/>
    <n v="10"/>
    <n v="3020974"/>
    <d v="2025-12-28T00:00:00"/>
    <n v="12"/>
    <n v="28"/>
    <n v="2025"/>
    <x v="7"/>
    <s v="Q4"/>
    <x v="4"/>
  </r>
  <r>
    <s v="O102335"/>
    <x v="106"/>
    <x v="4"/>
    <x v="0"/>
    <x v="4"/>
    <x v="0"/>
    <n v="7"/>
    <n v="3020459"/>
    <d v="2025-05-22T00:00:00"/>
    <n v="5"/>
    <n v="22"/>
    <n v="2025"/>
    <x v="3"/>
    <s v="Q2"/>
    <x v="4"/>
  </r>
  <r>
    <s v="O111354"/>
    <x v="101"/>
    <x v="4"/>
    <x v="2"/>
    <x v="4"/>
    <x v="0"/>
    <n v="10"/>
    <n v="3018588"/>
    <d v="2026-11-21T00:00:00"/>
    <n v="11"/>
    <n v="21"/>
    <n v="2026"/>
    <x v="0"/>
    <s v="Q4"/>
    <x v="4"/>
  </r>
  <r>
    <s v="O103622"/>
    <x v="108"/>
    <x v="1"/>
    <x v="0"/>
    <x v="0"/>
    <x v="1"/>
    <n v="7"/>
    <n v="3018231"/>
    <d v="2025-08-08T00:00:00"/>
    <n v="8"/>
    <n v="8"/>
    <n v="2025"/>
    <x v="8"/>
    <s v="Q3"/>
    <x v="0"/>
  </r>
  <r>
    <s v="O100647"/>
    <x v="610"/>
    <x v="4"/>
    <x v="2"/>
    <x v="1"/>
    <x v="3"/>
    <n v="9"/>
    <n v="3017873"/>
    <d v="2025-09-02T00:00:00"/>
    <n v="9"/>
    <n v="2"/>
    <n v="2025"/>
    <x v="1"/>
    <s v="Q3"/>
    <x v="1"/>
  </r>
  <r>
    <s v="O101466"/>
    <x v="425"/>
    <x v="0"/>
    <x v="0"/>
    <x v="3"/>
    <x v="2"/>
    <n v="7"/>
    <n v="3015589"/>
    <d v="2025-03-31T00:00:00"/>
    <n v="3"/>
    <n v="31"/>
    <n v="2025"/>
    <x v="5"/>
    <s v="Q1"/>
    <x v="3"/>
  </r>
  <r>
    <s v="O105088"/>
    <x v="611"/>
    <x v="10"/>
    <x v="0"/>
    <x v="1"/>
    <x v="0"/>
    <n v="6"/>
    <n v="3013643"/>
    <d v="2025-06-11T00:00:00"/>
    <n v="6"/>
    <n v="11"/>
    <n v="2025"/>
    <x v="2"/>
    <s v="Q2"/>
    <x v="1"/>
  </r>
  <r>
    <s v="O104090"/>
    <x v="207"/>
    <x v="5"/>
    <x v="0"/>
    <x v="3"/>
    <x v="3"/>
    <n v="8"/>
    <n v="3010680"/>
    <d v="2025-06-09T00:00:00"/>
    <n v="6"/>
    <n v="9"/>
    <n v="2025"/>
    <x v="2"/>
    <s v="Q2"/>
    <x v="3"/>
  </r>
  <r>
    <s v="O100653"/>
    <x v="612"/>
    <x v="6"/>
    <x v="2"/>
    <x v="0"/>
    <x v="0"/>
    <n v="9"/>
    <n v="3008916"/>
    <d v="2025-09-02T00:00:00"/>
    <n v="9"/>
    <n v="2"/>
    <n v="2025"/>
    <x v="1"/>
    <s v="Q3"/>
    <x v="0"/>
  </r>
  <r>
    <s v="O100440"/>
    <x v="613"/>
    <x v="5"/>
    <x v="0"/>
    <x v="1"/>
    <x v="1"/>
    <n v="8"/>
    <n v="3005947"/>
    <d v="2025-01-27T00:00:00"/>
    <n v="1"/>
    <n v="27"/>
    <n v="2025"/>
    <x v="6"/>
    <s v="Q1"/>
    <x v="1"/>
  </r>
  <r>
    <s v="O103746"/>
    <x v="73"/>
    <x v="5"/>
    <x v="0"/>
    <x v="0"/>
    <x v="1"/>
    <n v="6"/>
    <n v="3005941"/>
    <d v="2025-08-16T00:00:00"/>
    <n v="8"/>
    <n v="16"/>
    <n v="2025"/>
    <x v="8"/>
    <s v="Q3"/>
    <x v="0"/>
  </r>
  <r>
    <s v="O106415"/>
    <x v="497"/>
    <x v="8"/>
    <x v="0"/>
    <x v="2"/>
    <x v="3"/>
    <n v="8"/>
    <n v="3005172"/>
    <d v="2026-01-25T00:00:00"/>
    <n v="1"/>
    <n v="25"/>
    <n v="2026"/>
    <x v="6"/>
    <s v="Q1"/>
    <x v="2"/>
  </r>
  <r>
    <s v="O108293"/>
    <x v="136"/>
    <x v="8"/>
    <x v="0"/>
    <x v="4"/>
    <x v="2"/>
    <n v="8"/>
    <n v="3002844"/>
    <d v="2026-05-19T00:00:00"/>
    <n v="5"/>
    <n v="19"/>
    <n v="2026"/>
    <x v="3"/>
    <s v="Q2"/>
    <x v="4"/>
  </r>
  <r>
    <s v="O110408"/>
    <x v="200"/>
    <x v="9"/>
    <x v="2"/>
    <x v="2"/>
    <x v="3"/>
    <n v="10"/>
    <n v="3001550"/>
    <d v="2026-09-25T00:00:00"/>
    <n v="9"/>
    <n v="25"/>
    <n v="2026"/>
    <x v="1"/>
    <s v="Q3"/>
    <x v="2"/>
  </r>
  <r>
    <s v="O103084"/>
    <x v="213"/>
    <x v="5"/>
    <x v="2"/>
    <x v="3"/>
    <x v="2"/>
    <n v="10"/>
    <n v="3000318"/>
    <d v="2025-07-07T00:00:00"/>
    <n v="7"/>
    <n v="7"/>
    <n v="2025"/>
    <x v="10"/>
    <m/>
    <x v="3"/>
  </r>
  <r>
    <s v="O111981"/>
    <x v="160"/>
    <x v="1"/>
    <x v="0"/>
    <x v="3"/>
    <x v="1"/>
    <n v="6"/>
    <n v="2999375"/>
    <d v="2026-12-29T00:00:00"/>
    <n v="12"/>
    <n v="29"/>
    <n v="2026"/>
    <x v="7"/>
    <s v="Q4"/>
    <x v="3"/>
  </r>
  <r>
    <s v="O104746"/>
    <x v="513"/>
    <x v="0"/>
    <x v="0"/>
    <x v="2"/>
    <x v="0"/>
    <n v="7"/>
    <n v="2998133"/>
    <d v="2025-10-16T00:00:00"/>
    <n v="10"/>
    <n v="16"/>
    <n v="2025"/>
    <x v="9"/>
    <s v="Q4"/>
    <x v="2"/>
  </r>
  <r>
    <s v="O108369"/>
    <x v="614"/>
    <x v="3"/>
    <x v="2"/>
    <x v="4"/>
    <x v="3"/>
    <n v="10"/>
    <n v="2997172"/>
    <d v="2026-05-24T00:00:00"/>
    <n v="5"/>
    <n v="24"/>
    <n v="2026"/>
    <x v="3"/>
    <s v="Q2"/>
    <x v="4"/>
  </r>
  <r>
    <s v="O107187"/>
    <x v="615"/>
    <x v="10"/>
    <x v="2"/>
    <x v="3"/>
    <x v="1"/>
    <n v="9"/>
    <n v="2996387"/>
    <d v="2026-03-13T00:00:00"/>
    <n v="3"/>
    <n v="13"/>
    <n v="2026"/>
    <x v="5"/>
    <s v="Q1"/>
    <x v="3"/>
  </r>
  <r>
    <s v="O109811"/>
    <x v="241"/>
    <x v="5"/>
    <x v="0"/>
    <x v="3"/>
    <x v="1"/>
    <n v="7"/>
    <n v="2995895"/>
    <d v="2026-08-20T00:00:00"/>
    <n v="8"/>
    <n v="20"/>
    <n v="2026"/>
    <x v="8"/>
    <s v="Q3"/>
    <x v="3"/>
  </r>
  <r>
    <s v="O106337"/>
    <x v="616"/>
    <x v="1"/>
    <x v="0"/>
    <x v="4"/>
    <x v="1"/>
    <n v="6"/>
    <n v="2995550"/>
    <d v="2026-01-20T00:00:00"/>
    <n v="1"/>
    <n v="20"/>
    <n v="2026"/>
    <x v="6"/>
    <s v="Q1"/>
    <x v="4"/>
  </r>
  <r>
    <s v="O102132"/>
    <x v="483"/>
    <x v="10"/>
    <x v="0"/>
    <x v="0"/>
    <x v="1"/>
    <n v="7"/>
    <n v="2994713"/>
    <d v="2025-10-05T00:00:00"/>
    <n v="10"/>
    <n v="5"/>
    <n v="2025"/>
    <x v="9"/>
    <s v="Q4"/>
    <x v="0"/>
  </r>
  <r>
    <s v="O100157"/>
    <x v="586"/>
    <x v="10"/>
    <x v="2"/>
    <x v="2"/>
    <x v="3"/>
    <n v="9"/>
    <n v="2993319"/>
    <d v="2025-10-01T00:00:00"/>
    <n v="10"/>
    <n v="1"/>
    <n v="2025"/>
    <x v="9"/>
    <s v="Q4"/>
    <x v="2"/>
  </r>
  <r>
    <s v="O111485"/>
    <x v="593"/>
    <x v="5"/>
    <x v="0"/>
    <x v="4"/>
    <x v="2"/>
    <n v="6"/>
    <n v="2990739"/>
    <d v="2026-11-29T00:00:00"/>
    <n v="11"/>
    <n v="29"/>
    <n v="2026"/>
    <x v="0"/>
    <s v="Q4"/>
    <x v="4"/>
  </r>
  <r>
    <s v="O102645"/>
    <x v="33"/>
    <x v="4"/>
    <x v="0"/>
    <x v="1"/>
    <x v="3"/>
    <n v="7"/>
    <n v="2990211"/>
    <d v="2025-10-06T00:00:00"/>
    <n v="10"/>
    <n v="6"/>
    <n v="2025"/>
    <x v="9"/>
    <s v="Q4"/>
    <x v="1"/>
  </r>
  <r>
    <s v="O102832"/>
    <x v="41"/>
    <x v="8"/>
    <x v="2"/>
    <x v="4"/>
    <x v="1"/>
    <n v="10"/>
    <n v="2989611"/>
    <d v="2025-06-21T00:00:00"/>
    <n v="6"/>
    <n v="21"/>
    <n v="2025"/>
    <x v="2"/>
    <s v="Q2"/>
    <x v="4"/>
  </r>
  <r>
    <s v="O105733"/>
    <x v="617"/>
    <x v="1"/>
    <x v="2"/>
    <x v="4"/>
    <x v="0"/>
    <n v="9"/>
    <n v="2988380"/>
    <d v="2025-12-15T00:00:00"/>
    <n v="12"/>
    <n v="15"/>
    <n v="2025"/>
    <x v="7"/>
    <s v="Q4"/>
    <x v="4"/>
  </r>
  <r>
    <s v="O105167"/>
    <x v="327"/>
    <x v="0"/>
    <x v="0"/>
    <x v="0"/>
    <x v="2"/>
    <n v="6"/>
    <n v="2987325"/>
    <d v="2025-10-11T00:00:00"/>
    <n v="10"/>
    <n v="11"/>
    <n v="2025"/>
    <x v="9"/>
    <s v="Q4"/>
    <x v="0"/>
  </r>
  <r>
    <s v="O110181"/>
    <x v="243"/>
    <x v="10"/>
    <x v="2"/>
    <x v="2"/>
    <x v="0"/>
    <n v="9"/>
    <n v="2985769"/>
    <d v="2026-11-09T00:00:00"/>
    <n v="11"/>
    <n v="9"/>
    <n v="2026"/>
    <x v="0"/>
    <s v="Q4"/>
    <x v="2"/>
  </r>
  <r>
    <s v="O106190"/>
    <x v="527"/>
    <x v="1"/>
    <x v="0"/>
    <x v="1"/>
    <x v="2"/>
    <n v="7"/>
    <n v="2985081"/>
    <d v="2026-12-01T00:00:00"/>
    <n v="12"/>
    <n v="1"/>
    <n v="2026"/>
    <x v="7"/>
    <m/>
    <x v="1"/>
  </r>
  <r>
    <s v="O110489"/>
    <x v="456"/>
    <x v="9"/>
    <x v="2"/>
    <x v="3"/>
    <x v="2"/>
    <n v="8"/>
    <n v="2985004"/>
    <d v="2026-09-30T00:00:00"/>
    <n v="9"/>
    <n v="30"/>
    <n v="2026"/>
    <x v="1"/>
    <s v="Q3"/>
    <x v="3"/>
  </r>
  <r>
    <s v="O104710"/>
    <x v="475"/>
    <x v="3"/>
    <x v="2"/>
    <x v="0"/>
    <x v="0"/>
    <n v="10"/>
    <n v="2984603"/>
    <d v="2025-10-14T00:00:00"/>
    <n v="10"/>
    <n v="14"/>
    <n v="2025"/>
    <x v="9"/>
    <s v="Q4"/>
    <x v="0"/>
  </r>
  <r>
    <s v="O110710"/>
    <x v="269"/>
    <x v="1"/>
    <x v="0"/>
    <x v="2"/>
    <x v="0"/>
    <n v="7"/>
    <n v="2983044"/>
    <d v="2026-10-13T00:00:00"/>
    <n v="10"/>
    <n v="13"/>
    <n v="2026"/>
    <x v="9"/>
    <s v="Q4"/>
    <x v="2"/>
  </r>
  <r>
    <s v="O110200"/>
    <x v="460"/>
    <x v="2"/>
    <x v="0"/>
    <x v="2"/>
    <x v="3"/>
    <n v="7"/>
    <n v="2981684"/>
    <d v="2026-12-09T00:00:00"/>
    <n v="12"/>
    <n v="9"/>
    <n v="2026"/>
    <x v="7"/>
    <s v="Q4"/>
    <x v="2"/>
  </r>
  <r>
    <s v="O102232"/>
    <x v="618"/>
    <x v="8"/>
    <x v="0"/>
    <x v="4"/>
    <x v="0"/>
    <n v="6"/>
    <n v="2980148"/>
    <d v="2025-05-16T00:00:00"/>
    <n v="5"/>
    <n v="16"/>
    <n v="2025"/>
    <x v="3"/>
    <s v="Q2"/>
    <x v="4"/>
  </r>
  <r>
    <s v="O102683"/>
    <x v="40"/>
    <x v="4"/>
    <x v="0"/>
    <x v="2"/>
    <x v="3"/>
    <n v="7"/>
    <n v="2979764"/>
    <d v="2025-12-06T00:00:00"/>
    <n v="12"/>
    <n v="6"/>
    <n v="2025"/>
    <x v="7"/>
    <s v="Q4"/>
    <x v="2"/>
  </r>
  <r>
    <s v="O111923"/>
    <x v="619"/>
    <x v="8"/>
    <x v="0"/>
    <x v="3"/>
    <x v="2"/>
    <n v="8"/>
    <n v="2978807"/>
    <d v="2026-12-26T00:00:00"/>
    <n v="12"/>
    <n v="26"/>
    <n v="2026"/>
    <x v="7"/>
    <s v="Q4"/>
    <x v="3"/>
  </r>
  <r>
    <s v="O110004"/>
    <x v="283"/>
    <x v="6"/>
    <x v="2"/>
    <x v="4"/>
    <x v="0"/>
    <n v="9"/>
    <n v="2978437"/>
    <d v="2026-08-31T00:00:00"/>
    <n v="8"/>
    <n v="31"/>
    <n v="2026"/>
    <x v="8"/>
    <s v="Q3"/>
    <x v="4"/>
  </r>
  <r>
    <s v="O109481"/>
    <x v="2"/>
    <x v="5"/>
    <x v="0"/>
    <x v="2"/>
    <x v="1"/>
    <n v="8"/>
    <n v="2978201"/>
    <d v="2026-07-30T00:00:00"/>
    <n v="7"/>
    <n v="30"/>
    <n v="2026"/>
    <x v="10"/>
    <s v="Q3"/>
    <x v="2"/>
  </r>
  <r>
    <s v="O108443"/>
    <x v="620"/>
    <x v="3"/>
    <x v="2"/>
    <x v="4"/>
    <x v="2"/>
    <n v="9"/>
    <n v="2977885"/>
    <d v="2026-05-28T00:00:00"/>
    <n v="5"/>
    <n v="28"/>
    <n v="2026"/>
    <x v="3"/>
    <s v="Q2"/>
    <x v="4"/>
  </r>
  <r>
    <s v="O103640"/>
    <x v="65"/>
    <x v="1"/>
    <x v="0"/>
    <x v="0"/>
    <x v="0"/>
    <n v="8"/>
    <n v="2977056"/>
    <d v="2025-10-08T00:00:00"/>
    <n v="10"/>
    <n v="8"/>
    <n v="2025"/>
    <x v="9"/>
    <s v="Q4"/>
    <x v="0"/>
  </r>
  <r>
    <s v="O104569"/>
    <x v="101"/>
    <x v="4"/>
    <x v="0"/>
    <x v="1"/>
    <x v="1"/>
    <n v="6"/>
    <n v="2976347"/>
    <d v="2025-05-10T00:00:00"/>
    <n v="5"/>
    <n v="10"/>
    <n v="2025"/>
    <x v="3"/>
    <s v="Q2"/>
    <x v="1"/>
  </r>
  <r>
    <s v="O105778"/>
    <x v="582"/>
    <x v="2"/>
    <x v="0"/>
    <x v="2"/>
    <x v="1"/>
    <n v="6"/>
    <n v="2975855"/>
    <d v="2025-12-17T00:00:00"/>
    <n v="12"/>
    <n v="17"/>
    <n v="2025"/>
    <x v="7"/>
    <s v="Q4"/>
    <x v="2"/>
  </r>
  <r>
    <s v="O104256"/>
    <x v="560"/>
    <x v="0"/>
    <x v="2"/>
    <x v="4"/>
    <x v="0"/>
    <n v="9"/>
    <n v="2975590"/>
    <d v="2025-09-16T00:00:00"/>
    <n v="9"/>
    <n v="16"/>
    <n v="2025"/>
    <x v="1"/>
    <s v="Q3"/>
    <x v="4"/>
  </r>
  <r>
    <s v="O109833"/>
    <x v="621"/>
    <x v="3"/>
    <x v="0"/>
    <x v="4"/>
    <x v="3"/>
    <n v="7"/>
    <n v="2975184"/>
    <d v="2026-08-21T00:00:00"/>
    <n v="8"/>
    <n v="21"/>
    <n v="2026"/>
    <x v="8"/>
    <s v="Q3"/>
    <x v="4"/>
  </r>
  <r>
    <s v="O109896"/>
    <x v="425"/>
    <x v="5"/>
    <x v="0"/>
    <x v="0"/>
    <x v="2"/>
    <n v="8"/>
    <n v="2973627"/>
    <d v="2026-08-25T00:00:00"/>
    <n v="8"/>
    <n v="25"/>
    <n v="2026"/>
    <x v="8"/>
    <s v="Q3"/>
    <x v="0"/>
  </r>
  <r>
    <s v="O106501"/>
    <x v="298"/>
    <x v="1"/>
    <x v="0"/>
    <x v="4"/>
    <x v="3"/>
    <n v="7"/>
    <n v="2973099"/>
    <d v="2026-01-30T00:00:00"/>
    <n v="1"/>
    <n v="30"/>
    <n v="2026"/>
    <x v="6"/>
    <s v="Q1"/>
    <x v="4"/>
  </r>
  <r>
    <s v="O111308"/>
    <x v="319"/>
    <x v="4"/>
    <x v="0"/>
    <x v="0"/>
    <x v="1"/>
    <n v="6"/>
    <n v="2972576"/>
    <d v="2026-11-18T00:00:00"/>
    <n v="11"/>
    <n v="18"/>
    <n v="2026"/>
    <x v="0"/>
    <s v="Q4"/>
    <x v="0"/>
  </r>
  <r>
    <s v="O105054"/>
    <x v="490"/>
    <x v="8"/>
    <x v="0"/>
    <x v="0"/>
    <x v="0"/>
    <n v="6"/>
    <n v="2971246"/>
    <d v="2025-03-11T00:00:00"/>
    <n v="3"/>
    <n v="11"/>
    <n v="2025"/>
    <x v="5"/>
    <s v="Q1"/>
    <x v="0"/>
  </r>
  <r>
    <s v="O103449"/>
    <x v="622"/>
    <x v="1"/>
    <x v="2"/>
    <x v="2"/>
    <x v="2"/>
    <n v="9"/>
    <n v="2968978"/>
    <d v="2025-07-29T00:00:00"/>
    <n v="7"/>
    <n v="29"/>
    <n v="2025"/>
    <x v="10"/>
    <s v="Q3"/>
    <x v="2"/>
  </r>
  <r>
    <s v="O106873"/>
    <x v="541"/>
    <x v="2"/>
    <x v="2"/>
    <x v="1"/>
    <x v="0"/>
    <n v="8"/>
    <n v="2968698"/>
    <d v="2026-02-22T00:00:00"/>
    <n v="2"/>
    <n v="22"/>
    <n v="2026"/>
    <x v="4"/>
    <s v="Q1"/>
    <x v="1"/>
  </r>
  <r>
    <s v="O103727"/>
    <x v="359"/>
    <x v="9"/>
    <x v="0"/>
    <x v="2"/>
    <x v="2"/>
    <n v="6"/>
    <n v="2967966"/>
    <d v="2025-08-15T00:00:00"/>
    <n v="8"/>
    <n v="15"/>
    <n v="2025"/>
    <x v="8"/>
    <s v="Q3"/>
    <x v="2"/>
  </r>
  <r>
    <s v="O100900"/>
    <x v="623"/>
    <x v="1"/>
    <x v="0"/>
    <x v="3"/>
    <x v="1"/>
    <n v="7"/>
    <n v="2967851"/>
    <d v="2025-02-24T00:00:00"/>
    <n v="2"/>
    <n v="24"/>
    <n v="2025"/>
    <x v="4"/>
    <s v="Q1"/>
    <x v="3"/>
  </r>
  <r>
    <s v="O101951"/>
    <x v="328"/>
    <x v="4"/>
    <x v="0"/>
    <x v="2"/>
    <x v="2"/>
    <n v="8"/>
    <n v="2967138"/>
    <d v="2025-04-29T00:00:00"/>
    <n v="4"/>
    <n v="29"/>
    <n v="2025"/>
    <x v="11"/>
    <s v="Q2"/>
    <x v="2"/>
  </r>
  <r>
    <s v="O101125"/>
    <x v="125"/>
    <x v="4"/>
    <x v="2"/>
    <x v="0"/>
    <x v="3"/>
    <n v="10"/>
    <n v="2967137"/>
    <d v="2025-10-03T00:00:00"/>
    <n v="10"/>
    <n v="3"/>
    <n v="2025"/>
    <x v="9"/>
    <s v="Q4"/>
    <x v="0"/>
  </r>
  <r>
    <s v="O110853"/>
    <x v="410"/>
    <x v="8"/>
    <x v="2"/>
    <x v="3"/>
    <x v="1"/>
    <n v="8"/>
    <n v="2965313"/>
    <d v="2026-10-22T00:00:00"/>
    <n v="10"/>
    <n v="22"/>
    <n v="2026"/>
    <x v="9"/>
    <s v="Q4"/>
    <x v="3"/>
  </r>
  <r>
    <s v="O106044"/>
    <x v="348"/>
    <x v="10"/>
    <x v="0"/>
    <x v="4"/>
    <x v="0"/>
    <n v="6"/>
    <n v="2964120"/>
    <d v="2026-03-01T00:00:00"/>
    <n v="3"/>
    <n v="1"/>
    <n v="2026"/>
    <x v="5"/>
    <s v="Q1"/>
    <x v="4"/>
  </r>
  <r>
    <s v="O106391"/>
    <x v="624"/>
    <x v="10"/>
    <x v="0"/>
    <x v="4"/>
    <x v="2"/>
    <n v="8"/>
    <n v="2963585"/>
    <d v="2026-01-24T00:00:00"/>
    <n v="1"/>
    <n v="24"/>
    <n v="2026"/>
    <x v="6"/>
    <s v="Q1"/>
    <x v="4"/>
  </r>
  <r>
    <s v="O102411"/>
    <x v="625"/>
    <x v="3"/>
    <x v="2"/>
    <x v="3"/>
    <x v="2"/>
    <n v="8"/>
    <n v="2963112"/>
    <d v="2025-05-27T00:00:00"/>
    <n v="5"/>
    <n v="27"/>
    <n v="2025"/>
    <x v="3"/>
    <s v="Q2"/>
    <x v="3"/>
  </r>
  <r>
    <s v="O111291"/>
    <x v="386"/>
    <x v="4"/>
    <x v="2"/>
    <x v="3"/>
    <x v="0"/>
    <n v="10"/>
    <n v="2960771"/>
    <d v="2026-11-17T00:00:00"/>
    <n v="11"/>
    <n v="17"/>
    <n v="2026"/>
    <x v="0"/>
    <s v="Q4"/>
    <x v="3"/>
  </r>
  <r>
    <s v="O106692"/>
    <x v="341"/>
    <x v="3"/>
    <x v="0"/>
    <x v="1"/>
    <x v="1"/>
    <n v="6"/>
    <n v="2960623"/>
    <d v="2026-11-02T00:00:00"/>
    <n v="11"/>
    <n v="2"/>
    <n v="2026"/>
    <x v="0"/>
    <m/>
    <x v="1"/>
  </r>
  <r>
    <s v="O108550"/>
    <x v="190"/>
    <x v="8"/>
    <x v="0"/>
    <x v="2"/>
    <x v="3"/>
    <n v="6"/>
    <n v="2960215"/>
    <d v="2026-04-06T00:00:00"/>
    <n v="4"/>
    <n v="6"/>
    <n v="2026"/>
    <x v="11"/>
    <s v="Q2"/>
    <x v="2"/>
  </r>
  <r>
    <s v="O101436"/>
    <x v="151"/>
    <x v="2"/>
    <x v="0"/>
    <x v="2"/>
    <x v="2"/>
    <n v="8"/>
    <n v="2958985"/>
    <d v="2025-03-29T00:00:00"/>
    <n v="3"/>
    <n v="29"/>
    <n v="2025"/>
    <x v="5"/>
    <s v="Q1"/>
    <x v="2"/>
  </r>
  <r>
    <s v="O107576"/>
    <x v="626"/>
    <x v="3"/>
    <x v="0"/>
    <x v="3"/>
    <x v="3"/>
    <n v="6"/>
    <n v="2958077"/>
    <d v="2026-06-04T00:00:00"/>
    <n v="6"/>
    <n v="4"/>
    <n v="2026"/>
    <x v="2"/>
    <s v="Q2"/>
    <x v="3"/>
  </r>
  <r>
    <s v="O103246"/>
    <x v="520"/>
    <x v="6"/>
    <x v="0"/>
    <x v="4"/>
    <x v="2"/>
    <n v="8"/>
    <n v="2955144"/>
    <d v="2025-07-17T00:00:00"/>
    <n v="7"/>
    <n v="17"/>
    <n v="2025"/>
    <x v="10"/>
    <s v="Q3"/>
    <x v="4"/>
  </r>
  <r>
    <s v="O106813"/>
    <x v="627"/>
    <x v="2"/>
    <x v="0"/>
    <x v="0"/>
    <x v="0"/>
    <n v="6"/>
    <n v="2954827"/>
    <d v="2026-02-18T00:00:00"/>
    <n v="2"/>
    <n v="18"/>
    <n v="2026"/>
    <x v="4"/>
    <s v="Q1"/>
    <x v="0"/>
  </r>
  <r>
    <s v="O110982"/>
    <x v="601"/>
    <x v="6"/>
    <x v="2"/>
    <x v="1"/>
    <x v="3"/>
    <n v="9"/>
    <n v="2954180"/>
    <d v="2026-10-30T00:00:00"/>
    <n v="10"/>
    <n v="30"/>
    <n v="2026"/>
    <x v="9"/>
    <s v="Q4"/>
    <x v="1"/>
  </r>
  <r>
    <s v="O103675"/>
    <x v="628"/>
    <x v="10"/>
    <x v="2"/>
    <x v="4"/>
    <x v="1"/>
    <n v="9"/>
    <n v="2954164"/>
    <d v="2025-12-08T00:00:00"/>
    <n v="12"/>
    <n v="8"/>
    <n v="2025"/>
    <x v="7"/>
    <s v="Q4"/>
    <x v="4"/>
  </r>
  <r>
    <s v="O101581"/>
    <x v="513"/>
    <x v="9"/>
    <x v="0"/>
    <x v="4"/>
    <x v="0"/>
    <n v="7"/>
    <n v="2953995"/>
    <d v="2025-06-04T00:00:00"/>
    <n v="6"/>
    <n v="4"/>
    <n v="2025"/>
    <x v="2"/>
    <s v="Q2"/>
    <x v="4"/>
  </r>
  <r>
    <s v="O100471"/>
    <x v="324"/>
    <x v="6"/>
    <x v="0"/>
    <x v="1"/>
    <x v="0"/>
    <n v="8"/>
    <n v="2953878"/>
    <d v="2025-01-29T00:00:00"/>
    <n v="1"/>
    <n v="29"/>
    <n v="2025"/>
    <x v="6"/>
    <m/>
    <x v="1"/>
  </r>
  <r>
    <s v="O105463"/>
    <x v="534"/>
    <x v="0"/>
    <x v="0"/>
    <x v="4"/>
    <x v="0"/>
    <n v="7"/>
    <n v="2953759"/>
    <d v="2025-11-28T00:00:00"/>
    <n v="11"/>
    <n v="28"/>
    <n v="2025"/>
    <x v="0"/>
    <s v="Q4"/>
    <x v="4"/>
  </r>
  <r>
    <s v="O101550"/>
    <x v="629"/>
    <x v="5"/>
    <x v="2"/>
    <x v="1"/>
    <x v="1"/>
    <n v="9"/>
    <n v="2952513"/>
    <d v="2025-05-04T00:00:00"/>
    <n v="5"/>
    <n v="4"/>
    <n v="2025"/>
    <x v="3"/>
    <s v="Q2"/>
    <x v="1"/>
  </r>
  <r>
    <s v="O101340"/>
    <x v="515"/>
    <x v="0"/>
    <x v="0"/>
    <x v="3"/>
    <x v="2"/>
    <n v="8"/>
    <n v="2951568"/>
    <d v="2025-03-23T00:00:00"/>
    <n v="3"/>
    <n v="23"/>
    <n v="2025"/>
    <x v="5"/>
    <s v="Q1"/>
    <x v="3"/>
  </r>
  <r>
    <s v="O107273"/>
    <x v="591"/>
    <x v="9"/>
    <x v="2"/>
    <x v="4"/>
    <x v="1"/>
    <n v="8"/>
    <n v="2949400"/>
    <d v="2026-03-18T00:00:00"/>
    <n v="3"/>
    <n v="18"/>
    <n v="2026"/>
    <x v="5"/>
    <s v="Q1"/>
    <x v="4"/>
  </r>
  <r>
    <s v="O109400"/>
    <x v="538"/>
    <x v="9"/>
    <x v="0"/>
    <x v="1"/>
    <x v="1"/>
    <n v="8"/>
    <n v="2948565"/>
    <d v="2026-07-26T00:00:00"/>
    <n v="7"/>
    <n v="26"/>
    <n v="2026"/>
    <x v="10"/>
    <m/>
    <x v="1"/>
  </r>
  <r>
    <s v="O107160"/>
    <x v="630"/>
    <x v="6"/>
    <x v="2"/>
    <x v="2"/>
    <x v="1"/>
    <n v="10"/>
    <n v="2948522"/>
    <d v="2026-11-03T00:00:00"/>
    <n v="11"/>
    <n v="3"/>
    <n v="2026"/>
    <x v="0"/>
    <s v="Q4"/>
    <x v="2"/>
  </r>
  <r>
    <s v="O105230"/>
    <x v="631"/>
    <x v="1"/>
    <x v="2"/>
    <x v="4"/>
    <x v="3"/>
    <n v="10"/>
    <n v="2946259"/>
    <d v="2025-11-14T00:00:00"/>
    <n v="11"/>
    <n v="14"/>
    <n v="2025"/>
    <x v="0"/>
    <s v="Q4"/>
    <x v="4"/>
  </r>
  <r>
    <s v="O108201"/>
    <x v="389"/>
    <x v="5"/>
    <x v="0"/>
    <x v="2"/>
    <x v="3"/>
    <n v="8"/>
    <n v="2945702"/>
    <d v="2026-05-14T00:00:00"/>
    <n v="5"/>
    <n v="14"/>
    <n v="2026"/>
    <x v="3"/>
    <s v="Q2"/>
    <x v="2"/>
  </r>
  <r>
    <s v="O104082"/>
    <x v="580"/>
    <x v="9"/>
    <x v="0"/>
    <x v="4"/>
    <x v="1"/>
    <n v="7"/>
    <n v="2944345"/>
    <d v="2025-05-09T00:00:00"/>
    <n v="5"/>
    <n v="9"/>
    <n v="2025"/>
    <x v="3"/>
    <s v="Q2"/>
    <x v="4"/>
  </r>
  <r>
    <s v="O101154"/>
    <x v="57"/>
    <x v="6"/>
    <x v="2"/>
    <x v="4"/>
    <x v="3"/>
    <n v="8"/>
    <n v="2943741"/>
    <d v="2025-12-03T00:00:00"/>
    <n v="12"/>
    <n v="3"/>
    <n v="2025"/>
    <x v="7"/>
    <s v="Q4"/>
    <x v="4"/>
  </r>
  <r>
    <s v="O104906"/>
    <x v="267"/>
    <x v="3"/>
    <x v="0"/>
    <x v="0"/>
    <x v="2"/>
    <n v="7"/>
    <n v="2943511"/>
    <d v="2025-10-26T00:00:00"/>
    <n v="10"/>
    <n v="26"/>
    <n v="2025"/>
    <x v="9"/>
    <s v="Q4"/>
    <x v="0"/>
  </r>
  <r>
    <s v="O110722"/>
    <x v="254"/>
    <x v="4"/>
    <x v="0"/>
    <x v="0"/>
    <x v="2"/>
    <n v="8"/>
    <n v="2942626"/>
    <d v="2026-10-14T00:00:00"/>
    <n v="10"/>
    <n v="14"/>
    <n v="2026"/>
    <x v="9"/>
    <s v="Q4"/>
    <x v="0"/>
  </r>
  <r>
    <s v="O108430"/>
    <x v="476"/>
    <x v="6"/>
    <x v="0"/>
    <x v="2"/>
    <x v="2"/>
    <n v="7"/>
    <n v="2942395"/>
    <d v="2026-05-28T00:00:00"/>
    <n v="5"/>
    <n v="28"/>
    <n v="2026"/>
    <x v="3"/>
    <s v="Q2"/>
    <x v="2"/>
  </r>
  <r>
    <s v="O111456"/>
    <x v="66"/>
    <x v="6"/>
    <x v="0"/>
    <x v="3"/>
    <x v="2"/>
    <n v="8"/>
    <n v="2940474"/>
    <d v="2026-11-27T00:00:00"/>
    <n v="11"/>
    <n v="27"/>
    <n v="2026"/>
    <x v="0"/>
    <s v="Q4"/>
    <x v="3"/>
  </r>
  <r>
    <s v="O102911"/>
    <x v="632"/>
    <x v="6"/>
    <x v="0"/>
    <x v="0"/>
    <x v="2"/>
    <n v="7"/>
    <n v="2940138"/>
    <d v="2025-06-26T00:00:00"/>
    <n v="6"/>
    <n v="26"/>
    <n v="2025"/>
    <x v="2"/>
    <s v="Q2"/>
    <x v="0"/>
  </r>
  <r>
    <s v="O106780"/>
    <x v="428"/>
    <x v="0"/>
    <x v="0"/>
    <x v="2"/>
    <x v="4"/>
    <n v="6"/>
    <n v="2939073"/>
    <d v="2026-02-16T00:00:00"/>
    <n v="2"/>
    <n v="16"/>
    <n v="2026"/>
    <x v="4"/>
    <s v="Q1"/>
    <x v="2"/>
  </r>
  <r>
    <s v="O100038"/>
    <x v="453"/>
    <x v="9"/>
    <x v="0"/>
    <x v="4"/>
    <x v="1"/>
    <n v="7"/>
    <n v="2938402"/>
    <d v="2025-03-01T00:00:00"/>
    <n v="3"/>
    <n v="1"/>
    <n v="2025"/>
    <x v="5"/>
    <s v="Q1"/>
    <x v="4"/>
  </r>
  <r>
    <s v="O107849"/>
    <x v="590"/>
    <x v="4"/>
    <x v="0"/>
    <x v="2"/>
    <x v="1"/>
    <n v="6"/>
    <n v="2936477"/>
    <d v="2026-04-22T00:00:00"/>
    <n v="4"/>
    <n v="22"/>
    <n v="2026"/>
    <x v="11"/>
    <s v="Q2"/>
    <x v="2"/>
  </r>
  <r>
    <s v="O100544"/>
    <x v="122"/>
    <x v="10"/>
    <x v="2"/>
    <x v="3"/>
    <x v="1"/>
    <n v="9"/>
    <n v="2935937"/>
    <d v="2025-02-02T00:00:00"/>
    <n v="2"/>
    <n v="2"/>
    <n v="2025"/>
    <x v="4"/>
    <s v="Q1"/>
    <x v="3"/>
  </r>
  <r>
    <s v="O100477"/>
    <x v="333"/>
    <x v="1"/>
    <x v="0"/>
    <x v="2"/>
    <x v="0"/>
    <n v="7"/>
    <n v="2931993"/>
    <d v="2025-01-29T00:00:00"/>
    <n v="1"/>
    <n v="29"/>
    <n v="2025"/>
    <x v="6"/>
    <s v="Q1"/>
    <x v="2"/>
  </r>
  <r>
    <s v="O108306"/>
    <x v="423"/>
    <x v="5"/>
    <x v="0"/>
    <x v="2"/>
    <x v="1"/>
    <n v="6"/>
    <n v="2929221"/>
    <d v="2026-05-20T00:00:00"/>
    <n v="5"/>
    <n v="20"/>
    <n v="2026"/>
    <x v="3"/>
    <s v="Q2"/>
    <x v="2"/>
  </r>
  <r>
    <s v="O106738"/>
    <x v="633"/>
    <x v="2"/>
    <x v="0"/>
    <x v="0"/>
    <x v="3"/>
    <n v="8"/>
    <n v="2929124"/>
    <d v="2026-02-14T00:00:00"/>
    <n v="2"/>
    <n v="14"/>
    <n v="2026"/>
    <x v="4"/>
    <s v="Q1"/>
    <x v="0"/>
  </r>
  <r>
    <s v="O104899"/>
    <x v="511"/>
    <x v="8"/>
    <x v="0"/>
    <x v="2"/>
    <x v="1"/>
    <n v="6"/>
    <n v="2929090"/>
    <d v="2025-10-25T00:00:00"/>
    <n v="10"/>
    <n v="25"/>
    <n v="2025"/>
    <x v="9"/>
    <s v="Q4"/>
    <x v="2"/>
  </r>
  <r>
    <s v="O101336"/>
    <x v="560"/>
    <x v="3"/>
    <x v="2"/>
    <x v="1"/>
    <x v="3"/>
    <n v="8"/>
    <n v="2927392"/>
    <d v="2025-03-23T00:00:00"/>
    <n v="3"/>
    <n v="23"/>
    <n v="2025"/>
    <x v="5"/>
    <s v="Q1"/>
    <x v="1"/>
  </r>
  <r>
    <s v="O101596"/>
    <x v="454"/>
    <x v="9"/>
    <x v="2"/>
    <x v="4"/>
    <x v="0"/>
    <n v="9"/>
    <n v="2927251"/>
    <d v="2025-07-04T00:00:00"/>
    <n v="7"/>
    <n v="4"/>
    <n v="2025"/>
    <x v="10"/>
    <s v="Q3"/>
    <x v="4"/>
  </r>
  <r>
    <s v="O108607"/>
    <x v="634"/>
    <x v="4"/>
    <x v="2"/>
    <x v="2"/>
    <x v="0"/>
    <n v="9"/>
    <n v="2926843"/>
    <d v="2026-07-06T00:00:00"/>
    <n v="7"/>
    <n v="6"/>
    <n v="2026"/>
    <x v="10"/>
    <s v="Q3"/>
    <x v="2"/>
  </r>
  <r>
    <s v="O109372"/>
    <x v="535"/>
    <x v="9"/>
    <x v="0"/>
    <x v="1"/>
    <x v="3"/>
    <n v="6"/>
    <n v="2925507"/>
    <d v="2026-07-24T00:00:00"/>
    <n v="7"/>
    <n v="24"/>
    <n v="2026"/>
    <x v="10"/>
    <s v="Q3"/>
    <x v="1"/>
  </r>
  <r>
    <s v="O100971"/>
    <x v="486"/>
    <x v="9"/>
    <x v="2"/>
    <x v="4"/>
    <x v="3"/>
    <n v="8"/>
    <n v="2924924"/>
    <d v="2025-02-28T00:00:00"/>
    <n v="2"/>
    <n v="28"/>
    <n v="2025"/>
    <x v="4"/>
    <s v="Q1"/>
    <x v="4"/>
  </r>
  <r>
    <s v="O102727"/>
    <x v="261"/>
    <x v="8"/>
    <x v="0"/>
    <x v="1"/>
    <x v="3"/>
    <n v="7"/>
    <n v="2923736"/>
    <d v="2025-06-15T00:00:00"/>
    <n v="6"/>
    <n v="15"/>
    <n v="2025"/>
    <x v="2"/>
    <s v="Q2"/>
    <x v="1"/>
  </r>
  <r>
    <s v="O111844"/>
    <x v="390"/>
    <x v="2"/>
    <x v="2"/>
    <x v="3"/>
    <x v="1"/>
    <n v="8"/>
    <n v="2923535"/>
    <d v="2026-12-21T00:00:00"/>
    <n v="12"/>
    <n v="21"/>
    <n v="2026"/>
    <x v="7"/>
    <s v="Q4"/>
    <x v="3"/>
  </r>
  <r>
    <s v="O109562"/>
    <x v="382"/>
    <x v="0"/>
    <x v="0"/>
    <x v="3"/>
    <x v="3"/>
    <n v="7"/>
    <n v="2923507"/>
    <d v="2026-04-08T00:00:00"/>
    <n v="4"/>
    <n v="8"/>
    <n v="2026"/>
    <x v="11"/>
    <s v="Q2"/>
    <x v="3"/>
  </r>
  <r>
    <s v="O106170"/>
    <x v="348"/>
    <x v="8"/>
    <x v="0"/>
    <x v="0"/>
    <x v="1"/>
    <n v="6"/>
    <n v="2923239"/>
    <d v="2026-10-01T00:00:00"/>
    <n v="10"/>
    <n v="1"/>
    <n v="2026"/>
    <x v="9"/>
    <s v="Q4"/>
    <x v="0"/>
  </r>
  <r>
    <s v="O102823"/>
    <x v="484"/>
    <x v="10"/>
    <x v="2"/>
    <x v="0"/>
    <x v="2"/>
    <n v="9"/>
    <n v="2921190"/>
    <d v="2025-06-21T00:00:00"/>
    <n v="6"/>
    <n v="21"/>
    <n v="2025"/>
    <x v="2"/>
    <s v="Q2"/>
    <x v="0"/>
  </r>
  <r>
    <s v="O100334"/>
    <x v="635"/>
    <x v="10"/>
    <x v="0"/>
    <x v="3"/>
    <x v="1"/>
    <n v="7"/>
    <n v="2920547"/>
    <d v="2025-01-21T00:00:00"/>
    <n v="1"/>
    <n v="21"/>
    <n v="2025"/>
    <x v="6"/>
    <s v="Q1"/>
    <x v="3"/>
  </r>
  <r>
    <s v="O101885"/>
    <x v="219"/>
    <x v="4"/>
    <x v="0"/>
    <x v="4"/>
    <x v="0"/>
    <n v="6"/>
    <n v="2920444"/>
    <d v="2025-04-25T00:00:00"/>
    <n v="4"/>
    <n v="25"/>
    <n v="2025"/>
    <x v="11"/>
    <s v="Q2"/>
    <x v="4"/>
  </r>
  <r>
    <s v="O110734"/>
    <x v="115"/>
    <x v="9"/>
    <x v="2"/>
    <x v="2"/>
    <x v="1"/>
    <n v="8"/>
    <n v="2919646"/>
    <d v="2026-10-15T00:00:00"/>
    <n v="10"/>
    <n v="15"/>
    <n v="2026"/>
    <x v="9"/>
    <s v="Q4"/>
    <x v="2"/>
  </r>
  <r>
    <s v="O107223"/>
    <x v="617"/>
    <x v="4"/>
    <x v="0"/>
    <x v="0"/>
    <x v="3"/>
    <n v="7"/>
    <n v="2918312"/>
    <d v="2026-03-15T00:00:00"/>
    <n v="3"/>
    <n v="15"/>
    <n v="2026"/>
    <x v="5"/>
    <s v="Q1"/>
    <x v="0"/>
  </r>
  <r>
    <s v="O103731"/>
    <x v="93"/>
    <x v="10"/>
    <x v="0"/>
    <x v="4"/>
    <x v="3"/>
    <n v="6"/>
    <n v="2915406"/>
    <d v="2025-08-15T00:00:00"/>
    <n v="8"/>
    <n v="15"/>
    <n v="2025"/>
    <x v="8"/>
    <s v="Q3"/>
    <x v="4"/>
  </r>
  <r>
    <s v="O110705"/>
    <x v="151"/>
    <x v="5"/>
    <x v="0"/>
    <x v="4"/>
    <x v="1"/>
    <n v="7"/>
    <n v="2911715"/>
    <d v="2026-10-13T00:00:00"/>
    <n v="10"/>
    <n v="13"/>
    <n v="2026"/>
    <x v="9"/>
    <s v="Q4"/>
    <x v="4"/>
  </r>
  <r>
    <s v="O103728"/>
    <x v="291"/>
    <x v="10"/>
    <x v="0"/>
    <x v="2"/>
    <x v="2"/>
    <n v="7"/>
    <n v="2911397"/>
    <d v="2025-08-15T00:00:00"/>
    <n v="8"/>
    <n v="15"/>
    <n v="2025"/>
    <x v="8"/>
    <s v="Q3"/>
    <x v="2"/>
  </r>
  <r>
    <s v="O108748"/>
    <x v="636"/>
    <x v="6"/>
    <x v="0"/>
    <x v="0"/>
    <x v="3"/>
    <n v="8"/>
    <n v="2911246"/>
    <d v="2026-06-16T00:00:00"/>
    <n v="6"/>
    <n v="16"/>
    <n v="2026"/>
    <x v="2"/>
    <s v="Q2"/>
    <x v="0"/>
  </r>
  <r>
    <s v="O108100"/>
    <x v="356"/>
    <x v="3"/>
    <x v="2"/>
    <x v="1"/>
    <x v="2"/>
    <n v="8"/>
    <n v="2910275"/>
    <d v="2026-08-05T00:00:00"/>
    <n v="8"/>
    <n v="5"/>
    <n v="2026"/>
    <x v="8"/>
    <m/>
    <x v="1"/>
  </r>
  <r>
    <s v="O108860"/>
    <x v="221"/>
    <x v="6"/>
    <x v="2"/>
    <x v="0"/>
    <x v="1"/>
    <n v="10"/>
    <n v="2907614"/>
    <d v="2026-06-23T00:00:00"/>
    <n v="6"/>
    <n v="23"/>
    <n v="2026"/>
    <x v="2"/>
    <s v="Q2"/>
    <x v="0"/>
  </r>
  <r>
    <s v="O111766"/>
    <x v="475"/>
    <x v="4"/>
    <x v="2"/>
    <x v="0"/>
    <x v="1"/>
    <n v="10"/>
    <n v="2907455"/>
    <d v="2026-12-16T00:00:00"/>
    <n v="12"/>
    <n v="16"/>
    <n v="2026"/>
    <x v="7"/>
    <s v="Q4"/>
    <x v="0"/>
  </r>
  <r>
    <s v="O102813"/>
    <x v="620"/>
    <x v="10"/>
    <x v="2"/>
    <x v="2"/>
    <x v="1"/>
    <n v="8"/>
    <n v="2905681"/>
    <d v="2025-06-20T00:00:00"/>
    <n v="6"/>
    <n v="20"/>
    <n v="2025"/>
    <x v="2"/>
    <s v="Q2"/>
    <x v="2"/>
  </r>
  <r>
    <s v="O111317"/>
    <x v="637"/>
    <x v="0"/>
    <x v="2"/>
    <x v="2"/>
    <x v="3"/>
    <n v="9"/>
    <n v="2904064"/>
    <d v="2026-11-19T00:00:00"/>
    <n v="11"/>
    <n v="19"/>
    <n v="2026"/>
    <x v="0"/>
    <s v="Q4"/>
    <x v="2"/>
  </r>
  <r>
    <s v="O100868"/>
    <x v="638"/>
    <x v="3"/>
    <x v="0"/>
    <x v="2"/>
    <x v="2"/>
    <n v="7"/>
    <n v="2903455"/>
    <d v="2025-02-22T00:00:00"/>
    <n v="2"/>
    <n v="22"/>
    <n v="2025"/>
    <x v="4"/>
    <s v="Q1"/>
    <x v="2"/>
  </r>
  <r>
    <s v="O109583"/>
    <x v="482"/>
    <x v="0"/>
    <x v="0"/>
    <x v="3"/>
    <x v="0"/>
    <n v="7"/>
    <n v="2903235"/>
    <d v="2026-06-08T00:00:00"/>
    <n v="6"/>
    <n v="8"/>
    <n v="2026"/>
    <x v="2"/>
    <s v="Q2"/>
    <x v="3"/>
  </r>
  <r>
    <s v="O108781"/>
    <x v="639"/>
    <x v="8"/>
    <x v="0"/>
    <x v="1"/>
    <x v="3"/>
    <n v="6"/>
    <n v="2902334"/>
    <d v="2026-06-18T00:00:00"/>
    <n v="6"/>
    <n v="18"/>
    <n v="2026"/>
    <x v="2"/>
    <s v="Q2"/>
    <x v="1"/>
  </r>
  <r>
    <s v="O101612"/>
    <x v="553"/>
    <x v="9"/>
    <x v="2"/>
    <x v="2"/>
    <x v="0"/>
    <n v="10"/>
    <n v="2900971"/>
    <d v="2025-08-04T00:00:00"/>
    <n v="8"/>
    <n v="4"/>
    <n v="2025"/>
    <x v="8"/>
    <s v="Q3"/>
    <x v="2"/>
  </r>
  <r>
    <s v="O108479"/>
    <x v="594"/>
    <x v="6"/>
    <x v="2"/>
    <x v="2"/>
    <x v="0"/>
    <n v="10"/>
    <n v="2900116"/>
    <d v="2026-05-31T00:00:00"/>
    <n v="5"/>
    <n v="31"/>
    <n v="2026"/>
    <x v="3"/>
    <s v="Q2"/>
    <x v="2"/>
  </r>
  <r>
    <s v="O101401"/>
    <x v="627"/>
    <x v="0"/>
    <x v="0"/>
    <x v="2"/>
    <x v="0"/>
    <n v="6"/>
    <n v="2899246"/>
    <d v="2025-03-27T00:00:00"/>
    <n v="3"/>
    <n v="27"/>
    <n v="2025"/>
    <x v="5"/>
    <s v="Q1"/>
    <x v="2"/>
  </r>
  <r>
    <s v="O100589"/>
    <x v="97"/>
    <x v="8"/>
    <x v="0"/>
    <x v="4"/>
    <x v="1"/>
    <n v="8"/>
    <n v="2898219"/>
    <d v="2025-05-02T00:00:00"/>
    <n v="5"/>
    <n v="2"/>
    <n v="2025"/>
    <x v="3"/>
    <s v="Q2"/>
    <x v="4"/>
  </r>
  <r>
    <s v="O103340"/>
    <x v="518"/>
    <x v="8"/>
    <x v="2"/>
    <x v="0"/>
    <x v="3"/>
    <n v="8"/>
    <n v="2897303"/>
    <d v="2025-07-22T00:00:00"/>
    <n v="7"/>
    <n v="22"/>
    <n v="2025"/>
    <x v="10"/>
    <s v="Q3"/>
    <x v="0"/>
  </r>
  <r>
    <s v="O108614"/>
    <x v="474"/>
    <x v="3"/>
    <x v="0"/>
    <x v="3"/>
    <x v="0"/>
    <n v="6"/>
    <n v="2897228"/>
    <d v="2026-08-06T00:00:00"/>
    <n v="8"/>
    <n v="6"/>
    <n v="2026"/>
    <x v="8"/>
    <s v="Q3"/>
    <x v="3"/>
  </r>
  <r>
    <s v="O103148"/>
    <x v="144"/>
    <x v="1"/>
    <x v="2"/>
    <x v="5"/>
    <x v="2"/>
    <n v="9"/>
    <n v="2896498"/>
    <d v="2025-11-07T00:00:00"/>
    <n v="11"/>
    <n v="7"/>
    <n v="2025"/>
    <x v="0"/>
    <s v="Q4"/>
    <x v="5"/>
  </r>
  <r>
    <s v="O107267"/>
    <x v="640"/>
    <x v="2"/>
    <x v="0"/>
    <x v="3"/>
    <x v="1"/>
    <n v="8"/>
    <n v="2894223"/>
    <d v="2026-03-18T00:00:00"/>
    <n v="3"/>
    <n v="18"/>
    <n v="2026"/>
    <x v="5"/>
    <s v="Q1"/>
    <x v="3"/>
  </r>
  <r>
    <s v="O105972"/>
    <x v="245"/>
    <x v="1"/>
    <x v="0"/>
    <x v="4"/>
    <x v="2"/>
    <n v="6"/>
    <n v="2892145"/>
    <d v="2025-12-29T00:00:00"/>
    <n v="12"/>
    <n v="29"/>
    <n v="2025"/>
    <x v="7"/>
    <s v="Q4"/>
    <x v="4"/>
  </r>
  <r>
    <s v="O107231"/>
    <x v="240"/>
    <x v="0"/>
    <x v="0"/>
    <x v="0"/>
    <x v="1"/>
    <n v="7"/>
    <n v="2891570"/>
    <d v="2026-03-16T00:00:00"/>
    <n v="3"/>
    <n v="16"/>
    <n v="2026"/>
    <x v="5"/>
    <s v="Q1"/>
    <x v="0"/>
  </r>
  <r>
    <s v="O111867"/>
    <x v="279"/>
    <x v="10"/>
    <x v="0"/>
    <x v="0"/>
    <x v="2"/>
    <n v="8"/>
    <n v="2889768"/>
    <d v="2026-12-22T00:00:00"/>
    <n v="12"/>
    <n v="22"/>
    <n v="2026"/>
    <x v="7"/>
    <s v="Q4"/>
    <x v="0"/>
  </r>
  <r>
    <s v="O103009"/>
    <x v="55"/>
    <x v="6"/>
    <x v="2"/>
    <x v="3"/>
    <x v="1"/>
    <n v="9"/>
    <n v="2888194"/>
    <d v="2025-02-07T00:00:00"/>
    <n v="2"/>
    <n v="7"/>
    <n v="2025"/>
    <x v="4"/>
    <s v="Q1"/>
    <x v="3"/>
  </r>
  <r>
    <s v="O101940"/>
    <x v="74"/>
    <x v="4"/>
    <x v="0"/>
    <x v="3"/>
    <x v="2"/>
    <n v="8"/>
    <n v="2887324"/>
    <d v="2025-04-28T00:00:00"/>
    <n v="4"/>
    <n v="28"/>
    <n v="2025"/>
    <x v="11"/>
    <s v="Q2"/>
    <x v="3"/>
  </r>
  <r>
    <s v="O107590"/>
    <x v="14"/>
    <x v="9"/>
    <x v="0"/>
    <x v="2"/>
    <x v="1"/>
    <n v="7"/>
    <n v="2885988"/>
    <d v="2026-07-04T00:00:00"/>
    <n v="7"/>
    <n v="4"/>
    <n v="2026"/>
    <x v="10"/>
    <s v="Q3"/>
    <x v="2"/>
  </r>
  <r>
    <s v="O100895"/>
    <x v="18"/>
    <x v="9"/>
    <x v="2"/>
    <x v="2"/>
    <x v="1"/>
    <n v="8"/>
    <n v="2884913"/>
    <d v="2025-02-24T00:00:00"/>
    <n v="2"/>
    <n v="24"/>
    <n v="2025"/>
    <x v="4"/>
    <s v="Q1"/>
    <x v="2"/>
  </r>
  <r>
    <s v="O111007"/>
    <x v="612"/>
    <x v="3"/>
    <x v="2"/>
    <x v="2"/>
    <x v="2"/>
    <n v="8"/>
    <n v="2884585"/>
    <d v="2026-10-31T00:00:00"/>
    <n v="10"/>
    <n v="31"/>
    <n v="2026"/>
    <x v="9"/>
    <s v="Q4"/>
    <x v="2"/>
  </r>
  <r>
    <s v="O104509"/>
    <x v="572"/>
    <x v="8"/>
    <x v="2"/>
    <x v="0"/>
    <x v="0"/>
    <n v="10"/>
    <n v="2882402"/>
    <d v="2025-01-10T00:00:00"/>
    <n v="1"/>
    <n v="10"/>
    <n v="2025"/>
    <x v="6"/>
    <s v="Q1"/>
    <x v="0"/>
  </r>
  <r>
    <s v="O110398"/>
    <x v="154"/>
    <x v="4"/>
    <x v="2"/>
    <x v="1"/>
    <x v="3"/>
    <n v="9"/>
    <n v="2882218"/>
    <d v="2026-09-24T00:00:00"/>
    <n v="9"/>
    <n v="24"/>
    <n v="2026"/>
    <x v="1"/>
    <s v="Q3"/>
    <x v="1"/>
  </r>
  <r>
    <s v="O100099"/>
    <x v="641"/>
    <x v="2"/>
    <x v="0"/>
    <x v="4"/>
    <x v="0"/>
    <n v="7"/>
    <n v="2882014"/>
    <d v="2025-06-01T00:00:00"/>
    <n v="6"/>
    <n v="1"/>
    <n v="2025"/>
    <x v="2"/>
    <s v="Q2"/>
    <x v="4"/>
  </r>
  <r>
    <s v="O106436"/>
    <x v="6"/>
    <x v="0"/>
    <x v="2"/>
    <x v="1"/>
    <x v="1"/>
    <n v="8"/>
    <n v="2879640"/>
    <d v="2026-01-26T00:00:00"/>
    <n v="1"/>
    <n v="26"/>
    <n v="2026"/>
    <x v="6"/>
    <s v="Q1"/>
    <x v="1"/>
  </r>
  <r>
    <s v="O104848"/>
    <x v="369"/>
    <x v="3"/>
    <x v="0"/>
    <x v="0"/>
    <x v="3"/>
    <n v="6"/>
    <n v="2879156"/>
    <d v="2025-10-22T00:00:00"/>
    <n v="10"/>
    <n v="22"/>
    <n v="2025"/>
    <x v="9"/>
    <m/>
    <x v="0"/>
  </r>
  <r>
    <s v="O107482"/>
    <x v="147"/>
    <x v="5"/>
    <x v="0"/>
    <x v="3"/>
    <x v="1"/>
    <n v="7"/>
    <n v="2878976"/>
    <d v="2026-03-31T00:00:00"/>
    <n v="3"/>
    <n v="31"/>
    <n v="2026"/>
    <x v="5"/>
    <s v="Q1"/>
    <x v="3"/>
  </r>
  <r>
    <s v="O105989"/>
    <x v="642"/>
    <x v="3"/>
    <x v="2"/>
    <x v="2"/>
    <x v="3"/>
    <n v="10"/>
    <n v="2877351"/>
    <d v="2025-12-30T00:00:00"/>
    <n v="12"/>
    <n v="30"/>
    <n v="2025"/>
    <x v="7"/>
    <s v="Q4"/>
    <x v="2"/>
  </r>
  <r>
    <s v="O109069"/>
    <x v="334"/>
    <x v="10"/>
    <x v="0"/>
    <x v="4"/>
    <x v="2"/>
    <n v="6"/>
    <n v="2875657"/>
    <d v="2026-05-07T00:00:00"/>
    <n v="5"/>
    <n v="7"/>
    <n v="2026"/>
    <x v="3"/>
    <s v="Q2"/>
    <x v="4"/>
  </r>
  <r>
    <s v="O102050"/>
    <x v="170"/>
    <x v="5"/>
    <x v="0"/>
    <x v="4"/>
    <x v="2"/>
    <n v="7"/>
    <n v="2875485"/>
    <d v="2025-05-05T00:00:00"/>
    <n v="5"/>
    <n v="5"/>
    <n v="2025"/>
    <x v="3"/>
    <s v="Q2"/>
    <x v="4"/>
  </r>
  <r>
    <s v="O101863"/>
    <x v="363"/>
    <x v="8"/>
    <x v="0"/>
    <x v="2"/>
    <x v="2"/>
    <n v="7"/>
    <n v="2875219"/>
    <d v="2025-04-24T00:00:00"/>
    <n v="4"/>
    <n v="24"/>
    <n v="2025"/>
    <x v="11"/>
    <s v="Q2"/>
    <x v="2"/>
  </r>
  <r>
    <s v="O106181"/>
    <x v="643"/>
    <x v="3"/>
    <x v="2"/>
    <x v="1"/>
    <x v="2"/>
    <n v="10"/>
    <n v="2875195"/>
    <d v="2026-11-01T00:00:00"/>
    <n v="11"/>
    <n v="1"/>
    <n v="2026"/>
    <x v="0"/>
    <s v="Q4"/>
    <x v="1"/>
  </r>
  <r>
    <s v="O108074"/>
    <x v="138"/>
    <x v="2"/>
    <x v="2"/>
    <x v="0"/>
    <x v="3"/>
    <n v="8"/>
    <n v="2873437"/>
    <d v="2026-06-05T00:00:00"/>
    <n v="6"/>
    <n v="5"/>
    <n v="2026"/>
    <x v="2"/>
    <s v="Q2"/>
    <x v="0"/>
  </r>
  <r>
    <s v="O104083"/>
    <x v="12"/>
    <x v="6"/>
    <x v="2"/>
    <x v="1"/>
    <x v="2"/>
    <n v="9"/>
    <n v="2872602"/>
    <d v="2025-06-09T00:00:00"/>
    <n v="6"/>
    <n v="9"/>
    <n v="2025"/>
    <x v="2"/>
    <s v="Q2"/>
    <x v="1"/>
  </r>
  <r>
    <s v="O107086"/>
    <x v="510"/>
    <x v="9"/>
    <x v="0"/>
    <x v="1"/>
    <x v="3"/>
    <n v="7"/>
    <n v="2871261"/>
    <d v="2026-07-03T00:00:00"/>
    <n v="7"/>
    <n v="3"/>
    <n v="2026"/>
    <x v="10"/>
    <s v="Q3"/>
    <x v="1"/>
  </r>
  <r>
    <s v="O108416"/>
    <x v="81"/>
    <x v="9"/>
    <x v="0"/>
    <x v="4"/>
    <x v="0"/>
    <n v="7"/>
    <n v="2868412"/>
    <d v="2026-05-27T00:00:00"/>
    <n v="5"/>
    <n v="27"/>
    <n v="2026"/>
    <x v="3"/>
    <s v="Q2"/>
    <x v="4"/>
  </r>
  <r>
    <s v="O100597"/>
    <x v="290"/>
    <x v="10"/>
    <x v="2"/>
    <x v="3"/>
    <x v="1"/>
    <n v="10"/>
    <n v="2867566"/>
    <d v="2025-06-02T00:00:00"/>
    <n v="6"/>
    <n v="2"/>
    <n v="2025"/>
    <x v="2"/>
    <s v="Q2"/>
    <x v="3"/>
  </r>
  <r>
    <s v="O111053"/>
    <x v="630"/>
    <x v="5"/>
    <x v="2"/>
    <x v="2"/>
    <x v="0"/>
    <n v="9"/>
    <n v="2865130"/>
    <d v="2026-03-11T00:00:00"/>
    <n v="3"/>
    <n v="11"/>
    <n v="2026"/>
    <x v="5"/>
    <s v="Q1"/>
    <x v="2"/>
  </r>
  <r>
    <s v="O102600"/>
    <x v="467"/>
    <x v="8"/>
    <x v="0"/>
    <x v="2"/>
    <x v="1"/>
    <n v="6"/>
    <n v="2864322"/>
    <d v="2025-07-06T00:00:00"/>
    <n v="7"/>
    <n v="6"/>
    <n v="2025"/>
    <x v="10"/>
    <m/>
    <x v="2"/>
  </r>
  <r>
    <s v="O111525"/>
    <x v="571"/>
    <x v="0"/>
    <x v="2"/>
    <x v="2"/>
    <x v="0"/>
    <n v="9"/>
    <n v="2864221"/>
    <d v="2026-02-12T00:00:00"/>
    <n v="2"/>
    <n v="12"/>
    <n v="2026"/>
    <x v="4"/>
    <s v="Q1"/>
    <x v="2"/>
  </r>
  <r>
    <s v="O100357"/>
    <x v="188"/>
    <x v="1"/>
    <x v="0"/>
    <x v="3"/>
    <x v="2"/>
    <n v="6"/>
    <n v="2863818"/>
    <d v="2025-01-22T00:00:00"/>
    <n v="1"/>
    <n v="22"/>
    <n v="2025"/>
    <x v="6"/>
    <s v="Q1"/>
    <x v="3"/>
  </r>
  <r>
    <s v="O102686"/>
    <x v="644"/>
    <x v="9"/>
    <x v="0"/>
    <x v="4"/>
    <x v="1"/>
    <n v="7"/>
    <n v="2862936"/>
    <d v="2025-06-13T00:00:00"/>
    <n v="6"/>
    <n v="13"/>
    <n v="2025"/>
    <x v="2"/>
    <s v="Q2"/>
    <x v="4"/>
  </r>
  <r>
    <s v="O105785"/>
    <x v="645"/>
    <x v="4"/>
    <x v="0"/>
    <x v="3"/>
    <x v="3"/>
    <n v="6"/>
    <n v="2862260"/>
    <d v="2025-12-18T00:00:00"/>
    <n v="12"/>
    <n v="18"/>
    <n v="2025"/>
    <x v="7"/>
    <s v="Q4"/>
    <x v="3"/>
  </r>
  <r>
    <s v="O103663"/>
    <x v="646"/>
    <x v="10"/>
    <x v="0"/>
    <x v="1"/>
    <x v="1"/>
    <n v="6"/>
    <n v="2861200"/>
    <d v="2025-11-08T00:00:00"/>
    <n v="11"/>
    <n v="8"/>
    <n v="2025"/>
    <x v="0"/>
    <s v="Q4"/>
    <x v="1"/>
  </r>
  <r>
    <s v="O109587"/>
    <x v="647"/>
    <x v="0"/>
    <x v="0"/>
    <x v="0"/>
    <x v="4"/>
    <n v="7"/>
    <n v="2861016"/>
    <d v="2026-06-08T00:00:00"/>
    <n v="6"/>
    <n v="8"/>
    <n v="2026"/>
    <x v="2"/>
    <s v="Q2"/>
    <x v="0"/>
  </r>
  <r>
    <s v="O100704"/>
    <x v="621"/>
    <x v="9"/>
    <x v="0"/>
    <x v="4"/>
    <x v="0"/>
    <n v="8"/>
    <n v="2860595"/>
    <d v="2025-12-02T00:00:00"/>
    <n v="12"/>
    <n v="2"/>
    <n v="2025"/>
    <x v="7"/>
    <s v="Q4"/>
    <x v="4"/>
  </r>
  <r>
    <s v="O103880"/>
    <x v="322"/>
    <x v="6"/>
    <x v="0"/>
    <x v="0"/>
    <x v="3"/>
    <n v="7"/>
    <n v="2860298"/>
    <d v="2025-08-24T00:00:00"/>
    <n v="8"/>
    <n v="24"/>
    <n v="2025"/>
    <x v="8"/>
    <s v="Q3"/>
    <x v="0"/>
  </r>
  <r>
    <s v="O109337"/>
    <x v="541"/>
    <x v="0"/>
    <x v="2"/>
    <x v="3"/>
    <x v="0"/>
    <n v="9"/>
    <n v="2859605"/>
    <d v="2026-07-22T00:00:00"/>
    <n v="7"/>
    <n v="22"/>
    <n v="2026"/>
    <x v="10"/>
    <s v="Q3"/>
    <x v="3"/>
  </r>
  <r>
    <s v="O101148"/>
    <x v="258"/>
    <x v="9"/>
    <x v="2"/>
    <x v="1"/>
    <x v="2"/>
    <n v="8"/>
    <n v="2859444"/>
    <d v="2025-11-03T00:00:00"/>
    <n v="11"/>
    <n v="3"/>
    <n v="2025"/>
    <x v="0"/>
    <m/>
    <x v="1"/>
  </r>
  <r>
    <s v="O101747"/>
    <x v="640"/>
    <x v="8"/>
    <x v="0"/>
    <x v="4"/>
    <x v="3"/>
    <n v="7"/>
    <n v="2859086"/>
    <d v="2025-04-17T00:00:00"/>
    <n v="4"/>
    <n v="17"/>
    <n v="2025"/>
    <x v="11"/>
    <s v="Q2"/>
    <x v="4"/>
  </r>
  <r>
    <s v="O104928"/>
    <x v="412"/>
    <x v="8"/>
    <x v="0"/>
    <x v="2"/>
    <x v="0"/>
    <n v="7"/>
    <n v="2857329"/>
    <d v="2025-10-27T00:00:00"/>
    <n v="10"/>
    <n v="27"/>
    <n v="2025"/>
    <x v="9"/>
    <s v="Q4"/>
    <x v="2"/>
  </r>
  <r>
    <s v="O111729"/>
    <x v="637"/>
    <x v="0"/>
    <x v="0"/>
    <x v="0"/>
    <x v="1"/>
    <n v="8"/>
    <n v="2855426"/>
    <d v="2026-12-14T00:00:00"/>
    <n v="12"/>
    <n v="14"/>
    <n v="2026"/>
    <x v="7"/>
    <s v="Q4"/>
    <x v="0"/>
  </r>
  <r>
    <s v="O110752"/>
    <x v="648"/>
    <x v="6"/>
    <x v="2"/>
    <x v="4"/>
    <x v="1"/>
    <n v="10"/>
    <n v="2855409"/>
    <d v="2026-10-16T00:00:00"/>
    <n v="10"/>
    <n v="16"/>
    <n v="2026"/>
    <x v="9"/>
    <s v="Q4"/>
    <x v="4"/>
  </r>
  <r>
    <s v="O108824"/>
    <x v="431"/>
    <x v="4"/>
    <x v="0"/>
    <x v="1"/>
    <x v="0"/>
    <n v="7"/>
    <n v="2854841"/>
    <d v="2026-06-21T00:00:00"/>
    <n v="6"/>
    <n v="21"/>
    <n v="2026"/>
    <x v="2"/>
    <s v="Q2"/>
    <x v="1"/>
  </r>
  <r>
    <s v="O108490"/>
    <x v="126"/>
    <x v="5"/>
    <x v="0"/>
    <x v="1"/>
    <x v="3"/>
    <n v="8"/>
    <n v="2854487"/>
    <d v="2026-05-31T00:00:00"/>
    <n v="5"/>
    <n v="31"/>
    <n v="2026"/>
    <x v="3"/>
    <s v="Q2"/>
    <x v="1"/>
  </r>
  <r>
    <s v="O105828"/>
    <x v="34"/>
    <x v="10"/>
    <x v="0"/>
    <x v="3"/>
    <x v="1"/>
    <n v="7"/>
    <n v="2854196"/>
    <d v="2025-12-21T00:00:00"/>
    <n v="12"/>
    <n v="21"/>
    <n v="2025"/>
    <x v="7"/>
    <s v="Q4"/>
    <x v="3"/>
  </r>
  <r>
    <s v="O108481"/>
    <x v="312"/>
    <x v="0"/>
    <x v="0"/>
    <x v="1"/>
    <x v="3"/>
    <n v="8"/>
    <n v="2853726"/>
    <d v="2026-05-31T00:00:00"/>
    <n v="5"/>
    <n v="31"/>
    <n v="2026"/>
    <x v="3"/>
    <s v="Q2"/>
    <x v="1"/>
  </r>
  <r>
    <s v="O100940"/>
    <x v="649"/>
    <x v="3"/>
    <x v="2"/>
    <x v="2"/>
    <x v="3"/>
    <n v="10"/>
    <n v="2852035"/>
    <d v="2025-02-27T00:00:00"/>
    <n v="2"/>
    <n v="27"/>
    <n v="2025"/>
    <x v="4"/>
    <s v="Q1"/>
    <x v="2"/>
  </r>
  <r>
    <s v="O101996"/>
    <x v="386"/>
    <x v="10"/>
    <x v="2"/>
    <x v="3"/>
    <x v="0"/>
    <n v="10"/>
    <n v="2850953"/>
    <d v="2025-02-05T00:00:00"/>
    <n v="2"/>
    <n v="5"/>
    <n v="2025"/>
    <x v="4"/>
    <s v="Q1"/>
    <x v="3"/>
  </r>
  <r>
    <s v="O100221"/>
    <x v="391"/>
    <x v="4"/>
    <x v="2"/>
    <x v="3"/>
    <x v="2"/>
    <n v="9"/>
    <n v="2849905"/>
    <d v="2025-01-14T00:00:00"/>
    <n v="1"/>
    <n v="14"/>
    <n v="2025"/>
    <x v="6"/>
    <s v="Q1"/>
    <x v="3"/>
  </r>
  <r>
    <s v="O102162"/>
    <x v="64"/>
    <x v="10"/>
    <x v="2"/>
    <x v="3"/>
    <x v="3"/>
    <n v="9"/>
    <n v="2849147"/>
    <d v="2025-12-05T00:00:00"/>
    <n v="12"/>
    <n v="5"/>
    <n v="2025"/>
    <x v="7"/>
    <s v="Q4"/>
    <x v="3"/>
  </r>
  <r>
    <s v="O103379"/>
    <x v="650"/>
    <x v="3"/>
    <x v="0"/>
    <x v="1"/>
    <x v="0"/>
    <n v="6"/>
    <n v="2848269"/>
    <d v="2025-07-25T00:00:00"/>
    <n v="7"/>
    <n v="25"/>
    <n v="2025"/>
    <x v="10"/>
    <s v="Q3"/>
    <x v="1"/>
  </r>
  <r>
    <s v="O100873"/>
    <x v="12"/>
    <x v="6"/>
    <x v="2"/>
    <x v="1"/>
    <x v="2"/>
    <n v="9"/>
    <n v="2846198"/>
    <d v="2025-02-22T00:00:00"/>
    <n v="2"/>
    <n v="22"/>
    <n v="2025"/>
    <x v="4"/>
    <s v="Q1"/>
    <x v="1"/>
  </r>
  <r>
    <s v="O107586"/>
    <x v="265"/>
    <x v="3"/>
    <x v="2"/>
    <x v="3"/>
    <x v="1"/>
    <n v="8"/>
    <n v="2843885"/>
    <d v="2026-06-04T00:00:00"/>
    <n v="6"/>
    <n v="4"/>
    <n v="2026"/>
    <x v="2"/>
    <s v="Q2"/>
    <x v="3"/>
  </r>
  <r>
    <s v="O109540"/>
    <x v="503"/>
    <x v="8"/>
    <x v="2"/>
    <x v="3"/>
    <x v="0"/>
    <n v="9"/>
    <n v="2843857"/>
    <d v="2026-03-08T00:00:00"/>
    <n v="3"/>
    <n v="8"/>
    <n v="2026"/>
    <x v="5"/>
    <s v="Q1"/>
    <x v="3"/>
  </r>
  <r>
    <s v="O100880"/>
    <x v="651"/>
    <x v="6"/>
    <x v="0"/>
    <x v="0"/>
    <x v="1"/>
    <n v="8"/>
    <n v="2843821"/>
    <d v="2025-02-23T00:00:00"/>
    <n v="2"/>
    <n v="23"/>
    <n v="2025"/>
    <x v="4"/>
    <s v="Q1"/>
    <x v="0"/>
  </r>
  <r>
    <s v="O100651"/>
    <x v="585"/>
    <x v="4"/>
    <x v="0"/>
    <x v="3"/>
    <x v="2"/>
    <n v="6"/>
    <n v="2841618"/>
    <d v="2025-09-02T00:00:00"/>
    <n v="9"/>
    <n v="2"/>
    <n v="2025"/>
    <x v="1"/>
    <s v="Q3"/>
    <x v="3"/>
  </r>
  <r>
    <s v="O107520"/>
    <x v="344"/>
    <x v="8"/>
    <x v="0"/>
    <x v="2"/>
    <x v="3"/>
    <n v="8"/>
    <n v="2839737"/>
    <d v="2026-02-04T00:00:00"/>
    <n v="2"/>
    <n v="4"/>
    <n v="2026"/>
    <x v="4"/>
    <s v="Q1"/>
    <x v="2"/>
  </r>
  <r>
    <s v="O101872"/>
    <x v="652"/>
    <x v="1"/>
    <x v="0"/>
    <x v="0"/>
    <x v="0"/>
    <n v="8"/>
    <n v="2839436"/>
    <d v="2025-04-24T00:00:00"/>
    <n v="4"/>
    <n v="24"/>
    <n v="2025"/>
    <x v="11"/>
    <s v="Q2"/>
    <x v="0"/>
  </r>
  <r>
    <s v="O103419"/>
    <x v="653"/>
    <x v="0"/>
    <x v="0"/>
    <x v="2"/>
    <x v="0"/>
    <n v="6"/>
    <n v="2838950"/>
    <d v="2025-07-27T00:00:00"/>
    <n v="7"/>
    <n v="27"/>
    <n v="2025"/>
    <x v="10"/>
    <s v="Q3"/>
    <x v="2"/>
  </r>
  <r>
    <s v="O110139"/>
    <x v="268"/>
    <x v="9"/>
    <x v="2"/>
    <x v="2"/>
    <x v="2"/>
    <n v="8"/>
    <n v="2836335"/>
    <d v="2026-08-09T00:00:00"/>
    <n v="8"/>
    <n v="9"/>
    <n v="2026"/>
    <x v="8"/>
    <s v="Q3"/>
    <x v="2"/>
  </r>
  <r>
    <s v="O105590"/>
    <x v="585"/>
    <x v="10"/>
    <x v="2"/>
    <x v="0"/>
    <x v="3"/>
    <n v="9"/>
    <n v="2836261"/>
    <d v="2025-06-12T00:00:00"/>
    <n v="6"/>
    <n v="12"/>
    <n v="2025"/>
    <x v="2"/>
    <s v="Q2"/>
    <x v="0"/>
  </r>
  <r>
    <s v="O102544"/>
    <x v="394"/>
    <x v="9"/>
    <x v="2"/>
    <x v="4"/>
    <x v="2"/>
    <n v="9"/>
    <n v="2834544"/>
    <d v="2025-04-06T00:00:00"/>
    <n v="4"/>
    <n v="6"/>
    <n v="2025"/>
    <x v="11"/>
    <s v="Q2"/>
    <x v="4"/>
  </r>
  <r>
    <s v="O102744"/>
    <x v="369"/>
    <x v="10"/>
    <x v="0"/>
    <x v="1"/>
    <x v="1"/>
    <n v="8"/>
    <n v="2831754"/>
    <d v="2025-06-16T00:00:00"/>
    <n v="6"/>
    <n v="16"/>
    <n v="2025"/>
    <x v="2"/>
    <m/>
    <x v="1"/>
  </r>
  <r>
    <s v="O108332"/>
    <x v="644"/>
    <x v="4"/>
    <x v="2"/>
    <x v="4"/>
    <x v="3"/>
    <n v="8"/>
    <n v="2829685"/>
    <d v="2026-05-22T00:00:00"/>
    <n v="5"/>
    <n v="22"/>
    <n v="2026"/>
    <x v="3"/>
    <s v="Q2"/>
    <x v="4"/>
  </r>
  <r>
    <s v="O103401"/>
    <x v="494"/>
    <x v="2"/>
    <x v="0"/>
    <x v="0"/>
    <x v="3"/>
    <n v="7"/>
    <n v="2826808"/>
    <d v="2025-07-26T00:00:00"/>
    <n v="7"/>
    <n v="26"/>
    <n v="2025"/>
    <x v="10"/>
    <s v="Q3"/>
    <x v="0"/>
  </r>
  <r>
    <s v="O108392"/>
    <x v="564"/>
    <x v="6"/>
    <x v="0"/>
    <x v="2"/>
    <x v="2"/>
    <n v="7"/>
    <n v="2825913"/>
    <d v="2026-05-25T00:00:00"/>
    <n v="5"/>
    <n v="25"/>
    <n v="2026"/>
    <x v="3"/>
    <s v="Q2"/>
    <x v="2"/>
  </r>
  <r>
    <s v="O108034"/>
    <x v="625"/>
    <x v="8"/>
    <x v="0"/>
    <x v="1"/>
    <x v="4"/>
    <n v="6"/>
    <n v="2824908"/>
    <d v="2026-04-05T00:00:00"/>
    <n v="4"/>
    <n v="5"/>
    <n v="2026"/>
    <x v="11"/>
    <s v="Q2"/>
    <x v="1"/>
  </r>
  <r>
    <s v="O100926"/>
    <x v="653"/>
    <x v="4"/>
    <x v="0"/>
    <x v="1"/>
    <x v="0"/>
    <n v="6"/>
    <n v="2823332"/>
    <d v="2025-02-26T00:00:00"/>
    <n v="2"/>
    <n v="26"/>
    <n v="2025"/>
    <x v="4"/>
    <s v="Q1"/>
    <x v="1"/>
  </r>
  <r>
    <s v="O100216"/>
    <x v="368"/>
    <x v="6"/>
    <x v="0"/>
    <x v="3"/>
    <x v="0"/>
    <n v="8"/>
    <n v="2823023"/>
    <d v="2025-01-14T00:00:00"/>
    <n v="1"/>
    <n v="14"/>
    <n v="2025"/>
    <x v="6"/>
    <s v="Q1"/>
    <x v="3"/>
  </r>
  <r>
    <s v="O108327"/>
    <x v="487"/>
    <x v="6"/>
    <x v="0"/>
    <x v="1"/>
    <x v="2"/>
    <n v="8"/>
    <n v="2822811"/>
    <d v="2026-05-21T00:00:00"/>
    <n v="5"/>
    <n v="21"/>
    <n v="2026"/>
    <x v="3"/>
    <s v="Q2"/>
    <x v="1"/>
  </r>
  <r>
    <s v="O105391"/>
    <x v="285"/>
    <x v="10"/>
    <x v="0"/>
    <x v="3"/>
    <x v="2"/>
    <n v="8"/>
    <n v="2818918"/>
    <d v="2025-11-24T00:00:00"/>
    <n v="11"/>
    <n v="24"/>
    <n v="2025"/>
    <x v="0"/>
    <s v="Q4"/>
    <x v="3"/>
  </r>
  <r>
    <s v="O106606"/>
    <x v="383"/>
    <x v="10"/>
    <x v="0"/>
    <x v="1"/>
    <x v="2"/>
    <n v="6"/>
    <n v="2817886"/>
    <d v="2026-06-02T00:00:00"/>
    <n v="6"/>
    <n v="2"/>
    <n v="2026"/>
    <x v="2"/>
    <s v="Q2"/>
    <x v="1"/>
  </r>
  <r>
    <s v="O107632"/>
    <x v="413"/>
    <x v="3"/>
    <x v="2"/>
    <x v="3"/>
    <x v="2"/>
    <n v="8"/>
    <n v="2817627"/>
    <d v="2026-09-04T00:00:00"/>
    <n v="9"/>
    <n v="4"/>
    <n v="2026"/>
    <x v="1"/>
    <s v="Q3"/>
    <x v="3"/>
  </r>
  <r>
    <s v="O107957"/>
    <x v="320"/>
    <x v="10"/>
    <x v="2"/>
    <x v="1"/>
    <x v="0"/>
    <n v="9"/>
    <n v="2817244"/>
    <d v="2026-04-29T00:00:00"/>
    <n v="4"/>
    <n v="29"/>
    <n v="2026"/>
    <x v="11"/>
    <s v="Q2"/>
    <x v="1"/>
  </r>
  <r>
    <s v="O102636"/>
    <x v="244"/>
    <x v="0"/>
    <x v="2"/>
    <x v="2"/>
    <x v="2"/>
    <n v="8"/>
    <n v="2815614"/>
    <d v="2025-10-06T00:00:00"/>
    <n v="10"/>
    <n v="6"/>
    <n v="2025"/>
    <x v="9"/>
    <s v="Q4"/>
    <x v="2"/>
  </r>
  <r>
    <s v="O107454"/>
    <x v="184"/>
    <x v="8"/>
    <x v="2"/>
    <x v="0"/>
    <x v="0"/>
    <n v="9"/>
    <n v="2815034"/>
    <d v="2026-03-29T00:00:00"/>
    <n v="3"/>
    <n v="29"/>
    <n v="2026"/>
    <x v="5"/>
    <s v="Q1"/>
    <x v="0"/>
  </r>
  <r>
    <s v="O107280"/>
    <x v="290"/>
    <x v="6"/>
    <x v="2"/>
    <x v="4"/>
    <x v="1"/>
    <n v="9"/>
    <n v="2814040"/>
    <d v="2026-03-19T00:00:00"/>
    <n v="3"/>
    <n v="19"/>
    <n v="2026"/>
    <x v="5"/>
    <s v="Q1"/>
    <x v="4"/>
  </r>
  <r>
    <s v="O100203"/>
    <x v="176"/>
    <x v="6"/>
    <x v="0"/>
    <x v="3"/>
    <x v="2"/>
    <n v="8"/>
    <n v="2811523"/>
    <d v="2025-01-13T00:00:00"/>
    <n v="1"/>
    <n v="13"/>
    <n v="2025"/>
    <x v="6"/>
    <s v="Q1"/>
    <x v="3"/>
  </r>
  <r>
    <s v="O105818"/>
    <x v="433"/>
    <x v="8"/>
    <x v="2"/>
    <x v="4"/>
    <x v="3"/>
    <n v="9"/>
    <n v="2811304"/>
    <d v="2025-12-20T00:00:00"/>
    <n v="12"/>
    <n v="20"/>
    <n v="2025"/>
    <x v="7"/>
    <s v="Q4"/>
    <x v="4"/>
  </r>
  <r>
    <s v="O103623"/>
    <x v="1"/>
    <x v="8"/>
    <x v="0"/>
    <x v="3"/>
    <x v="2"/>
    <n v="8"/>
    <n v="2810886"/>
    <d v="2025-09-08T00:00:00"/>
    <n v="9"/>
    <n v="8"/>
    <n v="2025"/>
    <x v="1"/>
    <s v="Q3"/>
    <x v="3"/>
  </r>
  <r>
    <s v="O109508"/>
    <x v="364"/>
    <x v="8"/>
    <x v="2"/>
    <x v="4"/>
    <x v="0"/>
    <n v="8"/>
    <n v="2810033"/>
    <d v="2026-01-08T00:00:00"/>
    <n v="1"/>
    <n v="8"/>
    <n v="2026"/>
    <x v="6"/>
    <s v="Q1"/>
    <x v="4"/>
  </r>
  <r>
    <s v="O109027"/>
    <x v="544"/>
    <x v="9"/>
    <x v="2"/>
    <x v="2"/>
    <x v="3"/>
    <n v="9"/>
    <n v="2808948"/>
    <d v="2026-03-07T00:00:00"/>
    <n v="3"/>
    <n v="7"/>
    <n v="2026"/>
    <x v="5"/>
    <s v="Q1"/>
    <x v="2"/>
  </r>
  <r>
    <s v="O102131"/>
    <x v="38"/>
    <x v="4"/>
    <x v="0"/>
    <x v="0"/>
    <x v="1"/>
    <n v="6"/>
    <n v="2808072"/>
    <d v="2025-10-05T00:00:00"/>
    <n v="10"/>
    <n v="5"/>
    <n v="2025"/>
    <x v="9"/>
    <s v="Q4"/>
    <x v="0"/>
  </r>
  <r>
    <s v="O108288"/>
    <x v="654"/>
    <x v="1"/>
    <x v="0"/>
    <x v="4"/>
    <x v="3"/>
    <n v="7"/>
    <n v="2806906"/>
    <d v="2026-05-19T00:00:00"/>
    <n v="5"/>
    <n v="19"/>
    <n v="2026"/>
    <x v="3"/>
    <s v="Q2"/>
    <x v="4"/>
  </r>
  <r>
    <s v="O104656"/>
    <x v="320"/>
    <x v="1"/>
    <x v="0"/>
    <x v="4"/>
    <x v="2"/>
    <n v="5"/>
    <n v="2806874"/>
    <d v="2025-10-10T00:00:00"/>
    <n v="10"/>
    <n v="10"/>
    <n v="2025"/>
    <x v="9"/>
    <s v="Q4"/>
    <x v="4"/>
  </r>
  <r>
    <s v="O106907"/>
    <x v="655"/>
    <x v="3"/>
    <x v="0"/>
    <x v="0"/>
    <x v="2"/>
    <n v="5"/>
    <n v="2803361"/>
    <d v="2026-02-24T00:00:00"/>
    <n v="2"/>
    <n v="24"/>
    <n v="2026"/>
    <x v="4"/>
    <s v="Q1"/>
    <x v="0"/>
  </r>
  <r>
    <s v="O109910"/>
    <x v="57"/>
    <x v="0"/>
    <x v="0"/>
    <x v="0"/>
    <x v="2"/>
    <n v="8"/>
    <n v="2802039"/>
    <d v="2026-08-26T00:00:00"/>
    <n v="8"/>
    <n v="26"/>
    <n v="2026"/>
    <x v="8"/>
    <s v="Q3"/>
    <x v="0"/>
  </r>
  <r>
    <s v="O100041"/>
    <x v="43"/>
    <x v="9"/>
    <x v="0"/>
    <x v="0"/>
    <x v="0"/>
    <n v="7"/>
    <n v="2801261"/>
    <d v="2025-03-01T00:00:00"/>
    <n v="3"/>
    <n v="1"/>
    <n v="2025"/>
    <x v="5"/>
    <s v="Q1"/>
    <x v="0"/>
  </r>
  <r>
    <s v="O106156"/>
    <x v="559"/>
    <x v="3"/>
    <x v="0"/>
    <x v="4"/>
    <x v="0"/>
    <n v="8"/>
    <n v="2800523"/>
    <d v="2026-09-01T00:00:00"/>
    <n v="9"/>
    <n v="1"/>
    <n v="2026"/>
    <x v="1"/>
    <m/>
    <x v="4"/>
  </r>
  <r>
    <s v="O104631"/>
    <x v="561"/>
    <x v="8"/>
    <x v="0"/>
    <x v="1"/>
    <x v="3"/>
    <n v="6"/>
    <n v="2799561"/>
    <d v="2025-09-10T00:00:00"/>
    <n v="9"/>
    <n v="10"/>
    <n v="2025"/>
    <x v="1"/>
    <s v="Q3"/>
    <x v="1"/>
  </r>
  <r>
    <s v="O106768"/>
    <x v="656"/>
    <x v="1"/>
    <x v="0"/>
    <x v="3"/>
    <x v="0"/>
    <n v="5"/>
    <n v="2798541"/>
    <d v="2026-02-16T00:00:00"/>
    <n v="2"/>
    <n v="16"/>
    <n v="2026"/>
    <x v="4"/>
    <s v="Q1"/>
    <x v="3"/>
  </r>
  <r>
    <s v="O102343"/>
    <x v="657"/>
    <x v="9"/>
    <x v="0"/>
    <x v="1"/>
    <x v="0"/>
    <n v="6"/>
    <n v="2798149"/>
    <d v="2025-05-23T00:00:00"/>
    <n v="5"/>
    <n v="23"/>
    <n v="2025"/>
    <x v="3"/>
    <s v="Q2"/>
    <x v="1"/>
  </r>
  <r>
    <s v="O106069"/>
    <x v="304"/>
    <x v="7"/>
    <x v="0"/>
    <x v="3"/>
    <x v="0"/>
    <n v="6"/>
    <n v="2797224"/>
    <d v="2026-04-01T00:00:00"/>
    <n v="4"/>
    <n v="1"/>
    <n v="2026"/>
    <x v="11"/>
    <s v="Q2"/>
    <x v="3"/>
  </r>
  <r>
    <s v="O104207"/>
    <x v="247"/>
    <x v="0"/>
    <x v="2"/>
    <x v="2"/>
    <x v="2"/>
    <n v="10"/>
    <n v="2797071"/>
    <d v="2025-09-13T00:00:00"/>
    <n v="9"/>
    <n v="13"/>
    <n v="2025"/>
    <x v="1"/>
    <s v="Q3"/>
    <x v="2"/>
  </r>
  <r>
    <s v="O100587"/>
    <x v="265"/>
    <x v="3"/>
    <x v="0"/>
    <x v="1"/>
    <x v="1"/>
    <n v="7"/>
    <n v="2796154"/>
    <d v="2025-05-02T00:00:00"/>
    <n v="5"/>
    <n v="2"/>
    <n v="2025"/>
    <x v="3"/>
    <s v="Q2"/>
    <x v="1"/>
  </r>
  <r>
    <s v="O100810"/>
    <x v="629"/>
    <x v="4"/>
    <x v="0"/>
    <x v="0"/>
    <x v="3"/>
    <n v="5"/>
    <n v="2796075"/>
    <d v="2025-02-19T00:00:00"/>
    <n v="2"/>
    <n v="19"/>
    <n v="2025"/>
    <x v="4"/>
    <s v="Q1"/>
    <x v="0"/>
  </r>
  <r>
    <s v="O106882"/>
    <x v="354"/>
    <x v="8"/>
    <x v="0"/>
    <x v="4"/>
    <x v="3"/>
    <n v="5"/>
    <n v="2795190"/>
    <d v="2026-02-23T00:00:00"/>
    <n v="2"/>
    <n v="23"/>
    <n v="2026"/>
    <x v="4"/>
    <s v="Q1"/>
    <x v="4"/>
  </r>
  <r>
    <s v="O107792"/>
    <x v="361"/>
    <x v="3"/>
    <x v="0"/>
    <x v="3"/>
    <x v="2"/>
    <n v="7"/>
    <n v="2794178"/>
    <d v="2026-04-19T00:00:00"/>
    <n v="4"/>
    <n v="19"/>
    <n v="2026"/>
    <x v="11"/>
    <s v="Q2"/>
    <x v="3"/>
  </r>
  <r>
    <s v="O100033"/>
    <x v="658"/>
    <x v="1"/>
    <x v="0"/>
    <x v="1"/>
    <x v="3"/>
    <n v="6"/>
    <n v="2793450"/>
    <d v="2025-02-01T00:00:00"/>
    <n v="2"/>
    <n v="1"/>
    <n v="2025"/>
    <x v="4"/>
    <s v="Q1"/>
    <x v="1"/>
  </r>
  <r>
    <s v="O103873"/>
    <x v="659"/>
    <x v="5"/>
    <x v="0"/>
    <x v="2"/>
    <x v="4"/>
    <n v="5"/>
    <n v="2793227"/>
    <d v="2025-08-24T00:00:00"/>
    <n v="8"/>
    <n v="24"/>
    <n v="2025"/>
    <x v="8"/>
    <s v="Q3"/>
    <x v="2"/>
  </r>
  <r>
    <s v="O105138"/>
    <x v="525"/>
    <x v="8"/>
    <x v="0"/>
    <x v="4"/>
    <x v="1"/>
    <n v="7"/>
    <n v="2792472"/>
    <d v="2025-09-11T00:00:00"/>
    <n v="9"/>
    <n v="11"/>
    <n v="2025"/>
    <x v="1"/>
    <s v="Q3"/>
    <x v="4"/>
  </r>
  <r>
    <s v="O107175"/>
    <x v="454"/>
    <x v="2"/>
    <x v="0"/>
    <x v="1"/>
    <x v="2"/>
    <n v="6"/>
    <n v="2792134"/>
    <d v="2026-12-03T00:00:00"/>
    <n v="12"/>
    <n v="3"/>
    <n v="2026"/>
    <x v="7"/>
    <s v="Q4"/>
    <x v="1"/>
  </r>
  <r>
    <s v="O109787"/>
    <x v="197"/>
    <x v="1"/>
    <x v="0"/>
    <x v="3"/>
    <x v="0"/>
    <n v="5"/>
    <n v="2791074"/>
    <d v="2026-08-18T00:00:00"/>
    <n v="8"/>
    <n v="18"/>
    <n v="2026"/>
    <x v="8"/>
    <s v="Q3"/>
    <x v="3"/>
  </r>
  <r>
    <s v="O110040"/>
    <x v="660"/>
    <x v="9"/>
    <x v="0"/>
    <x v="0"/>
    <x v="3"/>
    <n v="6"/>
    <n v="2790904"/>
    <d v="2026-02-09T00:00:00"/>
    <n v="2"/>
    <n v="9"/>
    <n v="2026"/>
    <x v="4"/>
    <m/>
    <x v="0"/>
  </r>
  <r>
    <s v="O108619"/>
    <x v="211"/>
    <x v="10"/>
    <x v="0"/>
    <x v="0"/>
    <x v="2"/>
    <n v="6"/>
    <n v="2790588"/>
    <d v="2026-08-06T00:00:00"/>
    <n v="8"/>
    <n v="6"/>
    <n v="2026"/>
    <x v="8"/>
    <s v="Q3"/>
    <x v="0"/>
  </r>
  <r>
    <s v="O108836"/>
    <x v="94"/>
    <x v="8"/>
    <x v="0"/>
    <x v="3"/>
    <x v="2"/>
    <n v="7"/>
    <n v="2790320"/>
    <d v="2026-06-21T00:00:00"/>
    <n v="6"/>
    <n v="21"/>
    <n v="2026"/>
    <x v="2"/>
    <s v="Q2"/>
    <x v="3"/>
  </r>
  <r>
    <s v="O104458"/>
    <x v="316"/>
    <x v="1"/>
    <x v="0"/>
    <x v="2"/>
    <x v="0"/>
    <n v="6"/>
    <n v="2789604"/>
    <d v="2025-09-28T00:00:00"/>
    <n v="9"/>
    <n v="28"/>
    <n v="2025"/>
    <x v="1"/>
    <s v="Q3"/>
    <x v="2"/>
  </r>
  <r>
    <s v="O107337"/>
    <x v="343"/>
    <x v="4"/>
    <x v="0"/>
    <x v="2"/>
    <x v="0"/>
    <n v="6"/>
    <n v="2789567"/>
    <d v="2026-03-22T00:00:00"/>
    <n v="3"/>
    <n v="22"/>
    <n v="2026"/>
    <x v="5"/>
    <s v="Q1"/>
    <x v="2"/>
  </r>
  <r>
    <s v="O101352"/>
    <x v="365"/>
    <x v="4"/>
    <x v="2"/>
    <x v="3"/>
    <x v="0"/>
    <n v="9"/>
    <n v="2789422"/>
    <d v="2025-03-24T00:00:00"/>
    <n v="3"/>
    <n v="24"/>
    <n v="2025"/>
    <x v="5"/>
    <s v="Q1"/>
    <x v="3"/>
  </r>
  <r>
    <s v="O100067"/>
    <x v="661"/>
    <x v="4"/>
    <x v="0"/>
    <x v="4"/>
    <x v="1"/>
    <n v="5"/>
    <n v="2788460"/>
    <d v="2025-05-01T00:00:00"/>
    <n v="5"/>
    <n v="1"/>
    <n v="2025"/>
    <x v="3"/>
    <s v="Q2"/>
    <x v="4"/>
  </r>
  <r>
    <s v="O108731"/>
    <x v="511"/>
    <x v="3"/>
    <x v="0"/>
    <x v="2"/>
    <x v="3"/>
    <n v="5"/>
    <n v="2788026"/>
    <d v="2026-06-15T00:00:00"/>
    <n v="6"/>
    <n v="15"/>
    <n v="2026"/>
    <x v="2"/>
    <s v="Q2"/>
    <x v="2"/>
  </r>
  <r>
    <s v="O108424"/>
    <x v="305"/>
    <x v="1"/>
    <x v="0"/>
    <x v="4"/>
    <x v="3"/>
    <n v="5"/>
    <n v="2787081"/>
    <d v="2026-05-27T00:00:00"/>
    <n v="5"/>
    <n v="27"/>
    <n v="2026"/>
    <x v="3"/>
    <s v="Q2"/>
    <x v="4"/>
  </r>
  <r>
    <s v="O105100"/>
    <x v="147"/>
    <x v="1"/>
    <x v="0"/>
    <x v="2"/>
    <x v="0"/>
    <n v="7"/>
    <n v="2785039"/>
    <d v="2025-06-11T00:00:00"/>
    <n v="6"/>
    <n v="11"/>
    <n v="2025"/>
    <x v="2"/>
    <s v="Q2"/>
    <x v="2"/>
  </r>
  <r>
    <s v="O100843"/>
    <x v="101"/>
    <x v="3"/>
    <x v="0"/>
    <x v="2"/>
    <x v="2"/>
    <n v="5"/>
    <n v="2784931"/>
    <d v="2025-02-21T00:00:00"/>
    <n v="2"/>
    <n v="21"/>
    <n v="2025"/>
    <x v="4"/>
    <s v="Q1"/>
    <x v="2"/>
  </r>
  <r>
    <s v="O103460"/>
    <x v="515"/>
    <x v="1"/>
    <x v="2"/>
    <x v="3"/>
    <x v="2"/>
    <n v="10"/>
    <n v="2784223"/>
    <d v="2025-07-30T00:00:00"/>
    <n v="7"/>
    <n v="30"/>
    <n v="2025"/>
    <x v="10"/>
    <s v="Q3"/>
    <x v="3"/>
  </r>
  <r>
    <s v="O106930"/>
    <x v="580"/>
    <x v="9"/>
    <x v="2"/>
    <x v="4"/>
    <x v="1"/>
    <n v="8"/>
    <n v="2782566"/>
    <d v="2026-02-25T00:00:00"/>
    <n v="2"/>
    <n v="25"/>
    <n v="2026"/>
    <x v="4"/>
    <s v="Q1"/>
    <x v="4"/>
  </r>
  <r>
    <s v="O110285"/>
    <x v="662"/>
    <x v="10"/>
    <x v="0"/>
    <x v="4"/>
    <x v="3"/>
    <n v="7"/>
    <n v="2781711"/>
    <d v="2026-09-17T00:00:00"/>
    <n v="9"/>
    <n v="17"/>
    <n v="2026"/>
    <x v="1"/>
    <s v="Q3"/>
    <x v="4"/>
  </r>
  <r>
    <s v="O106466"/>
    <x v="274"/>
    <x v="10"/>
    <x v="0"/>
    <x v="2"/>
    <x v="0"/>
    <n v="6"/>
    <n v="2781700"/>
    <d v="2026-01-28T00:00:00"/>
    <n v="1"/>
    <n v="28"/>
    <n v="2026"/>
    <x v="6"/>
    <s v="Q1"/>
    <x v="2"/>
  </r>
  <r>
    <s v="O102884"/>
    <x v="611"/>
    <x v="10"/>
    <x v="0"/>
    <x v="3"/>
    <x v="3"/>
    <n v="7"/>
    <n v="2781218"/>
    <d v="2025-06-25T00:00:00"/>
    <n v="6"/>
    <n v="25"/>
    <n v="2025"/>
    <x v="2"/>
    <s v="Q2"/>
    <x v="3"/>
  </r>
  <r>
    <s v="O104379"/>
    <x v="26"/>
    <x v="10"/>
    <x v="0"/>
    <x v="2"/>
    <x v="3"/>
    <n v="6"/>
    <n v="2779780"/>
    <d v="2025-09-23T00:00:00"/>
    <n v="9"/>
    <n v="23"/>
    <n v="2025"/>
    <x v="1"/>
    <s v="Q3"/>
    <x v="2"/>
  </r>
  <r>
    <s v="O111143"/>
    <x v="98"/>
    <x v="9"/>
    <x v="0"/>
    <x v="1"/>
    <x v="4"/>
    <n v="7"/>
    <n v="2777990"/>
    <d v="2026-08-11T00:00:00"/>
    <n v="8"/>
    <n v="11"/>
    <n v="2026"/>
    <x v="8"/>
    <s v="Q3"/>
    <x v="1"/>
  </r>
  <r>
    <s v="O104143"/>
    <x v="309"/>
    <x v="0"/>
    <x v="0"/>
    <x v="4"/>
    <x v="0"/>
    <n v="7"/>
    <n v="2777928"/>
    <d v="2025-09-09T00:00:00"/>
    <n v="9"/>
    <n v="9"/>
    <n v="2025"/>
    <x v="1"/>
    <m/>
    <x v="4"/>
  </r>
  <r>
    <s v="O108130"/>
    <x v="663"/>
    <x v="4"/>
    <x v="0"/>
    <x v="3"/>
    <x v="3"/>
    <n v="7"/>
    <n v="2776532"/>
    <d v="2026-09-05T00:00:00"/>
    <n v="9"/>
    <n v="5"/>
    <n v="2026"/>
    <x v="1"/>
    <s v="Q3"/>
    <x v="3"/>
  </r>
  <r>
    <s v="O111669"/>
    <x v="511"/>
    <x v="5"/>
    <x v="2"/>
    <x v="2"/>
    <x v="2"/>
    <n v="8"/>
    <n v="2776037"/>
    <d v="2026-10-12T00:00:00"/>
    <n v="10"/>
    <n v="12"/>
    <n v="2026"/>
    <x v="9"/>
    <s v="Q4"/>
    <x v="2"/>
  </r>
  <r>
    <s v="O106728"/>
    <x v="108"/>
    <x v="3"/>
    <x v="0"/>
    <x v="2"/>
    <x v="3"/>
    <n v="8"/>
    <n v="2774511"/>
    <d v="2026-02-13T00:00:00"/>
    <n v="2"/>
    <n v="13"/>
    <n v="2026"/>
    <x v="4"/>
    <s v="Q1"/>
    <x v="2"/>
  </r>
  <r>
    <s v="O110929"/>
    <x v="11"/>
    <x v="1"/>
    <x v="2"/>
    <x v="4"/>
    <x v="1"/>
    <n v="8"/>
    <n v="2774328"/>
    <d v="2026-10-26T00:00:00"/>
    <n v="10"/>
    <n v="26"/>
    <n v="2026"/>
    <x v="9"/>
    <s v="Q4"/>
    <x v="4"/>
  </r>
  <r>
    <s v="O102271"/>
    <x v="644"/>
    <x v="2"/>
    <x v="0"/>
    <x v="2"/>
    <x v="1"/>
    <n v="8"/>
    <n v="2773974"/>
    <d v="2025-05-18T00:00:00"/>
    <n v="5"/>
    <n v="18"/>
    <n v="2025"/>
    <x v="3"/>
    <s v="Q2"/>
    <x v="2"/>
  </r>
  <r>
    <s v="O109697"/>
    <x v="664"/>
    <x v="0"/>
    <x v="0"/>
    <x v="3"/>
    <x v="3"/>
    <n v="8"/>
    <n v="2773957"/>
    <d v="2026-08-13T00:00:00"/>
    <n v="8"/>
    <n v="13"/>
    <n v="2026"/>
    <x v="8"/>
    <s v="Q3"/>
    <x v="3"/>
  </r>
  <r>
    <s v="O109989"/>
    <x v="665"/>
    <x v="4"/>
    <x v="0"/>
    <x v="0"/>
    <x v="1"/>
    <n v="6"/>
    <n v="2773652"/>
    <d v="2026-08-30T00:00:00"/>
    <n v="8"/>
    <n v="30"/>
    <n v="2026"/>
    <x v="8"/>
    <s v="Q3"/>
    <x v="0"/>
  </r>
  <r>
    <s v="O111725"/>
    <x v="469"/>
    <x v="8"/>
    <x v="2"/>
    <x v="4"/>
    <x v="0"/>
    <n v="8"/>
    <n v="2772629"/>
    <d v="2026-12-14T00:00:00"/>
    <n v="12"/>
    <n v="14"/>
    <n v="2026"/>
    <x v="7"/>
    <s v="Q4"/>
    <x v="4"/>
  </r>
  <r>
    <s v="O104111"/>
    <x v="503"/>
    <x v="8"/>
    <x v="2"/>
    <x v="1"/>
    <x v="0"/>
    <n v="10"/>
    <n v="2772461"/>
    <d v="2025-07-09T00:00:00"/>
    <n v="7"/>
    <n v="9"/>
    <n v="2025"/>
    <x v="10"/>
    <s v="Q3"/>
    <x v="1"/>
  </r>
  <r>
    <s v="O109396"/>
    <x v="353"/>
    <x v="4"/>
    <x v="0"/>
    <x v="2"/>
    <x v="1"/>
    <n v="5"/>
    <n v="2770941"/>
    <d v="2026-07-25T00:00:00"/>
    <n v="7"/>
    <n v="25"/>
    <n v="2026"/>
    <x v="10"/>
    <s v="Q3"/>
    <x v="2"/>
  </r>
  <r>
    <s v="O109823"/>
    <x v="91"/>
    <x v="10"/>
    <x v="2"/>
    <x v="4"/>
    <x v="0"/>
    <n v="9"/>
    <n v="2770052"/>
    <d v="2026-08-20T00:00:00"/>
    <n v="8"/>
    <n v="20"/>
    <n v="2026"/>
    <x v="8"/>
    <s v="Q3"/>
    <x v="4"/>
  </r>
  <r>
    <s v="O107503"/>
    <x v="414"/>
    <x v="0"/>
    <x v="0"/>
    <x v="3"/>
    <x v="3"/>
    <n v="7"/>
    <n v="2768216"/>
    <d v="2026-01-04T00:00:00"/>
    <n v="1"/>
    <n v="4"/>
    <n v="2026"/>
    <x v="6"/>
    <s v="Q1"/>
    <x v="3"/>
  </r>
  <r>
    <s v="O107717"/>
    <x v="507"/>
    <x v="4"/>
    <x v="0"/>
    <x v="4"/>
    <x v="3"/>
    <n v="8"/>
    <n v="2767438"/>
    <d v="2026-04-14T00:00:00"/>
    <n v="4"/>
    <n v="14"/>
    <n v="2026"/>
    <x v="11"/>
    <s v="Q2"/>
    <x v="4"/>
  </r>
  <r>
    <s v="O103838"/>
    <x v="93"/>
    <x v="4"/>
    <x v="0"/>
    <x v="1"/>
    <x v="1"/>
    <n v="7"/>
    <n v="2766035"/>
    <d v="2025-08-22T00:00:00"/>
    <n v="8"/>
    <n v="22"/>
    <n v="2025"/>
    <x v="8"/>
    <s v="Q3"/>
    <x v="1"/>
  </r>
  <r>
    <s v="O102547"/>
    <x v="504"/>
    <x v="10"/>
    <x v="0"/>
    <x v="0"/>
    <x v="1"/>
    <n v="5"/>
    <n v="2764774"/>
    <d v="2025-04-06T00:00:00"/>
    <n v="4"/>
    <n v="6"/>
    <n v="2025"/>
    <x v="11"/>
    <s v="Q2"/>
    <x v="0"/>
  </r>
  <r>
    <s v="O100984"/>
    <x v="496"/>
    <x v="4"/>
    <x v="0"/>
    <x v="0"/>
    <x v="0"/>
    <n v="8"/>
    <n v="2764537"/>
    <d v="2025-01-03T00:00:00"/>
    <n v="1"/>
    <n v="3"/>
    <n v="2025"/>
    <x v="6"/>
    <s v="Q1"/>
    <x v="0"/>
  </r>
  <r>
    <s v="O103070"/>
    <x v="511"/>
    <x v="3"/>
    <x v="2"/>
    <x v="3"/>
    <x v="2"/>
    <n v="9"/>
    <n v="2764182"/>
    <d v="2025-06-07T00:00:00"/>
    <n v="6"/>
    <n v="7"/>
    <n v="2025"/>
    <x v="2"/>
    <s v="Q2"/>
    <x v="3"/>
  </r>
  <r>
    <s v="O102375"/>
    <x v="666"/>
    <x v="1"/>
    <x v="2"/>
    <x v="4"/>
    <x v="2"/>
    <n v="8"/>
    <n v="2762994"/>
    <d v="2025-05-25T00:00:00"/>
    <n v="5"/>
    <n v="25"/>
    <n v="2025"/>
    <x v="3"/>
    <m/>
    <x v="4"/>
  </r>
  <r>
    <s v="O108744"/>
    <x v="430"/>
    <x v="8"/>
    <x v="0"/>
    <x v="1"/>
    <x v="1"/>
    <n v="6"/>
    <n v="2762167"/>
    <d v="2026-06-16T00:00:00"/>
    <n v="6"/>
    <n v="16"/>
    <n v="2026"/>
    <x v="2"/>
    <s v="Q2"/>
    <x v="1"/>
  </r>
  <r>
    <s v="O101281"/>
    <x v="138"/>
    <x v="6"/>
    <x v="2"/>
    <x v="1"/>
    <x v="3"/>
    <n v="8"/>
    <n v="2761465"/>
    <d v="2025-03-19T00:00:00"/>
    <n v="3"/>
    <n v="19"/>
    <n v="2025"/>
    <x v="5"/>
    <s v="Q1"/>
    <x v="1"/>
  </r>
  <r>
    <s v="O109857"/>
    <x v="449"/>
    <x v="2"/>
    <x v="0"/>
    <x v="3"/>
    <x v="3"/>
    <n v="7"/>
    <n v="2761276"/>
    <d v="2026-08-22T00:00:00"/>
    <n v="8"/>
    <n v="22"/>
    <n v="2026"/>
    <x v="8"/>
    <s v="Q3"/>
    <x v="3"/>
  </r>
  <r>
    <s v="O103314"/>
    <x v="667"/>
    <x v="1"/>
    <x v="0"/>
    <x v="2"/>
    <x v="0"/>
    <n v="5"/>
    <n v="2759980"/>
    <d v="2025-07-21T00:00:00"/>
    <n v="7"/>
    <n v="21"/>
    <n v="2025"/>
    <x v="10"/>
    <s v="Q3"/>
    <x v="2"/>
  </r>
  <r>
    <s v="O101586"/>
    <x v="668"/>
    <x v="1"/>
    <x v="0"/>
    <x v="3"/>
    <x v="0"/>
    <n v="5"/>
    <n v="2759123"/>
    <d v="2025-07-04T00:00:00"/>
    <n v="7"/>
    <n v="4"/>
    <n v="2025"/>
    <x v="10"/>
    <s v="Q3"/>
    <x v="3"/>
  </r>
  <r>
    <s v="O104952"/>
    <x v="431"/>
    <x v="8"/>
    <x v="0"/>
    <x v="4"/>
    <x v="3"/>
    <n v="6"/>
    <n v="2757734"/>
    <d v="2025-10-28T00:00:00"/>
    <n v="10"/>
    <n v="28"/>
    <n v="2025"/>
    <x v="9"/>
    <s v="Q4"/>
    <x v="4"/>
  </r>
  <r>
    <s v="O109215"/>
    <x v="439"/>
    <x v="9"/>
    <x v="0"/>
    <x v="0"/>
    <x v="0"/>
    <n v="5"/>
    <n v="2757262"/>
    <d v="2026-07-14T00:00:00"/>
    <n v="7"/>
    <n v="14"/>
    <n v="2026"/>
    <x v="10"/>
    <s v="Q3"/>
    <x v="0"/>
  </r>
  <r>
    <s v="O109974"/>
    <x v="393"/>
    <x v="0"/>
    <x v="0"/>
    <x v="3"/>
    <x v="3"/>
    <n v="5"/>
    <n v="2755345"/>
    <d v="2026-08-29T00:00:00"/>
    <n v="8"/>
    <n v="29"/>
    <n v="2026"/>
    <x v="8"/>
    <s v="Q3"/>
    <x v="3"/>
  </r>
  <r>
    <s v="O101074"/>
    <x v="146"/>
    <x v="4"/>
    <x v="0"/>
    <x v="2"/>
    <x v="1"/>
    <n v="8"/>
    <n v="2754633"/>
    <d v="2025-07-03T00:00:00"/>
    <n v="7"/>
    <n v="3"/>
    <n v="2025"/>
    <x v="10"/>
    <s v="Q3"/>
    <x v="2"/>
  </r>
  <r>
    <s v="O105905"/>
    <x v="594"/>
    <x v="2"/>
    <x v="0"/>
    <x v="2"/>
    <x v="3"/>
    <n v="6"/>
    <n v="2753788"/>
    <d v="2025-12-25T00:00:00"/>
    <n v="12"/>
    <n v="25"/>
    <n v="2025"/>
    <x v="7"/>
    <s v="Q4"/>
    <x v="2"/>
  </r>
  <r>
    <s v="O111770"/>
    <x v="669"/>
    <x v="1"/>
    <x v="0"/>
    <x v="0"/>
    <x v="1"/>
    <n v="5"/>
    <n v="2753136"/>
    <d v="2026-12-17T00:00:00"/>
    <n v="12"/>
    <n v="17"/>
    <n v="2026"/>
    <x v="7"/>
    <s v="Q4"/>
    <x v="0"/>
  </r>
  <r>
    <s v="O110587"/>
    <x v="155"/>
    <x v="3"/>
    <x v="0"/>
    <x v="0"/>
    <x v="0"/>
    <n v="5"/>
    <n v="2752615"/>
    <d v="2026-06-10T00:00:00"/>
    <n v="6"/>
    <n v="10"/>
    <n v="2026"/>
    <x v="2"/>
    <s v="Q2"/>
    <x v="0"/>
  </r>
  <r>
    <s v="O111243"/>
    <x v="267"/>
    <x v="10"/>
    <x v="0"/>
    <x v="0"/>
    <x v="0"/>
    <n v="5"/>
    <n v="2751808"/>
    <d v="2026-11-15T00:00:00"/>
    <n v="11"/>
    <n v="15"/>
    <n v="2026"/>
    <x v="0"/>
    <s v="Q4"/>
    <x v="0"/>
  </r>
  <r>
    <s v="O103787"/>
    <x v="567"/>
    <x v="6"/>
    <x v="2"/>
    <x v="3"/>
    <x v="2"/>
    <n v="8"/>
    <n v="2751425"/>
    <d v="2025-08-19T00:00:00"/>
    <n v="8"/>
    <n v="19"/>
    <n v="2025"/>
    <x v="8"/>
    <s v="Q3"/>
    <x v="3"/>
  </r>
  <r>
    <s v="O111449"/>
    <x v="232"/>
    <x v="3"/>
    <x v="0"/>
    <x v="4"/>
    <x v="1"/>
    <n v="6"/>
    <n v="2750524"/>
    <d v="2026-11-27T00:00:00"/>
    <n v="11"/>
    <n v="27"/>
    <n v="2026"/>
    <x v="0"/>
    <s v="Q4"/>
    <x v="4"/>
  </r>
  <r>
    <s v="O103462"/>
    <x v="183"/>
    <x v="6"/>
    <x v="0"/>
    <x v="0"/>
    <x v="3"/>
    <n v="5"/>
    <n v="2749620"/>
    <d v="2025-07-30T00:00:00"/>
    <n v="7"/>
    <n v="30"/>
    <n v="2025"/>
    <x v="10"/>
    <s v="Q3"/>
    <x v="0"/>
  </r>
  <r>
    <s v="O100857"/>
    <x v="106"/>
    <x v="10"/>
    <x v="0"/>
    <x v="3"/>
    <x v="1"/>
    <n v="5"/>
    <n v="2747799"/>
    <d v="2025-02-22T00:00:00"/>
    <n v="2"/>
    <n v="22"/>
    <n v="2025"/>
    <x v="4"/>
    <s v="Q1"/>
    <x v="3"/>
  </r>
  <r>
    <s v="O104323"/>
    <x v="27"/>
    <x v="1"/>
    <x v="2"/>
    <x v="4"/>
    <x v="0"/>
    <n v="10"/>
    <n v="2746472"/>
    <d v="2025-09-20T00:00:00"/>
    <n v="9"/>
    <n v="20"/>
    <n v="2025"/>
    <x v="1"/>
    <s v="Q3"/>
    <x v="4"/>
  </r>
  <r>
    <s v="O108751"/>
    <x v="283"/>
    <x v="7"/>
    <x v="2"/>
    <x v="0"/>
    <x v="0"/>
    <n v="10"/>
    <n v="2745495"/>
    <d v="2026-06-16T00:00:00"/>
    <n v="6"/>
    <n v="16"/>
    <n v="2026"/>
    <x v="2"/>
    <s v="Q2"/>
    <x v="0"/>
  </r>
  <r>
    <s v="O108248"/>
    <x v="342"/>
    <x v="1"/>
    <x v="2"/>
    <x v="2"/>
    <x v="2"/>
    <n v="10"/>
    <n v="2745165"/>
    <d v="2026-05-17T00:00:00"/>
    <n v="5"/>
    <n v="17"/>
    <n v="2026"/>
    <x v="3"/>
    <s v="Q2"/>
    <x v="2"/>
  </r>
  <r>
    <s v="O104398"/>
    <x v="143"/>
    <x v="10"/>
    <x v="0"/>
    <x v="4"/>
    <x v="3"/>
    <n v="7"/>
    <n v="2745129"/>
    <d v="2025-09-25T00:00:00"/>
    <n v="9"/>
    <n v="25"/>
    <n v="2025"/>
    <x v="1"/>
    <s v="Q3"/>
    <x v="4"/>
  </r>
  <r>
    <s v="O102323"/>
    <x v="670"/>
    <x v="0"/>
    <x v="2"/>
    <x v="2"/>
    <x v="1"/>
    <n v="9"/>
    <n v="2744262"/>
    <d v="2025-05-22T00:00:00"/>
    <n v="5"/>
    <n v="22"/>
    <n v="2025"/>
    <x v="3"/>
    <s v="Q2"/>
    <x v="2"/>
  </r>
  <r>
    <s v="O111600"/>
    <x v="655"/>
    <x v="0"/>
    <x v="2"/>
    <x v="1"/>
    <x v="1"/>
    <n v="10"/>
    <n v="2744232"/>
    <d v="2026-06-12T00:00:00"/>
    <n v="6"/>
    <n v="12"/>
    <n v="2026"/>
    <x v="2"/>
    <s v="Q2"/>
    <x v="1"/>
  </r>
  <r>
    <s v="O107925"/>
    <x v="671"/>
    <x v="9"/>
    <x v="3"/>
    <x v="3"/>
    <x v="1"/>
    <n v="10"/>
    <n v="2743357"/>
    <d v="2026-04-27T00:00:00"/>
    <n v="4"/>
    <n v="27"/>
    <n v="2026"/>
    <x v="11"/>
    <s v="Q2"/>
    <x v="3"/>
  </r>
  <r>
    <s v="O103655"/>
    <x v="238"/>
    <x v="1"/>
    <x v="0"/>
    <x v="3"/>
    <x v="3"/>
    <n v="5"/>
    <n v="2742187"/>
    <d v="2025-10-08T00:00:00"/>
    <n v="10"/>
    <n v="8"/>
    <n v="2025"/>
    <x v="9"/>
    <s v="Q4"/>
    <x v="3"/>
  </r>
  <r>
    <s v="O101443"/>
    <x v="80"/>
    <x v="6"/>
    <x v="2"/>
    <x v="2"/>
    <x v="0"/>
    <n v="8"/>
    <n v="2741225"/>
    <d v="2025-03-29T00:00:00"/>
    <n v="3"/>
    <n v="29"/>
    <n v="2025"/>
    <x v="5"/>
    <s v="Q1"/>
    <x v="2"/>
  </r>
  <r>
    <s v="O104318"/>
    <x v="180"/>
    <x v="6"/>
    <x v="0"/>
    <x v="4"/>
    <x v="0"/>
    <n v="8"/>
    <n v="2741205"/>
    <d v="2025-09-20T00:00:00"/>
    <n v="9"/>
    <n v="20"/>
    <n v="2025"/>
    <x v="1"/>
    <s v="Q3"/>
    <x v="4"/>
  </r>
  <r>
    <s v="O102330"/>
    <x v="149"/>
    <x v="10"/>
    <x v="0"/>
    <x v="1"/>
    <x v="2"/>
    <n v="5"/>
    <n v="2740080"/>
    <d v="2025-05-22T00:00:00"/>
    <n v="5"/>
    <n v="22"/>
    <n v="2025"/>
    <x v="3"/>
    <s v="Q2"/>
    <x v="1"/>
  </r>
  <r>
    <s v="O104573"/>
    <x v="164"/>
    <x v="0"/>
    <x v="0"/>
    <x v="1"/>
    <x v="3"/>
    <n v="7"/>
    <n v="2740062"/>
    <d v="2025-05-10T00:00:00"/>
    <n v="5"/>
    <n v="10"/>
    <n v="2025"/>
    <x v="3"/>
    <s v="Q2"/>
    <x v="1"/>
  </r>
  <r>
    <s v="O110912"/>
    <x v="34"/>
    <x v="2"/>
    <x v="2"/>
    <x v="2"/>
    <x v="3"/>
    <n v="8"/>
    <n v="2739841"/>
    <d v="2026-10-25T00:00:00"/>
    <n v="10"/>
    <n v="25"/>
    <n v="2026"/>
    <x v="9"/>
    <s v="Q4"/>
    <x v="2"/>
  </r>
  <r>
    <s v="O108186"/>
    <x v="550"/>
    <x v="4"/>
    <x v="0"/>
    <x v="4"/>
    <x v="0"/>
    <n v="8"/>
    <n v="2739789"/>
    <d v="2026-05-13T00:00:00"/>
    <n v="5"/>
    <n v="13"/>
    <n v="2026"/>
    <x v="3"/>
    <s v="Q2"/>
    <x v="4"/>
  </r>
  <r>
    <s v="O105630"/>
    <x v="100"/>
    <x v="4"/>
    <x v="0"/>
    <x v="2"/>
    <x v="1"/>
    <n v="6"/>
    <n v="2738735"/>
    <d v="2025-08-12T00:00:00"/>
    <n v="8"/>
    <n v="12"/>
    <n v="2025"/>
    <x v="8"/>
    <s v="Q3"/>
    <x v="2"/>
  </r>
  <r>
    <s v="O107952"/>
    <x v="353"/>
    <x v="8"/>
    <x v="0"/>
    <x v="3"/>
    <x v="2"/>
    <n v="5"/>
    <n v="2731812"/>
    <d v="2026-04-29T00:00:00"/>
    <n v="4"/>
    <n v="29"/>
    <n v="2026"/>
    <x v="11"/>
    <s v="Q2"/>
    <x v="3"/>
  </r>
  <r>
    <s v="O109917"/>
    <x v="341"/>
    <x v="1"/>
    <x v="0"/>
    <x v="4"/>
    <x v="0"/>
    <n v="7"/>
    <n v="2730076"/>
    <d v="2026-08-26T00:00:00"/>
    <n v="8"/>
    <n v="26"/>
    <n v="2026"/>
    <x v="8"/>
    <m/>
    <x v="4"/>
  </r>
  <r>
    <s v="O100878"/>
    <x v="672"/>
    <x v="2"/>
    <x v="2"/>
    <x v="2"/>
    <x v="0"/>
    <n v="9"/>
    <n v="2728727"/>
    <d v="2025-02-23T00:00:00"/>
    <n v="2"/>
    <n v="23"/>
    <n v="2025"/>
    <x v="4"/>
    <s v="Q1"/>
    <x v="2"/>
  </r>
  <r>
    <s v="O107938"/>
    <x v="673"/>
    <x v="8"/>
    <x v="2"/>
    <x v="0"/>
    <x v="2"/>
    <n v="9"/>
    <n v="2727631"/>
    <d v="2026-04-28T00:00:00"/>
    <n v="4"/>
    <n v="28"/>
    <n v="2026"/>
    <x v="11"/>
    <s v="Q2"/>
    <x v="0"/>
  </r>
  <r>
    <s v="O109914"/>
    <x v="231"/>
    <x v="10"/>
    <x v="2"/>
    <x v="10"/>
    <x v="1"/>
    <n v="10"/>
    <n v="2726175"/>
    <d v="2026-08-26T00:00:00"/>
    <n v="8"/>
    <n v="26"/>
    <n v="2026"/>
    <x v="8"/>
    <s v="Q3"/>
    <x v="1"/>
  </r>
  <r>
    <s v="O105691"/>
    <x v="27"/>
    <x v="9"/>
    <x v="0"/>
    <x v="4"/>
    <x v="0"/>
    <n v="5"/>
    <n v="2726018"/>
    <d v="2025-12-12T00:00:00"/>
    <n v="12"/>
    <n v="12"/>
    <n v="2025"/>
    <x v="7"/>
    <s v="Q4"/>
    <x v="4"/>
  </r>
  <r>
    <s v="O111678"/>
    <x v="215"/>
    <x v="3"/>
    <x v="2"/>
    <x v="1"/>
    <x v="3"/>
    <n v="8"/>
    <n v="2725460"/>
    <d v="2026-11-12T00:00:00"/>
    <n v="11"/>
    <n v="12"/>
    <n v="2026"/>
    <x v="0"/>
    <s v="Q4"/>
    <x v="1"/>
  </r>
  <r>
    <s v="O101569"/>
    <x v="82"/>
    <x v="2"/>
    <x v="2"/>
    <x v="0"/>
    <x v="2"/>
    <n v="8"/>
    <n v="2723762"/>
    <d v="2025-06-04T00:00:00"/>
    <n v="6"/>
    <n v="4"/>
    <n v="2025"/>
    <x v="2"/>
    <s v="Q2"/>
    <x v="0"/>
  </r>
  <r>
    <s v="O101337"/>
    <x v="674"/>
    <x v="4"/>
    <x v="0"/>
    <x v="0"/>
    <x v="0"/>
    <n v="5"/>
    <n v="2722928"/>
    <d v="2025-03-23T00:00:00"/>
    <n v="3"/>
    <n v="23"/>
    <n v="2025"/>
    <x v="5"/>
    <s v="Q1"/>
    <x v="0"/>
  </r>
  <r>
    <s v="O107981"/>
    <x v="66"/>
    <x v="2"/>
    <x v="0"/>
    <x v="3"/>
    <x v="2"/>
    <n v="5"/>
    <n v="2722780"/>
    <d v="2026-04-30T00:00:00"/>
    <n v="4"/>
    <n v="30"/>
    <n v="2026"/>
    <x v="11"/>
    <s v="Q2"/>
    <x v="3"/>
  </r>
  <r>
    <s v="O102660"/>
    <x v="210"/>
    <x v="5"/>
    <x v="2"/>
    <x v="2"/>
    <x v="0"/>
    <n v="9"/>
    <n v="2722117"/>
    <d v="2025-11-06T00:00:00"/>
    <n v="11"/>
    <n v="6"/>
    <n v="2025"/>
    <x v="0"/>
    <s v="Q4"/>
    <x v="2"/>
  </r>
  <r>
    <s v="O111532"/>
    <x v="207"/>
    <x v="3"/>
    <x v="0"/>
    <x v="0"/>
    <x v="0"/>
    <n v="5"/>
    <n v="2721472"/>
    <d v="2026-02-12T00:00:00"/>
    <n v="2"/>
    <n v="12"/>
    <n v="2026"/>
    <x v="4"/>
    <s v="Q1"/>
    <x v="0"/>
  </r>
  <r>
    <s v="O110636"/>
    <x v="417"/>
    <x v="1"/>
    <x v="3"/>
    <x v="4"/>
    <x v="2"/>
    <n v="10"/>
    <n v="2721215"/>
    <d v="2026-09-10T00:00:00"/>
    <n v="9"/>
    <n v="10"/>
    <n v="2026"/>
    <x v="1"/>
    <s v="Q3"/>
    <x v="4"/>
  </r>
  <r>
    <s v="O104312"/>
    <x v="567"/>
    <x v="3"/>
    <x v="3"/>
    <x v="4"/>
    <x v="3"/>
    <n v="10"/>
    <n v="2721158"/>
    <d v="2025-09-19T00:00:00"/>
    <n v="9"/>
    <n v="19"/>
    <n v="2025"/>
    <x v="1"/>
    <s v="Q3"/>
    <x v="4"/>
  </r>
  <r>
    <s v="O110079"/>
    <x v="641"/>
    <x v="4"/>
    <x v="0"/>
    <x v="3"/>
    <x v="0"/>
    <n v="5"/>
    <n v="2719000"/>
    <d v="2026-05-09T00:00:00"/>
    <n v="5"/>
    <n v="9"/>
    <n v="2026"/>
    <x v="3"/>
    <s v="Q2"/>
    <x v="3"/>
  </r>
  <r>
    <s v="O106860"/>
    <x v="675"/>
    <x v="2"/>
    <x v="2"/>
    <x v="0"/>
    <x v="3"/>
    <n v="10"/>
    <n v="2718779"/>
    <d v="2026-02-21T00:00:00"/>
    <n v="2"/>
    <n v="21"/>
    <n v="2026"/>
    <x v="4"/>
    <s v="Q1"/>
    <x v="0"/>
  </r>
  <r>
    <s v="O100841"/>
    <x v="523"/>
    <x v="4"/>
    <x v="0"/>
    <x v="1"/>
    <x v="0"/>
    <n v="7"/>
    <n v="2718300"/>
    <d v="2025-02-21T00:00:00"/>
    <n v="2"/>
    <n v="21"/>
    <n v="2025"/>
    <x v="4"/>
    <s v="Q1"/>
    <x v="1"/>
  </r>
  <r>
    <s v="O108677"/>
    <x v="469"/>
    <x v="0"/>
    <x v="0"/>
    <x v="3"/>
    <x v="1"/>
    <n v="5"/>
    <n v="2717851"/>
    <d v="2026-12-06T00:00:00"/>
    <n v="12"/>
    <n v="6"/>
    <n v="2026"/>
    <x v="7"/>
    <s v="Q4"/>
    <x v="3"/>
  </r>
  <r>
    <s v="O110387"/>
    <x v="676"/>
    <x v="3"/>
    <x v="0"/>
    <x v="3"/>
    <x v="1"/>
    <n v="5"/>
    <n v="2716422"/>
    <d v="2026-09-24T00:00:00"/>
    <n v="9"/>
    <n v="24"/>
    <n v="2026"/>
    <x v="1"/>
    <s v="Q3"/>
    <x v="3"/>
  </r>
  <r>
    <s v="O108097"/>
    <x v="98"/>
    <x v="5"/>
    <x v="0"/>
    <x v="0"/>
    <x v="0"/>
    <n v="5"/>
    <n v="2715704"/>
    <d v="2026-07-05T00:00:00"/>
    <n v="7"/>
    <n v="5"/>
    <n v="2026"/>
    <x v="10"/>
    <s v="Q3"/>
    <x v="0"/>
  </r>
  <r>
    <s v="O111062"/>
    <x v="74"/>
    <x v="10"/>
    <x v="0"/>
    <x v="2"/>
    <x v="1"/>
    <n v="8"/>
    <n v="2715595"/>
    <d v="2026-04-11T00:00:00"/>
    <n v="4"/>
    <n v="11"/>
    <n v="2026"/>
    <x v="11"/>
    <s v="Q2"/>
    <x v="2"/>
  </r>
  <r>
    <s v="O100354"/>
    <x v="383"/>
    <x v="5"/>
    <x v="0"/>
    <x v="4"/>
    <x v="1"/>
    <n v="7"/>
    <n v="2715187"/>
    <d v="2025-01-22T00:00:00"/>
    <n v="1"/>
    <n v="22"/>
    <n v="2025"/>
    <x v="6"/>
    <s v="Q1"/>
    <x v="4"/>
  </r>
  <r>
    <s v="O102628"/>
    <x v="525"/>
    <x v="4"/>
    <x v="2"/>
    <x v="0"/>
    <x v="3"/>
    <n v="8"/>
    <n v="2714862"/>
    <d v="2025-09-06T00:00:00"/>
    <n v="9"/>
    <n v="6"/>
    <n v="2025"/>
    <x v="1"/>
    <s v="Q3"/>
    <x v="0"/>
  </r>
  <r>
    <s v="O105437"/>
    <x v="346"/>
    <x v="8"/>
    <x v="0"/>
    <x v="1"/>
    <x v="1"/>
    <n v="5"/>
    <n v="2714652"/>
    <d v="2025-11-27T00:00:00"/>
    <n v="11"/>
    <n v="27"/>
    <n v="2025"/>
    <x v="0"/>
    <m/>
    <x v="1"/>
  </r>
  <r>
    <s v="O102309"/>
    <x v="450"/>
    <x v="6"/>
    <x v="0"/>
    <x v="0"/>
    <x v="1"/>
    <n v="5"/>
    <n v="2714601"/>
    <d v="2025-05-21T00:00:00"/>
    <n v="5"/>
    <n v="21"/>
    <n v="2025"/>
    <x v="3"/>
    <s v="Q2"/>
    <x v="0"/>
  </r>
  <r>
    <s v="O105318"/>
    <x v="229"/>
    <x v="9"/>
    <x v="3"/>
    <x v="4"/>
    <x v="2"/>
    <n v="10"/>
    <n v="2714193"/>
    <d v="2025-11-20T00:00:00"/>
    <n v="11"/>
    <n v="20"/>
    <n v="2025"/>
    <x v="0"/>
    <s v="Q4"/>
    <x v="4"/>
  </r>
  <r>
    <s v="O101809"/>
    <x v="365"/>
    <x v="2"/>
    <x v="0"/>
    <x v="2"/>
    <x v="3"/>
    <n v="5"/>
    <n v="2713121"/>
    <d v="2025-04-20T00:00:00"/>
    <n v="4"/>
    <n v="20"/>
    <n v="2025"/>
    <x v="11"/>
    <s v="Q2"/>
    <x v="2"/>
  </r>
  <r>
    <s v="O106747"/>
    <x v="224"/>
    <x v="5"/>
    <x v="2"/>
    <x v="0"/>
    <x v="3"/>
    <n v="9"/>
    <n v="2713011"/>
    <d v="2026-02-14T00:00:00"/>
    <n v="2"/>
    <n v="14"/>
    <n v="2026"/>
    <x v="4"/>
    <s v="Q1"/>
    <x v="0"/>
  </r>
  <r>
    <s v="O110064"/>
    <x v="170"/>
    <x v="7"/>
    <x v="0"/>
    <x v="3"/>
    <x v="1"/>
    <n v="5"/>
    <n v="2712609"/>
    <d v="2026-04-09T00:00:00"/>
    <n v="4"/>
    <n v="9"/>
    <n v="2026"/>
    <x v="11"/>
    <s v="Q2"/>
    <x v="3"/>
  </r>
  <r>
    <s v="O101460"/>
    <x v="677"/>
    <x v="0"/>
    <x v="2"/>
    <x v="4"/>
    <x v="0"/>
    <n v="8"/>
    <n v="2712447"/>
    <d v="2025-03-30T00:00:00"/>
    <n v="3"/>
    <n v="30"/>
    <n v="2025"/>
    <x v="5"/>
    <s v="Q1"/>
    <x v="4"/>
  </r>
  <r>
    <s v="O103649"/>
    <x v="305"/>
    <x v="3"/>
    <x v="2"/>
    <x v="4"/>
    <x v="1"/>
    <n v="9"/>
    <n v="2711773"/>
    <d v="2025-10-08T00:00:00"/>
    <n v="10"/>
    <n v="8"/>
    <n v="2025"/>
    <x v="9"/>
    <s v="Q4"/>
    <x v="4"/>
  </r>
  <r>
    <s v="O108445"/>
    <x v="6"/>
    <x v="3"/>
    <x v="0"/>
    <x v="2"/>
    <x v="0"/>
    <n v="7"/>
    <n v="2711119"/>
    <d v="2026-05-29T00:00:00"/>
    <n v="5"/>
    <n v="29"/>
    <n v="2026"/>
    <x v="3"/>
    <s v="Q2"/>
    <x v="2"/>
  </r>
  <r>
    <s v="O106076"/>
    <x v="128"/>
    <x v="2"/>
    <x v="0"/>
    <x v="0"/>
    <x v="0"/>
    <n v="7"/>
    <n v="2710758"/>
    <d v="2026-05-01T00:00:00"/>
    <n v="5"/>
    <n v="1"/>
    <n v="2026"/>
    <x v="3"/>
    <s v="Q2"/>
    <x v="0"/>
  </r>
  <r>
    <s v="O105645"/>
    <x v="252"/>
    <x v="4"/>
    <x v="2"/>
    <x v="2"/>
    <x v="2"/>
    <n v="9"/>
    <n v="2709235"/>
    <d v="2025-09-12T00:00:00"/>
    <n v="9"/>
    <n v="12"/>
    <n v="2025"/>
    <x v="1"/>
    <s v="Q3"/>
    <x v="2"/>
  </r>
  <r>
    <s v="O102037"/>
    <x v="51"/>
    <x v="9"/>
    <x v="0"/>
    <x v="2"/>
    <x v="3"/>
    <n v="5"/>
    <n v="2708667"/>
    <d v="2025-04-05T00:00:00"/>
    <n v="4"/>
    <n v="5"/>
    <n v="2025"/>
    <x v="11"/>
    <m/>
    <x v="2"/>
  </r>
  <r>
    <s v="O108762"/>
    <x v="678"/>
    <x v="2"/>
    <x v="2"/>
    <x v="0"/>
    <x v="3"/>
    <n v="9"/>
    <n v="2708404"/>
    <d v="2026-06-17T00:00:00"/>
    <n v="6"/>
    <n v="17"/>
    <n v="2026"/>
    <x v="2"/>
    <s v="Q2"/>
    <x v="0"/>
  </r>
  <r>
    <s v="O107906"/>
    <x v="484"/>
    <x v="8"/>
    <x v="3"/>
    <x v="4"/>
    <x v="0"/>
    <n v="10"/>
    <n v="2707474"/>
    <d v="2026-04-26T00:00:00"/>
    <n v="4"/>
    <n v="26"/>
    <n v="2026"/>
    <x v="11"/>
    <s v="Q2"/>
    <x v="4"/>
  </r>
  <r>
    <s v="O101887"/>
    <x v="245"/>
    <x v="0"/>
    <x v="0"/>
    <x v="2"/>
    <x v="1"/>
    <n v="8"/>
    <n v="2707269"/>
    <d v="2025-04-25T00:00:00"/>
    <n v="4"/>
    <n v="25"/>
    <n v="2025"/>
    <x v="11"/>
    <s v="Q2"/>
    <x v="2"/>
  </r>
  <r>
    <s v="O101697"/>
    <x v="311"/>
    <x v="3"/>
    <x v="0"/>
    <x v="3"/>
    <x v="3"/>
    <n v="8"/>
    <n v="2707180"/>
    <d v="2025-04-14T00:00:00"/>
    <n v="4"/>
    <n v="14"/>
    <n v="2025"/>
    <x v="11"/>
    <s v="Q2"/>
    <x v="3"/>
  </r>
  <r>
    <s v="O106573"/>
    <x v="520"/>
    <x v="2"/>
    <x v="0"/>
    <x v="2"/>
    <x v="3"/>
    <n v="7"/>
    <n v="2705584"/>
    <d v="2026-04-02T00:00:00"/>
    <n v="4"/>
    <n v="2"/>
    <n v="2026"/>
    <x v="11"/>
    <s v="Q2"/>
    <x v="2"/>
  </r>
  <r>
    <s v="O109375"/>
    <x v="448"/>
    <x v="8"/>
    <x v="0"/>
    <x v="0"/>
    <x v="2"/>
    <n v="5"/>
    <n v="2704102"/>
    <d v="2026-07-24T00:00:00"/>
    <n v="7"/>
    <n v="24"/>
    <n v="2026"/>
    <x v="10"/>
    <s v="Q3"/>
    <x v="0"/>
  </r>
  <r>
    <s v="O104959"/>
    <x v="23"/>
    <x v="4"/>
    <x v="0"/>
    <x v="3"/>
    <x v="3"/>
    <n v="7"/>
    <n v="2703798"/>
    <d v="2025-10-29T00:00:00"/>
    <n v="10"/>
    <n v="29"/>
    <n v="2025"/>
    <x v="9"/>
    <s v="Q4"/>
    <x v="3"/>
  </r>
  <r>
    <s v="O110133"/>
    <x v="679"/>
    <x v="1"/>
    <x v="2"/>
    <x v="2"/>
    <x v="2"/>
    <n v="10"/>
    <n v="2703679"/>
    <d v="2026-08-09T00:00:00"/>
    <n v="8"/>
    <n v="9"/>
    <n v="2026"/>
    <x v="8"/>
    <s v="Q3"/>
    <x v="2"/>
  </r>
  <r>
    <s v="O107443"/>
    <x v="652"/>
    <x v="9"/>
    <x v="0"/>
    <x v="4"/>
    <x v="1"/>
    <n v="6"/>
    <n v="2703266"/>
    <d v="2026-03-29T00:00:00"/>
    <n v="3"/>
    <n v="29"/>
    <n v="2026"/>
    <x v="5"/>
    <s v="Q1"/>
    <x v="4"/>
  </r>
  <r>
    <s v="O106178"/>
    <x v="680"/>
    <x v="2"/>
    <x v="0"/>
    <x v="0"/>
    <x v="2"/>
    <n v="7"/>
    <n v="2703200"/>
    <d v="2026-11-01T00:00:00"/>
    <n v="11"/>
    <n v="1"/>
    <n v="2026"/>
    <x v="0"/>
    <s v="Q4"/>
    <x v="0"/>
  </r>
  <r>
    <s v="O110926"/>
    <x v="524"/>
    <x v="10"/>
    <x v="0"/>
    <x v="1"/>
    <x v="2"/>
    <n v="7"/>
    <n v="2703183"/>
    <d v="2026-10-26T00:00:00"/>
    <n v="10"/>
    <n v="26"/>
    <n v="2026"/>
    <x v="9"/>
    <s v="Q4"/>
    <x v="1"/>
  </r>
  <r>
    <s v="O101572"/>
    <x v="189"/>
    <x v="0"/>
    <x v="0"/>
    <x v="0"/>
    <x v="3"/>
    <n v="6"/>
    <n v="2701488"/>
    <d v="2025-06-04T00:00:00"/>
    <n v="6"/>
    <n v="4"/>
    <n v="2025"/>
    <x v="2"/>
    <s v="Q2"/>
    <x v="0"/>
  </r>
  <r>
    <s v="O101738"/>
    <x v="29"/>
    <x v="5"/>
    <x v="0"/>
    <x v="4"/>
    <x v="0"/>
    <n v="6"/>
    <n v="2701084"/>
    <d v="2025-04-16T00:00:00"/>
    <n v="4"/>
    <n v="16"/>
    <n v="2025"/>
    <x v="11"/>
    <s v="Q2"/>
    <x v="4"/>
  </r>
  <r>
    <s v="O111891"/>
    <x v="681"/>
    <x v="0"/>
    <x v="2"/>
    <x v="2"/>
    <x v="0"/>
    <n v="10"/>
    <n v="2701019"/>
    <d v="2026-12-24T00:00:00"/>
    <n v="12"/>
    <n v="24"/>
    <n v="2026"/>
    <x v="7"/>
    <s v="Q4"/>
    <x v="2"/>
  </r>
  <r>
    <s v="O101957"/>
    <x v="476"/>
    <x v="6"/>
    <x v="2"/>
    <x v="2"/>
    <x v="0"/>
    <n v="10"/>
    <n v="2698728"/>
    <d v="2025-04-29T00:00:00"/>
    <n v="4"/>
    <n v="29"/>
    <n v="2025"/>
    <x v="11"/>
    <s v="Q2"/>
    <x v="2"/>
  </r>
  <r>
    <s v="O105053"/>
    <x v="251"/>
    <x v="9"/>
    <x v="0"/>
    <x v="4"/>
    <x v="3"/>
    <n v="7"/>
    <n v="2696885"/>
    <d v="2025-03-11T00:00:00"/>
    <n v="3"/>
    <n v="11"/>
    <n v="2025"/>
    <x v="5"/>
    <s v="Q1"/>
    <x v="4"/>
  </r>
  <r>
    <s v="O103371"/>
    <x v="374"/>
    <x v="2"/>
    <x v="0"/>
    <x v="3"/>
    <x v="3"/>
    <n v="7"/>
    <n v="2696884"/>
    <d v="2025-07-24T00:00:00"/>
    <n v="7"/>
    <n v="24"/>
    <n v="2025"/>
    <x v="10"/>
    <s v="Q3"/>
    <x v="3"/>
  </r>
  <r>
    <s v="O102484"/>
    <x v="121"/>
    <x v="8"/>
    <x v="0"/>
    <x v="3"/>
    <x v="2"/>
    <n v="5"/>
    <n v="2696317"/>
    <d v="2025-05-31T00:00:00"/>
    <n v="5"/>
    <n v="31"/>
    <n v="2025"/>
    <x v="3"/>
    <s v="Q2"/>
    <x v="3"/>
  </r>
  <r>
    <s v="O101847"/>
    <x v="452"/>
    <x v="9"/>
    <x v="0"/>
    <x v="4"/>
    <x v="2"/>
    <n v="7"/>
    <n v="2695997"/>
    <d v="2025-04-23T00:00:00"/>
    <n v="4"/>
    <n v="23"/>
    <n v="2025"/>
    <x v="11"/>
    <s v="Q2"/>
    <x v="4"/>
  </r>
  <r>
    <s v="O102204"/>
    <x v="630"/>
    <x v="6"/>
    <x v="0"/>
    <x v="3"/>
    <x v="1"/>
    <n v="5"/>
    <n v="2693530"/>
    <d v="2025-05-14T00:00:00"/>
    <n v="5"/>
    <n v="14"/>
    <n v="2025"/>
    <x v="3"/>
    <s v="Q2"/>
    <x v="3"/>
  </r>
  <r>
    <s v="O103225"/>
    <x v="682"/>
    <x v="1"/>
    <x v="0"/>
    <x v="1"/>
    <x v="0"/>
    <n v="6"/>
    <n v="2692638"/>
    <d v="2025-07-15T00:00:00"/>
    <n v="7"/>
    <n v="15"/>
    <n v="2025"/>
    <x v="10"/>
    <s v="Q3"/>
    <x v="1"/>
  </r>
  <r>
    <s v="O104954"/>
    <x v="539"/>
    <x v="4"/>
    <x v="2"/>
    <x v="0"/>
    <x v="2"/>
    <n v="9"/>
    <n v="2692243"/>
    <d v="2025-10-28T00:00:00"/>
    <n v="10"/>
    <n v="28"/>
    <n v="2025"/>
    <x v="9"/>
    <s v="Q4"/>
    <x v="0"/>
  </r>
  <r>
    <s v="O111842"/>
    <x v="439"/>
    <x v="8"/>
    <x v="2"/>
    <x v="2"/>
    <x v="3"/>
    <n v="8"/>
    <n v="2691939"/>
    <d v="2026-12-21T00:00:00"/>
    <n v="12"/>
    <n v="21"/>
    <n v="2026"/>
    <x v="7"/>
    <s v="Q4"/>
    <x v="2"/>
  </r>
  <r>
    <s v="O100593"/>
    <x v="159"/>
    <x v="9"/>
    <x v="0"/>
    <x v="3"/>
    <x v="3"/>
    <n v="5"/>
    <n v="2690966"/>
    <d v="2025-05-02T00:00:00"/>
    <n v="5"/>
    <n v="2"/>
    <n v="2025"/>
    <x v="3"/>
    <s v="Q2"/>
    <x v="3"/>
  </r>
  <r>
    <s v="O102587"/>
    <x v="683"/>
    <x v="8"/>
    <x v="0"/>
    <x v="1"/>
    <x v="2"/>
    <n v="7"/>
    <n v="2690625"/>
    <d v="2025-07-06T00:00:00"/>
    <n v="7"/>
    <n v="6"/>
    <n v="2025"/>
    <x v="10"/>
    <s v="Q3"/>
    <x v="1"/>
  </r>
  <r>
    <s v="O111903"/>
    <x v="549"/>
    <x v="6"/>
    <x v="2"/>
    <x v="0"/>
    <x v="2"/>
    <n v="10"/>
    <n v="2690540"/>
    <d v="2026-12-25T00:00:00"/>
    <n v="12"/>
    <n v="25"/>
    <n v="2026"/>
    <x v="7"/>
    <s v="Q4"/>
    <x v="0"/>
  </r>
  <r>
    <s v="O105358"/>
    <x v="94"/>
    <x v="3"/>
    <x v="3"/>
    <x v="4"/>
    <x v="1"/>
    <n v="10"/>
    <n v="2688794"/>
    <d v="2025-11-22T00:00:00"/>
    <n v="11"/>
    <n v="22"/>
    <n v="2025"/>
    <x v="0"/>
    <s v="Q4"/>
    <x v="4"/>
  </r>
  <r>
    <s v="O103118"/>
    <x v="119"/>
    <x v="10"/>
    <x v="0"/>
    <x v="1"/>
    <x v="0"/>
    <n v="6"/>
    <n v="2688369"/>
    <d v="2025-09-07T00:00:00"/>
    <n v="9"/>
    <n v="7"/>
    <n v="2025"/>
    <x v="1"/>
    <s v="Q3"/>
    <x v="1"/>
  </r>
  <r>
    <s v="O101385"/>
    <x v="436"/>
    <x v="3"/>
    <x v="2"/>
    <x v="2"/>
    <x v="2"/>
    <n v="8"/>
    <n v="2687485"/>
    <d v="2025-03-26T00:00:00"/>
    <n v="3"/>
    <n v="26"/>
    <n v="2025"/>
    <x v="5"/>
    <s v="Q1"/>
    <x v="2"/>
  </r>
  <r>
    <s v="O106426"/>
    <x v="267"/>
    <x v="2"/>
    <x v="0"/>
    <x v="0"/>
    <x v="1"/>
    <n v="5"/>
    <n v="2686694"/>
    <d v="2026-01-26T00:00:00"/>
    <n v="1"/>
    <n v="26"/>
    <n v="2026"/>
    <x v="6"/>
    <s v="Q1"/>
    <x v="0"/>
  </r>
  <r>
    <s v="O101240"/>
    <x v="684"/>
    <x v="1"/>
    <x v="0"/>
    <x v="1"/>
    <x v="2"/>
    <n v="5"/>
    <n v="2686636"/>
    <d v="2025-03-17T00:00:00"/>
    <n v="3"/>
    <n v="17"/>
    <n v="2025"/>
    <x v="5"/>
    <s v="Q1"/>
    <x v="1"/>
  </r>
  <r>
    <s v="O102397"/>
    <x v="485"/>
    <x v="5"/>
    <x v="0"/>
    <x v="1"/>
    <x v="2"/>
    <n v="7"/>
    <n v="2686592"/>
    <d v="2025-05-26T00:00:00"/>
    <n v="5"/>
    <n v="26"/>
    <n v="2025"/>
    <x v="3"/>
    <s v="Q2"/>
    <x v="1"/>
  </r>
  <r>
    <s v="O102253"/>
    <x v="345"/>
    <x v="6"/>
    <x v="2"/>
    <x v="4"/>
    <x v="1"/>
    <n v="8"/>
    <n v="2685782"/>
    <d v="2025-05-17T00:00:00"/>
    <n v="5"/>
    <n v="17"/>
    <n v="2025"/>
    <x v="3"/>
    <s v="Q2"/>
    <x v="4"/>
  </r>
  <r>
    <s v="O109682"/>
    <x v="17"/>
    <x v="3"/>
    <x v="0"/>
    <x v="2"/>
    <x v="3"/>
    <n v="7"/>
    <n v="2685632"/>
    <d v="2026-12-08T00:00:00"/>
    <n v="12"/>
    <n v="8"/>
    <n v="2026"/>
    <x v="7"/>
    <s v="Q4"/>
    <x v="2"/>
  </r>
  <r>
    <s v="O102009"/>
    <x v="685"/>
    <x v="3"/>
    <x v="0"/>
    <x v="4"/>
    <x v="3"/>
    <n v="5"/>
    <n v="2684390"/>
    <d v="2025-02-05T00:00:00"/>
    <n v="2"/>
    <n v="5"/>
    <n v="2025"/>
    <x v="4"/>
    <s v="Q1"/>
    <x v="4"/>
  </r>
  <r>
    <s v="O103804"/>
    <x v="211"/>
    <x v="10"/>
    <x v="3"/>
    <x v="2"/>
    <x v="2"/>
    <n v="10"/>
    <n v="2683524"/>
    <d v="2025-08-20T00:00:00"/>
    <n v="8"/>
    <n v="20"/>
    <n v="2025"/>
    <x v="8"/>
    <s v="Q3"/>
    <x v="2"/>
  </r>
  <r>
    <s v="O101685"/>
    <x v="222"/>
    <x v="3"/>
    <x v="0"/>
    <x v="3"/>
    <x v="0"/>
    <n v="7"/>
    <n v="2682814"/>
    <d v="2025-04-13T00:00:00"/>
    <n v="4"/>
    <n v="13"/>
    <n v="2025"/>
    <x v="11"/>
    <s v="Q2"/>
    <x v="3"/>
  </r>
  <r>
    <s v="O104588"/>
    <x v="61"/>
    <x v="2"/>
    <x v="0"/>
    <x v="1"/>
    <x v="0"/>
    <n v="5"/>
    <n v="2679472"/>
    <d v="2025-06-10T00:00:00"/>
    <n v="6"/>
    <n v="10"/>
    <n v="2025"/>
    <x v="2"/>
    <s v="Q2"/>
    <x v="1"/>
  </r>
  <r>
    <s v="O100238"/>
    <x v="686"/>
    <x v="8"/>
    <x v="0"/>
    <x v="4"/>
    <x v="2"/>
    <n v="6"/>
    <n v="2679173"/>
    <d v="2025-01-15T00:00:00"/>
    <n v="1"/>
    <n v="15"/>
    <n v="2025"/>
    <x v="6"/>
    <s v="Q1"/>
    <x v="4"/>
  </r>
  <r>
    <s v="O103499"/>
    <x v="574"/>
    <x v="5"/>
    <x v="0"/>
    <x v="4"/>
    <x v="3"/>
    <n v="6"/>
    <n v="2677885"/>
    <d v="2025-01-08T00:00:00"/>
    <n v="1"/>
    <n v="8"/>
    <n v="2025"/>
    <x v="6"/>
    <s v="Q1"/>
    <x v="4"/>
  </r>
  <r>
    <s v="O106504"/>
    <x v="675"/>
    <x v="5"/>
    <x v="0"/>
    <x v="3"/>
    <x v="1"/>
    <n v="5"/>
    <n v="2677027"/>
    <d v="2026-01-31T00:00:00"/>
    <n v="1"/>
    <n v="31"/>
    <n v="2026"/>
    <x v="6"/>
    <s v="Q1"/>
    <x v="3"/>
  </r>
  <r>
    <s v="O107706"/>
    <x v="571"/>
    <x v="1"/>
    <x v="0"/>
    <x v="3"/>
    <x v="2"/>
    <n v="6"/>
    <n v="2676748"/>
    <d v="2026-04-14T00:00:00"/>
    <n v="4"/>
    <n v="14"/>
    <n v="2026"/>
    <x v="11"/>
    <s v="Q2"/>
    <x v="3"/>
  </r>
  <r>
    <s v="O111111"/>
    <x v="638"/>
    <x v="4"/>
    <x v="2"/>
    <x v="0"/>
    <x v="2"/>
    <n v="9"/>
    <n v="2676467"/>
    <d v="2026-06-11T00:00:00"/>
    <n v="6"/>
    <n v="11"/>
    <n v="2026"/>
    <x v="2"/>
    <s v="Q2"/>
    <x v="0"/>
  </r>
  <r>
    <s v="O105000"/>
    <x v="687"/>
    <x v="5"/>
    <x v="2"/>
    <x v="3"/>
    <x v="0"/>
    <n v="10"/>
    <n v="2676048"/>
    <d v="2025-10-31T00:00:00"/>
    <n v="10"/>
    <n v="31"/>
    <n v="2025"/>
    <x v="9"/>
    <s v="Q4"/>
    <x v="3"/>
  </r>
  <r>
    <s v="O109617"/>
    <x v="398"/>
    <x v="0"/>
    <x v="2"/>
    <x v="4"/>
    <x v="3"/>
    <n v="10"/>
    <n v="2672673"/>
    <d v="2026-08-08T00:00:00"/>
    <n v="8"/>
    <n v="8"/>
    <n v="2026"/>
    <x v="8"/>
    <s v="Q3"/>
    <x v="4"/>
  </r>
  <r>
    <s v="O102465"/>
    <x v="164"/>
    <x v="3"/>
    <x v="2"/>
    <x v="0"/>
    <x v="2"/>
    <n v="10"/>
    <n v="2670818"/>
    <d v="2025-05-30T00:00:00"/>
    <n v="5"/>
    <n v="30"/>
    <n v="2025"/>
    <x v="3"/>
    <s v="Q2"/>
    <x v="0"/>
  </r>
  <r>
    <s v="O108492"/>
    <x v="542"/>
    <x v="1"/>
    <x v="0"/>
    <x v="1"/>
    <x v="2"/>
    <n v="7"/>
    <n v="2669899"/>
    <d v="2026-05-31T00:00:00"/>
    <n v="5"/>
    <n v="31"/>
    <n v="2026"/>
    <x v="3"/>
    <s v="Q2"/>
    <x v="1"/>
  </r>
  <r>
    <s v="O108058"/>
    <x v="4"/>
    <x v="8"/>
    <x v="0"/>
    <x v="2"/>
    <x v="1"/>
    <n v="7"/>
    <n v="2668707"/>
    <d v="2026-05-05T00:00:00"/>
    <n v="5"/>
    <n v="5"/>
    <n v="2026"/>
    <x v="3"/>
    <s v="Q2"/>
    <x v="2"/>
  </r>
  <r>
    <s v="O101891"/>
    <x v="638"/>
    <x v="5"/>
    <x v="0"/>
    <x v="1"/>
    <x v="0"/>
    <n v="7"/>
    <n v="2666405"/>
    <d v="2025-04-25T00:00:00"/>
    <n v="4"/>
    <n v="25"/>
    <n v="2025"/>
    <x v="11"/>
    <s v="Q2"/>
    <x v="1"/>
  </r>
  <r>
    <s v="O108363"/>
    <x v="354"/>
    <x v="8"/>
    <x v="0"/>
    <x v="3"/>
    <x v="3"/>
    <n v="6"/>
    <n v="2665204"/>
    <d v="2026-05-24T00:00:00"/>
    <n v="5"/>
    <n v="24"/>
    <n v="2026"/>
    <x v="3"/>
    <s v="Q2"/>
    <x v="3"/>
  </r>
  <r>
    <s v="O111059"/>
    <x v="31"/>
    <x v="2"/>
    <x v="0"/>
    <x v="4"/>
    <x v="2"/>
    <n v="6"/>
    <n v="2664976"/>
    <d v="2026-03-11T00:00:00"/>
    <n v="3"/>
    <n v="11"/>
    <n v="2026"/>
    <x v="5"/>
    <s v="Q1"/>
    <x v="4"/>
  </r>
  <r>
    <s v="O103810"/>
    <x v="418"/>
    <x v="9"/>
    <x v="0"/>
    <x v="2"/>
    <x v="2"/>
    <n v="5"/>
    <n v="2664045"/>
    <d v="2025-08-20T00:00:00"/>
    <n v="8"/>
    <n v="20"/>
    <n v="2025"/>
    <x v="8"/>
    <s v="Q3"/>
    <x v="2"/>
  </r>
  <r>
    <s v="O101017"/>
    <x v="642"/>
    <x v="0"/>
    <x v="0"/>
    <x v="4"/>
    <x v="3"/>
    <n v="6"/>
    <n v="2662918"/>
    <d v="2025-03-03T00:00:00"/>
    <n v="3"/>
    <n v="3"/>
    <n v="2025"/>
    <x v="5"/>
    <s v="Q1"/>
    <x v="4"/>
  </r>
  <r>
    <s v="O103031"/>
    <x v="623"/>
    <x v="8"/>
    <x v="0"/>
    <x v="4"/>
    <x v="3"/>
    <n v="6"/>
    <n v="2660819"/>
    <d v="2025-04-07T00:00:00"/>
    <n v="4"/>
    <n v="7"/>
    <n v="2025"/>
    <x v="11"/>
    <s v="Q2"/>
    <x v="4"/>
  </r>
  <r>
    <s v="O107094"/>
    <x v="288"/>
    <x v="4"/>
    <x v="0"/>
    <x v="0"/>
    <x v="3"/>
    <n v="5"/>
    <n v="2660806"/>
    <d v="2026-07-03T00:00:00"/>
    <n v="7"/>
    <n v="3"/>
    <n v="2026"/>
    <x v="10"/>
    <s v="Q3"/>
    <x v="0"/>
  </r>
  <r>
    <s v="O108511"/>
    <x v="688"/>
    <x v="8"/>
    <x v="0"/>
    <x v="0"/>
    <x v="3"/>
    <n v="5"/>
    <n v="2658331"/>
    <d v="2026-02-06T00:00:00"/>
    <n v="2"/>
    <n v="6"/>
    <n v="2026"/>
    <x v="4"/>
    <s v="Q1"/>
    <x v="0"/>
  </r>
  <r>
    <s v="O106655"/>
    <x v="310"/>
    <x v="5"/>
    <x v="0"/>
    <x v="1"/>
    <x v="1"/>
    <n v="5"/>
    <n v="2656398"/>
    <d v="2026-09-02T00:00:00"/>
    <n v="9"/>
    <n v="2"/>
    <n v="2026"/>
    <x v="1"/>
    <s v="Q3"/>
    <x v="1"/>
  </r>
  <r>
    <s v="O100722"/>
    <x v="689"/>
    <x v="8"/>
    <x v="0"/>
    <x v="2"/>
    <x v="1"/>
    <n v="6"/>
    <n v="2653513"/>
    <d v="2025-02-13T00:00:00"/>
    <n v="2"/>
    <n v="13"/>
    <n v="2025"/>
    <x v="4"/>
    <s v="Q1"/>
    <x v="2"/>
  </r>
  <r>
    <s v="O106264"/>
    <x v="0"/>
    <x v="3"/>
    <x v="3"/>
    <x v="1"/>
    <x v="2"/>
    <n v="10"/>
    <n v="2653030"/>
    <d v="2026-01-16T00:00:00"/>
    <n v="1"/>
    <n v="16"/>
    <n v="2026"/>
    <x v="6"/>
    <s v="Q1"/>
    <x v="1"/>
  </r>
  <r>
    <s v="O104171"/>
    <x v="535"/>
    <x v="2"/>
    <x v="0"/>
    <x v="1"/>
    <x v="2"/>
    <n v="6"/>
    <n v="2652845"/>
    <d v="2025-11-09T00:00:00"/>
    <n v="11"/>
    <n v="9"/>
    <n v="2025"/>
    <x v="0"/>
    <s v="Q4"/>
    <x v="1"/>
  </r>
  <r>
    <s v="O101191"/>
    <x v="515"/>
    <x v="10"/>
    <x v="0"/>
    <x v="4"/>
    <x v="0"/>
    <n v="7"/>
    <n v="2652763"/>
    <d v="2025-03-14T00:00:00"/>
    <n v="3"/>
    <n v="14"/>
    <n v="2025"/>
    <x v="5"/>
    <s v="Q1"/>
    <x v="4"/>
  </r>
  <r>
    <s v="O110217"/>
    <x v="37"/>
    <x v="5"/>
    <x v="2"/>
    <x v="1"/>
    <x v="0"/>
    <n v="10"/>
    <n v="2651483"/>
    <d v="2026-09-13T00:00:00"/>
    <n v="9"/>
    <n v="13"/>
    <n v="2026"/>
    <x v="1"/>
    <s v="Q3"/>
    <x v="1"/>
  </r>
  <r>
    <s v="O104581"/>
    <x v="287"/>
    <x v="8"/>
    <x v="3"/>
    <x v="2"/>
    <x v="0"/>
    <n v="10"/>
    <n v="2651373"/>
    <d v="2025-06-10T00:00:00"/>
    <n v="6"/>
    <n v="10"/>
    <n v="2025"/>
    <x v="2"/>
    <s v="Q2"/>
    <x v="2"/>
  </r>
  <r>
    <s v="O108672"/>
    <x v="523"/>
    <x v="7"/>
    <x v="0"/>
    <x v="3"/>
    <x v="2"/>
    <n v="7"/>
    <n v="2650023"/>
    <d v="2026-11-06T00:00:00"/>
    <n v="11"/>
    <n v="6"/>
    <n v="2026"/>
    <x v="0"/>
    <s v="Q4"/>
    <x v="3"/>
  </r>
  <r>
    <s v="O110911"/>
    <x v="61"/>
    <x v="9"/>
    <x v="0"/>
    <x v="4"/>
    <x v="3"/>
    <n v="6"/>
    <n v="2649433"/>
    <d v="2026-10-25T00:00:00"/>
    <n v="10"/>
    <n v="25"/>
    <n v="2026"/>
    <x v="9"/>
    <s v="Q4"/>
    <x v="4"/>
  </r>
  <r>
    <s v="O106972"/>
    <x v="28"/>
    <x v="9"/>
    <x v="2"/>
    <x v="4"/>
    <x v="1"/>
    <n v="10"/>
    <n v="2648710"/>
    <d v="2026-02-28T00:00:00"/>
    <n v="2"/>
    <n v="28"/>
    <n v="2026"/>
    <x v="4"/>
    <s v="Q1"/>
    <x v="4"/>
  </r>
  <r>
    <s v="O102900"/>
    <x v="634"/>
    <x v="0"/>
    <x v="0"/>
    <x v="3"/>
    <x v="2"/>
    <n v="6"/>
    <n v="2648614"/>
    <d v="2025-06-26T00:00:00"/>
    <n v="6"/>
    <n v="26"/>
    <n v="2025"/>
    <x v="2"/>
    <s v="Q2"/>
    <x v="3"/>
  </r>
  <r>
    <s v="O111995"/>
    <x v="284"/>
    <x v="2"/>
    <x v="3"/>
    <x v="0"/>
    <x v="1"/>
    <n v="10"/>
    <n v="2648281"/>
    <d v="2026-12-30T00:00:00"/>
    <n v="12"/>
    <n v="30"/>
    <n v="2026"/>
    <x v="7"/>
    <s v="Q4"/>
    <x v="0"/>
  </r>
  <r>
    <s v="O105594"/>
    <x v="690"/>
    <x v="2"/>
    <x v="3"/>
    <x v="1"/>
    <x v="1"/>
    <n v="10"/>
    <n v="2648176"/>
    <d v="2025-06-12T00:00:00"/>
    <n v="6"/>
    <n v="12"/>
    <n v="2025"/>
    <x v="2"/>
    <s v="Q2"/>
    <x v="1"/>
  </r>
  <r>
    <s v="O101350"/>
    <x v="550"/>
    <x v="5"/>
    <x v="0"/>
    <x v="0"/>
    <x v="0"/>
    <n v="5"/>
    <n v="2647515"/>
    <d v="2025-03-23T00:00:00"/>
    <n v="3"/>
    <n v="23"/>
    <n v="2025"/>
    <x v="5"/>
    <s v="Q1"/>
    <x v="0"/>
  </r>
  <r>
    <s v="O108382"/>
    <x v="79"/>
    <x v="1"/>
    <x v="0"/>
    <x v="3"/>
    <x v="3"/>
    <n v="6"/>
    <n v="2646427"/>
    <d v="2026-05-25T00:00:00"/>
    <n v="5"/>
    <n v="25"/>
    <n v="2026"/>
    <x v="3"/>
    <s v="Q2"/>
    <x v="3"/>
  </r>
  <r>
    <s v="O104100"/>
    <x v="36"/>
    <x v="6"/>
    <x v="0"/>
    <x v="0"/>
    <x v="2"/>
    <n v="6"/>
    <n v="2644249"/>
    <d v="2025-07-09T00:00:00"/>
    <n v="7"/>
    <n v="9"/>
    <n v="2025"/>
    <x v="10"/>
    <s v="Q3"/>
    <x v="0"/>
  </r>
  <r>
    <s v="O105042"/>
    <x v="291"/>
    <x v="1"/>
    <x v="2"/>
    <x v="3"/>
    <x v="2"/>
    <n v="10"/>
    <n v="2643826"/>
    <d v="2025-03-11T00:00:00"/>
    <n v="3"/>
    <n v="11"/>
    <n v="2025"/>
    <x v="5"/>
    <s v="Q1"/>
    <x v="3"/>
  </r>
  <r>
    <s v="O105705"/>
    <x v="90"/>
    <x v="9"/>
    <x v="3"/>
    <x v="0"/>
    <x v="1"/>
    <n v="10"/>
    <n v="2643124"/>
    <d v="2025-12-13T00:00:00"/>
    <n v="12"/>
    <n v="13"/>
    <n v="2025"/>
    <x v="7"/>
    <s v="Q4"/>
    <x v="0"/>
  </r>
  <r>
    <s v="O102602"/>
    <x v="233"/>
    <x v="6"/>
    <x v="0"/>
    <x v="0"/>
    <x v="2"/>
    <n v="5"/>
    <n v="2642707"/>
    <d v="2025-08-06T00:00:00"/>
    <n v="8"/>
    <n v="6"/>
    <n v="2025"/>
    <x v="8"/>
    <s v="Q3"/>
    <x v="0"/>
  </r>
  <r>
    <s v="O105715"/>
    <x v="476"/>
    <x v="8"/>
    <x v="2"/>
    <x v="2"/>
    <x v="1"/>
    <n v="9"/>
    <n v="2641013"/>
    <d v="2025-12-14T00:00:00"/>
    <n v="12"/>
    <n v="14"/>
    <n v="2025"/>
    <x v="7"/>
    <s v="Q4"/>
    <x v="2"/>
  </r>
  <r>
    <s v="O110550"/>
    <x v="163"/>
    <x v="10"/>
    <x v="0"/>
    <x v="3"/>
    <x v="0"/>
    <n v="7"/>
    <n v="2640969"/>
    <d v="2026-03-10T00:00:00"/>
    <n v="3"/>
    <n v="10"/>
    <n v="2026"/>
    <x v="5"/>
    <s v="Q1"/>
    <x v="3"/>
  </r>
  <r>
    <s v="O111201"/>
    <x v="113"/>
    <x v="0"/>
    <x v="0"/>
    <x v="0"/>
    <x v="1"/>
    <n v="6"/>
    <n v="2640660"/>
    <d v="2026-12-11T00:00:00"/>
    <n v="12"/>
    <n v="11"/>
    <n v="2026"/>
    <x v="7"/>
    <s v="Q4"/>
    <x v="0"/>
  </r>
  <r>
    <s v="O101726"/>
    <x v="670"/>
    <x v="3"/>
    <x v="0"/>
    <x v="3"/>
    <x v="0"/>
    <n v="7"/>
    <n v="2638035"/>
    <d v="2025-04-15T00:00:00"/>
    <n v="4"/>
    <n v="15"/>
    <n v="2025"/>
    <x v="11"/>
    <s v="Q2"/>
    <x v="3"/>
  </r>
  <r>
    <s v="O101082"/>
    <x v="691"/>
    <x v="6"/>
    <x v="0"/>
    <x v="1"/>
    <x v="0"/>
    <n v="6"/>
    <n v="2637366"/>
    <d v="2025-07-03T00:00:00"/>
    <n v="7"/>
    <n v="3"/>
    <n v="2025"/>
    <x v="10"/>
    <m/>
    <x v="1"/>
  </r>
  <r>
    <s v="O110646"/>
    <x v="366"/>
    <x v="2"/>
    <x v="0"/>
    <x v="4"/>
    <x v="0"/>
    <n v="6"/>
    <n v="2636895"/>
    <d v="2026-09-10T00:00:00"/>
    <n v="9"/>
    <n v="10"/>
    <n v="2026"/>
    <x v="1"/>
    <s v="Q3"/>
    <x v="4"/>
  </r>
  <r>
    <s v="O104130"/>
    <x v="114"/>
    <x v="10"/>
    <x v="0"/>
    <x v="4"/>
    <x v="1"/>
    <n v="6"/>
    <n v="2635949"/>
    <d v="2025-08-09T00:00:00"/>
    <n v="8"/>
    <n v="9"/>
    <n v="2025"/>
    <x v="8"/>
    <s v="Q3"/>
    <x v="4"/>
  </r>
  <r>
    <s v="O104249"/>
    <x v="287"/>
    <x v="3"/>
    <x v="2"/>
    <x v="1"/>
    <x v="0"/>
    <n v="9"/>
    <n v="2634857"/>
    <d v="2025-09-16T00:00:00"/>
    <n v="9"/>
    <n v="16"/>
    <n v="2025"/>
    <x v="1"/>
    <s v="Q3"/>
    <x v="1"/>
  </r>
  <r>
    <s v="O100592"/>
    <x v="611"/>
    <x v="9"/>
    <x v="2"/>
    <x v="3"/>
    <x v="3"/>
    <n v="9"/>
    <n v="2634566"/>
    <d v="2025-05-02T00:00:00"/>
    <n v="5"/>
    <n v="2"/>
    <n v="2025"/>
    <x v="3"/>
    <s v="Q2"/>
    <x v="3"/>
  </r>
  <r>
    <s v="O101784"/>
    <x v="254"/>
    <x v="10"/>
    <x v="2"/>
    <x v="2"/>
    <x v="0"/>
    <n v="10"/>
    <n v="2634349"/>
    <d v="2025-04-19T00:00:00"/>
    <n v="4"/>
    <n v="19"/>
    <n v="2025"/>
    <x v="11"/>
    <s v="Q2"/>
    <x v="2"/>
  </r>
  <r>
    <s v="O107752"/>
    <x v="692"/>
    <x v="8"/>
    <x v="2"/>
    <x v="2"/>
    <x v="3"/>
    <n v="9"/>
    <n v="2634254"/>
    <d v="2026-04-16T00:00:00"/>
    <n v="4"/>
    <n v="16"/>
    <n v="2026"/>
    <x v="11"/>
    <s v="Q2"/>
    <x v="2"/>
  </r>
  <r>
    <s v="O111534"/>
    <x v="364"/>
    <x v="6"/>
    <x v="0"/>
    <x v="2"/>
    <x v="3"/>
    <n v="6"/>
    <n v="2632563"/>
    <d v="2026-02-12T00:00:00"/>
    <n v="2"/>
    <n v="12"/>
    <n v="2026"/>
    <x v="4"/>
    <s v="Q1"/>
    <x v="2"/>
  </r>
  <r>
    <s v="O101923"/>
    <x v="665"/>
    <x v="1"/>
    <x v="2"/>
    <x v="4"/>
    <x v="2"/>
    <n v="8"/>
    <n v="2632001"/>
    <d v="2025-04-27T00:00:00"/>
    <n v="4"/>
    <n v="27"/>
    <n v="2025"/>
    <x v="11"/>
    <s v="Q2"/>
    <x v="4"/>
  </r>
  <r>
    <s v="O106411"/>
    <x v="458"/>
    <x v="6"/>
    <x v="0"/>
    <x v="2"/>
    <x v="0"/>
    <n v="6"/>
    <n v="2631981"/>
    <d v="2026-01-25T00:00:00"/>
    <n v="1"/>
    <n v="25"/>
    <n v="2026"/>
    <x v="6"/>
    <s v="Q1"/>
    <x v="2"/>
  </r>
  <r>
    <s v="O107598"/>
    <x v="131"/>
    <x v="6"/>
    <x v="0"/>
    <x v="4"/>
    <x v="1"/>
    <n v="7"/>
    <n v="2630260"/>
    <d v="2026-07-04T00:00:00"/>
    <n v="7"/>
    <n v="4"/>
    <n v="2026"/>
    <x v="10"/>
    <s v="Q3"/>
    <x v="4"/>
  </r>
  <r>
    <s v="O104001"/>
    <x v="109"/>
    <x v="6"/>
    <x v="2"/>
    <x v="3"/>
    <x v="1"/>
    <n v="10"/>
    <n v="2629859"/>
    <d v="2025-01-09T00:00:00"/>
    <n v="1"/>
    <n v="9"/>
    <n v="2025"/>
    <x v="6"/>
    <s v="Q1"/>
    <x v="3"/>
  </r>
  <r>
    <s v="O111672"/>
    <x v="693"/>
    <x v="4"/>
    <x v="0"/>
    <x v="4"/>
    <x v="0"/>
    <n v="5"/>
    <n v="2629374"/>
    <d v="2026-11-12T00:00:00"/>
    <n v="11"/>
    <n v="12"/>
    <n v="2026"/>
    <x v="0"/>
    <s v="Q4"/>
    <x v="4"/>
  </r>
  <r>
    <s v="O108246"/>
    <x v="544"/>
    <x v="6"/>
    <x v="2"/>
    <x v="4"/>
    <x v="0"/>
    <n v="8"/>
    <n v="2628006"/>
    <d v="2026-05-16T00:00:00"/>
    <n v="5"/>
    <n v="16"/>
    <n v="2026"/>
    <x v="3"/>
    <s v="Q2"/>
    <x v="4"/>
  </r>
  <r>
    <s v="O101140"/>
    <x v="353"/>
    <x v="10"/>
    <x v="2"/>
    <x v="1"/>
    <x v="1"/>
    <n v="9"/>
    <n v="2627192"/>
    <d v="2025-11-03T00:00:00"/>
    <n v="11"/>
    <n v="3"/>
    <n v="2025"/>
    <x v="0"/>
    <s v="Q4"/>
    <x v="1"/>
  </r>
  <r>
    <s v="O101095"/>
    <x v="338"/>
    <x v="1"/>
    <x v="0"/>
    <x v="1"/>
    <x v="3"/>
    <n v="6"/>
    <n v="2625491"/>
    <d v="2025-08-03T00:00:00"/>
    <n v="8"/>
    <n v="3"/>
    <n v="2025"/>
    <x v="8"/>
    <s v="Q3"/>
    <x v="1"/>
  </r>
  <r>
    <s v="O105106"/>
    <x v="308"/>
    <x v="0"/>
    <x v="0"/>
    <x v="0"/>
    <x v="0"/>
    <n v="6"/>
    <n v="2624870"/>
    <d v="2025-07-11T00:00:00"/>
    <n v="7"/>
    <n v="11"/>
    <n v="2025"/>
    <x v="10"/>
    <s v="Q3"/>
    <x v="0"/>
  </r>
  <r>
    <s v="O106318"/>
    <x v="95"/>
    <x v="8"/>
    <x v="2"/>
    <x v="1"/>
    <x v="0"/>
    <n v="8"/>
    <n v="2623490"/>
    <d v="2026-01-19T00:00:00"/>
    <n v="1"/>
    <n v="19"/>
    <n v="2026"/>
    <x v="6"/>
    <s v="Q1"/>
    <x v="1"/>
  </r>
  <r>
    <s v="O106755"/>
    <x v="615"/>
    <x v="5"/>
    <x v="0"/>
    <x v="1"/>
    <x v="3"/>
    <n v="5"/>
    <n v="2623430"/>
    <d v="2026-02-15T00:00:00"/>
    <n v="2"/>
    <n v="15"/>
    <n v="2026"/>
    <x v="4"/>
    <s v="Q1"/>
    <x v="1"/>
  </r>
  <r>
    <s v="O103620"/>
    <x v="277"/>
    <x v="3"/>
    <x v="0"/>
    <x v="4"/>
    <x v="1"/>
    <n v="5"/>
    <n v="2622436"/>
    <d v="2025-08-08T00:00:00"/>
    <n v="8"/>
    <n v="8"/>
    <n v="2025"/>
    <x v="8"/>
    <s v="Q3"/>
    <x v="4"/>
  </r>
  <r>
    <s v="O108050"/>
    <x v="16"/>
    <x v="1"/>
    <x v="0"/>
    <x v="3"/>
    <x v="0"/>
    <n v="6"/>
    <n v="2622237"/>
    <d v="2026-05-05T00:00:00"/>
    <n v="5"/>
    <n v="5"/>
    <n v="2026"/>
    <x v="3"/>
    <s v="Q2"/>
    <x v="3"/>
  </r>
  <r>
    <s v="O108692"/>
    <x v="686"/>
    <x v="1"/>
    <x v="2"/>
    <x v="0"/>
    <x v="3"/>
    <n v="10"/>
    <n v="2621153"/>
    <d v="2026-06-13T00:00:00"/>
    <n v="6"/>
    <n v="13"/>
    <n v="2026"/>
    <x v="2"/>
    <s v="Q2"/>
    <x v="0"/>
  </r>
  <r>
    <s v="O108851"/>
    <x v="140"/>
    <x v="5"/>
    <x v="3"/>
    <x v="3"/>
    <x v="1"/>
    <n v="10"/>
    <n v="2621137"/>
    <d v="2026-06-22T00:00:00"/>
    <n v="6"/>
    <n v="22"/>
    <n v="2026"/>
    <x v="2"/>
    <s v="Q2"/>
    <x v="3"/>
  </r>
  <r>
    <s v="O101085"/>
    <x v="694"/>
    <x v="9"/>
    <x v="3"/>
    <x v="0"/>
    <x v="3"/>
    <n v="10"/>
    <n v="2620948"/>
    <d v="2025-07-03T00:00:00"/>
    <n v="7"/>
    <n v="3"/>
    <n v="2025"/>
    <x v="10"/>
    <s v="Q3"/>
    <x v="0"/>
  </r>
  <r>
    <s v="O101006"/>
    <x v="13"/>
    <x v="9"/>
    <x v="2"/>
    <x v="1"/>
    <x v="1"/>
    <n v="8"/>
    <n v="2619867"/>
    <d v="2025-03-03T00:00:00"/>
    <n v="3"/>
    <n v="3"/>
    <n v="2025"/>
    <x v="5"/>
    <s v="Q1"/>
    <x v="1"/>
  </r>
  <r>
    <s v="O104267"/>
    <x v="695"/>
    <x v="0"/>
    <x v="2"/>
    <x v="2"/>
    <x v="2"/>
    <n v="9"/>
    <n v="2618631"/>
    <d v="2025-09-17T00:00:00"/>
    <n v="9"/>
    <n v="17"/>
    <n v="2025"/>
    <x v="1"/>
    <s v="Q3"/>
    <x v="2"/>
  </r>
  <r>
    <s v="O110756"/>
    <x v="225"/>
    <x v="0"/>
    <x v="2"/>
    <x v="4"/>
    <x v="0"/>
    <n v="7"/>
    <n v="2618203"/>
    <d v="2026-10-16T00:00:00"/>
    <n v="10"/>
    <n v="16"/>
    <n v="2026"/>
    <x v="9"/>
    <s v="Q4"/>
    <x v="4"/>
  </r>
  <r>
    <s v="O107318"/>
    <x v="549"/>
    <x v="2"/>
    <x v="2"/>
    <x v="0"/>
    <x v="3"/>
    <n v="7"/>
    <n v="2616899"/>
    <d v="2026-03-21T00:00:00"/>
    <n v="3"/>
    <n v="21"/>
    <n v="2026"/>
    <x v="5"/>
    <s v="Q1"/>
    <x v="0"/>
  </r>
  <r>
    <s v="O111738"/>
    <x v="696"/>
    <x v="2"/>
    <x v="2"/>
    <x v="2"/>
    <x v="0"/>
    <n v="8"/>
    <n v="2616667"/>
    <d v="2026-12-15T00:00:00"/>
    <n v="12"/>
    <n v="15"/>
    <n v="2026"/>
    <x v="7"/>
    <s v="Q4"/>
    <x v="2"/>
  </r>
  <r>
    <s v="O100004"/>
    <x v="497"/>
    <x v="6"/>
    <x v="2"/>
    <x v="4"/>
    <x v="1"/>
    <n v="9"/>
    <n v="2615562"/>
    <d v="2025-01-01T00:00:00"/>
    <n v="1"/>
    <n v="1"/>
    <n v="2025"/>
    <x v="6"/>
    <s v="Q1"/>
    <x v="4"/>
  </r>
  <r>
    <s v="O104578"/>
    <x v="399"/>
    <x v="2"/>
    <x v="0"/>
    <x v="1"/>
    <x v="1"/>
    <n v="5"/>
    <n v="2615365"/>
    <d v="2025-06-10T00:00:00"/>
    <n v="6"/>
    <n v="10"/>
    <n v="2025"/>
    <x v="2"/>
    <s v="Q2"/>
    <x v="1"/>
  </r>
  <r>
    <s v="O101246"/>
    <x v="215"/>
    <x v="8"/>
    <x v="2"/>
    <x v="2"/>
    <x v="2"/>
    <n v="9"/>
    <n v="2613918"/>
    <d v="2025-03-17T00:00:00"/>
    <n v="3"/>
    <n v="17"/>
    <n v="2025"/>
    <x v="5"/>
    <s v="Q1"/>
    <x v="2"/>
  </r>
  <r>
    <s v="O104399"/>
    <x v="45"/>
    <x v="1"/>
    <x v="0"/>
    <x v="0"/>
    <x v="2"/>
    <n v="7"/>
    <n v="2613760"/>
    <d v="2025-09-25T00:00:00"/>
    <n v="9"/>
    <n v="25"/>
    <n v="2025"/>
    <x v="1"/>
    <s v="Q3"/>
    <x v="0"/>
  </r>
  <r>
    <s v="O103174"/>
    <x v="314"/>
    <x v="0"/>
    <x v="0"/>
    <x v="4"/>
    <x v="2"/>
    <n v="5"/>
    <n v="2613424"/>
    <d v="2025-12-07T00:00:00"/>
    <n v="12"/>
    <n v="7"/>
    <n v="2025"/>
    <x v="7"/>
    <s v="Q4"/>
    <x v="4"/>
  </r>
  <r>
    <s v="O103143"/>
    <x v="214"/>
    <x v="9"/>
    <x v="2"/>
    <x v="4"/>
    <x v="0"/>
    <n v="8"/>
    <n v="2612799"/>
    <d v="2025-10-07T00:00:00"/>
    <n v="10"/>
    <n v="7"/>
    <n v="2025"/>
    <x v="9"/>
    <s v="Q4"/>
    <x v="4"/>
  </r>
  <r>
    <s v="O100118"/>
    <x v="524"/>
    <x v="4"/>
    <x v="0"/>
    <x v="0"/>
    <x v="3"/>
    <n v="5"/>
    <n v="2612416"/>
    <d v="2025-08-01T00:00:00"/>
    <n v="8"/>
    <n v="1"/>
    <n v="2025"/>
    <x v="8"/>
    <s v="Q3"/>
    <x v="0"/>
  </r>
  <r>
    <s v="O100191"/>
    <x v="621"/>
    <x v="0"/>
    <x v="0"/>
    <x v="3"/>
    <x v="3"/>
    <n v="5"/>
    <n v="2611828"/>
    <d v="2025-12-01T00:00:00"/>
    <n v="12"/>
    <n v="1"/>
    <n v="2025"/>
    <x v="7"/>
    <s v="Q4"/>
    <x v="3"/>
  </r>
  <r>
    <s v="O109417"/>
    <x v="336"/>
    <x v="1"/>
    <x v="2"/>
    <x v="3"/>
    <x v="3"/>
    <n v="8"/>
    <n v="2611496"/>
    <d v="2026-07-27T00:00:00"/>
    <n v="7"/>
    <n v="27"/>
    <n v="2026"/>
    <x v="10"/>
    <s v="Q3"/>
    <x v="3"/>
  </r>
  <r>
    <s v="O107813"/>
    <x v="558"/>
    <x v="0"/>
    <x v="0"/>
    <x v="3"/>
    <x v="0"/>
    <n v="7"/>
    <n v="2609624"/>
    <d v="2026-04-20T00:00:00"/>
    <n v="4"/>
    <n v="20"/>
    <n v="2026"/>
    <x v="11"/>
    <s v="Q2"/>
    <x v="3"/>
  </r>
  <r>
    <s v="O106361"/>
    <x v="536"/>
    <x v="8"/>
    <x v="0"/>
    <x v="1"/>
    <x v="2"/>
    <n v="6"/>
    <n v="2608833"/>
    <d v="2026-01-22T00:00:00"/>
    <n v="1"/>
    <n v="22"/>
    <n v="2026"/>
    <x v="6"/>
    <s v="Q1"/>
    <x v="1"/>
  </r>
  <r>
    <s v="O106129"/>
    <x v="413"/>
    <x v="0"/>
    <x v="0"/>
    <x v="0"/>
    <x v="3"/>
    <n v="5"/>
    <n v="2608460"/>
    <d v="2026-08-01T00:00:00"/>
    <n v="8"/>
    <n v="1"/>
    <n v="2026"/>
    <x v="8"/>
    <s v="Q3"/>
    <x v="0"/>
  </r>
  <r>
    <s v="O103057"/>
    <x v="449"/>
    <x v="4"/>
    <x v="2"/>
    <x v="3"/>
    <x v="1"/>
    <n v="7"/>
    <n v="2608078"/>
    <d v="2025-05-07T00:00:00"/>
    <n v="5"/>
    <n v="7"/>
    <n v="2025"/>
    <x v="3"/>
    <s v="Q2"/>
    <x v="3"/>
  </r>
  <r>
    <s v="O104188"/>
    <x v="539"/>
    <x v="6"/>
    <x v="2"/>
    <x v="2"/>
    <x v="2"/>
    <n v="8"/>
    <n v="2605438"/>
    <d v="2025-12-09T00:00:00"/>
    <n v="12"/>
    <n v="9"/>
    <n v="2025"/>
    <x v="7"/>
    <s v="Q4"/>
    <x v="2"/>
  </r>
  <r>
    <s v="O104443"/>
    <x v="675"/>
    <x v="8"/>
    <x v="0"/>
    <x v="3"/>
    <x v="0"/>
    <n v="7"/>
    <n v="2604316"/>
    <d v="2025-09-27T00:00:00"/>
    <n v="9"/>
    <n v="27"/>
    <n v="2025"/>
    <x v="1"/>
    <s v="Q3"/>
    <x v="3"/>
  </r>
  <r>
    <s v="O106787"/>
    <x v="297"/>
    <x v="5"/>
    <x v="3"/>
    <x v="3"/>
    <x v="3"/>
    <n v="10"/>
    <n v="2604078"/>
    <d v="2026-02-17T00:00:00"/>
    <n v="2"/>
    <n v="17"/>
    <n v="2026"/>
    <x v="4"/>
    <s v="Q1"/>
    <x v="3"/>
  </r>
  <r>
    <s v="O101362"/>
    <x v="458"/>
    <x v="4"/>
    <x v="0"/>
    <x v="0"/>
    <x v="3"/>
    <n v="7"/>
    <n v="2603583"/>
    <d v="2025-03-24T00:00:00"/>
    <n v="3"/>
    <n v="24"/>
    <n v="2025"/>
    <x v="5"/>
    <s v="Q1"/>
    <x v="0"/>
  </r>
  <r>
    <s v="O110941"/>
    <x v="52"/>
    <x v="0"/>
    <x v="2"/>
    <x v="2"/>
    <x v="2"/>
    <n v="9"/>
    <n v="2602925"/>
    <d v="2026-10-27T00:00:00"/>
    <n v="10"/>
    <n v="27"/>
    <n v="2026"/>
    <x v="9"/>
    <s v="Q4"/>
    <x v="2"/>
  </r>
  <r>
    <s v="O103437"/>
    <x v="336"/>
    <x v="9"/>
    <x v="0"/>
    <x v="1"/>
    <x v="3"/>
    <n v="7"/>
    <n v="2602521"/>
    <d v="2025-07-28T00:00:00"/>
    <n v="7"/>
    <n v="28"/>
    <n v="2025"/>
    <x v="10"/>
    <s v="Q3"/>
    <x v="1"/>
  </r>
  <r>
    <s v="O110674"/>
    <x v="556"/>
    <x v="4"/>
    <x v="0"/>
    <x v="2"/>
    <x v="1"/>
    <n v="6"/>
    <n v="2601310"/>
    <d v="2026-11-10T00:00:00"/>
    <n v="11"/>
    <n v="10"/>
    <n v="2026"/>
    <x v="0"/>
    <s v="Q4"/>
    <x v="2"/>
  </r>
  <r>
    <s v="O101104"/>
    <x v="174"/>
    <x v="1"/>
    <x v="3"/>
    <x v="4"/>
    <x v="3"/>
    <n v="10"/>
    <n v="2601270"/>
    <d v="2025-09-03T00:00:00"/>
    <n v="9"/>
    <n v="3"/>
    <n v="2025"/>
    <x v="1"/>
    <s v="Q3"/>
    <x v="4"/>
  </r>
  <r>
    <s v="O100585"/>
    <x v="697"/>
    <x v="10"/>
    <x v="2"/>
    <x v="4"/>
    <x v="2"/>
    <n v="7"/>
    <n v="2600219"/>
    <d v="2025-05-02T00:00:00"/>
    <n v="5"/>
    <n v="2"/>
    <n v="2025"/>
    <x v="3"/>
    <s v="Q2"/>
    <x v="4"/>
  </r>
  <r>
    <s v="O104431"/>
    <x v="141"/>
    <x v="2"/>
    <x v="2"/>
    <x v="0"/>
    <x v="1"/>
    <n v="8"/>
    <n v="2600107"/>
    <d v="2025-09-27T00:00:00"/>
    <n v="9"/>
    <n v="27"/>
    <n v="2025"/>
    <x v="1"/>
    <s v="Q3"/>
    <x v="0"/>
  </r>
  <r>
    <s v="O109056"/>
    <x v="124"/>
    <x v="0"/>
    <x v="3"/>
    <x v="1"/>
    <x v="0"/>
    <n v="10"/>
    <n v="2598208"/>
    <d v="2026-05-07T00:00:00"/>
    <n v="5"/>
    <n v="7"/>
    <n v="2026"/>
    <x v="3"/>
    <s v="Q2"/>
    <x v="1"/>
  </r>
  <r>
    <s v="O103541"/>
    <x v="653"/>
    <x v="8"/>
    <x v="0"/>
    <x v="1"/>
    <x v="0"/>
    <n v="7"/>
    <n v="2597976"/>
    <d v="2025-04-08T00:00:00"/>
    <n v="4"/>
    <n v="8"/>
    <n v="2025"/>
    <x v="11"/>
    <s v="Q2"/>
    <x v="1"/>
  </r>
  <r>
    <s v="O104446"/>
    <x v="298"/>
    <x v="0"/>
    <x v="3"/>
    <x v="2"/>
    <x v="1"/>
    <n v="10"/>
    <n v="2596620"/>
    <d v="2025-09-28T00:00:00"/>
    <n v="9"/>
    <n v="28"/>
    <n v="2025"/>
    <x v="1"/>
    <s v="Q3"/>
    <x v="2"/>
  </r>
  <r>
    <s v="O105621"/>
    <x v="288"/>
    <x v="6"/>
    <x v="0"/>
    <x v="0"/>
    <x v="0"/>
    <n v="5"/>
    <n v="2596603"/>
    <d v="2025-08-12T00:00:00"/>
    <n v="8"/>
    <n v="12"/>
    <n v="2025"/>
    <x v="8"/>
    <s v="Q3"/>
    <x v="0"/>
  </r>
  <r>
    <s v="O111801"/>
    <x v="308"/>
    <x v="10"/>
    <x v="0"/>
    <x v="0"/>
    <x v="2"/>
    <n v="5"/>
    <n v="2595778"/>
    <d v="2026-12-18T00:00:00"/>
    <n v="12"/>
    <n v="18"/>
    <n v="2026"/>
    <x v="7"/>
    <s v="Q4"/>
    <x v="0"/>
  </r>
  <r>
    <s v="O110541"/>
    <x v="638"/>
    <x v="8"/>
    <x v="0"/>
    <x v="3"/>
    <x v="2"/>
    <n v="6"/>
    <n v="2595037"/>
    <d v="2026-03-10T00:00:00"/>
    <n v="3"/>
    <n v="10"/>
    <n v="2026"/>
    <x v="5"/>
    <s v="Q1"/>
    <x v="3"/>
  </r>
  <r>
    <s v="O108970"/>
    <x v="109"/>
    <x v="6"/>
    <x v="0"/>
    <x v="0"/>
    <x v="0"/>
    <n v="5"/>
    <n v="2593674"/>
    <d v="2026-06-29T00:00:00"/>
    <n v="6"/>
    <n v="29"/>
    <n v="2026"/>
    <x v="2"/>
    <s v="Q2"/>
    <x v="0"/>
  </r>
  <r>
    <s v="O107810"/>
    <x v="504"/>
    <x v="4"/>
    <x v="0"/>
    <x v="0"/>
    <x v="0"/>
    <n v="7"/>
    <n v="2593469"/>
    <d v="2026-04-20T00:00:00"/>
    <n v="4"/>
    <n v="20"/>
    <n v="2026"/>
    <x v="11"/>
    <s v="Q2"/>
    <x v="0"/>
  </r>
  <r>
    <s v="O102859"/>
    <x v="580"/>
    <x v="1"/>
    <x v="0"/>
    <x v="2"/>
    <x v="0"/>
    <n v="7"/>
    <n v="2593244"/>
    <d v="2025-06-23T00:00:00"/>
    <n v="6"/>
    <n v="23"/>
    <n v="2025"/>
    <x v="2"/>
    <s v="Q2"/>
    <x v="2"/>
  </r>
  <r>
    <s v="O108106"/>
    <x v="625"/>
    <x v="6"/>
    <x v="2"/>
    <x v="1"/>
    <x v="0"/>
    <n v="8"/>
    <n v="2591919"/>
    <d v="2026-08-05T00:00:00"/>
    <n v="8"/>
    <n v="5"/>
    <n v="2026"/>
    <x v="8"/>
    <s v="Q3"/>
    <x v="1"/>
  </r>
  <r>
    <s v="O101552"/>
    <x v="552"/>
    <x v="6"/>
    <x v="2"/>
    <x v="2"/>
    <x v="0"/>
    <n v="7"/>
    <n v="2589793"/>
    <d v="2025-05-04T00:00:00"/>
    <n v="5"/>
    <n v="4"/>
    <n v="2025"/>
    <x v="3"/>
    <s v="Q2"/>
    <x v="2"/>
  </r>
  <r>
    <s v="O105123"/>
    <x v="449"/>
    <x v="9"/>
    <x v="0"/>
    <x v="1"/>
    <x v="1"/>
    <n v="5"/>
    <n v="2589216"/>
    <d v="2025-08-11T00:00:00"/>
    <n v="8"/>
    <n v="11"/>
    <n v="2025"/>
    <x v="8"/>
    <s v="Q3"/>
    <x v="1"/>
  </r>
  <r>
    <s v="O109707"/>
    <x v="573"/>
    <x v="9"/>
    <x v="0"/>
    <x v="1"/>
    <x v="2"/>
    <n v="5"/>
    <n v="2589112"/>
    <d v="2026-08-13T00:00:00"/>
    <n v="8"/>
    <n v="13"/>
    <n v="2026"/>
    <x v="8"/>
    <s v="Q3"/>
    <x v="1"/>
  </r>
  <r>
    <s v="O110810"/>
    <x v="664"/>
    <x v="9"/>
    <x v="2"/>
    <x v="0"/>
    <x v="2"/>
    <n v="8"/>
    <n v="2588543"/>
    <d v="2026-10-19T00:00:00"/>
    <n v="10"/>
    <n v="19"/>
    <n v="2026"/>
    <x v="9"/>
    <s v="Q4"/>
    <x v="0"/>
  </r>
  <r>
    <s v="O105523"/>
    <x v="200"/>
    <x v="6"/>
    <x v="2"/>
    <x v="1"/>
    <x v="3"/>
    <n v="10"/>
    <n v="2588009"/>
    <d v="2025-02-12T00:00:00"/>
    <n v="2"/>
    <n v="12"/>
    <n v="2025"/>
    <x v="4"/>
    <s v="Q1"/>
    <x v="1"/>
  </r>
  <r>
    <s v="O102503"/>
    <x v="282"/>
    <x v="1"/>
    <x v="2"/>
    <x v="0"/>
    <x v="1"/>
    <n v="8"/>
    <n v="2587054"/>
    <d v="2025-02-06T00:00:00"/>
    <n v="2"/>
    <n v="6"/>
    <n v="2025"/>
    <x v="4"/>
    <s v="Q1"/>
    <x v="0"/>
  </r>
  <r>
    <s v="O111304"/>
    <x v="42"/>
    <x v="10"/>
    <x v="0"/>
    <x v="3"/>
    <x v="2"/>
    <n v="6"/>
    <n v="2586399"/>
    <d v="2026-11-18T00:00:00"/>
    <n v="11"/>
    <n v="18"/>
    <n v="2026"/>
    <x v="0"/>
    <s v="Q4"/>
    <x v="3"/>
  </r>
  <r>
    <s v="O102250"/>
    <x v="698"/>
    <x v="4"/>
    <x v="0"/>
    <x v="0"/>
    <x v="2"/>
    <n v="6"/>
    <n v="2585620"/>
    <d v="2025-05-17T00:00:00"/>
    <n v="5"/>
    <n v="17"/>
    <n v="2025"/>
    <x v="3"/>
    <s v="Q2"/>
    <x v="0"/>
  </r>
  <r>
    <s v="O110860"/>
    <x v="680"/>
    <x v="6"/>
    <x v="2"/>
    <x v="4"/>
    <x v="0"/>
    <n v="10"/>
    <n v="2583833"/>
    <d v="2026-10-22T00:00:00"/>
    <n v="10"/>
    <n v="22"/>
    <n v="2026"/>
    <x v="9"/>
    <s v="Q4"/>
    <x v="4"/>
  </r>
  <r>
    <s v="O106280"/>
    <x v="615"/>
    <x v="3"/>
    <x v="0"/>
    <x v="0"/>
    <x v="3"/>
    <n v="6"/>
    <n v="2583757"/>
    <d v="2026-01-17T00:00:00"/>
    <n v="1"/>
    <n v="17"/>
    <n v="2026"/>
    <x v="6"/>
    <s v="Q1"/>
    <x v="0"/>
  </r>
  <r>
    <s v="O103471"/>
    <x v="146"/>
    <x v="9"/>
    <x v="0"/>
    <x v="1"/>
    <x v="3"/>
    <n v="7"/>
    <n v="2583160"/>
    <d v="2025-07-30T00:00:00"/>
    <n v="7"/>
    <n v="30"/>
    <n v="2025"/>
    <x v="10"/>
    <s v="Q3"/>
    <x v="1"/>
  </r>
  <r>
    <s v="O108078"/>
    <x v="525"/>
    <x v="6"/>
    <x v="2"/>
    <x v="0"/>
    <x v="2"/>
    <n v="7"/>
    <n v="2582562"/>
    <d v="2026-06-05T00:00:00"/>
    <n v="6"/>
    <n v="5"/>
    <n v="2026"/>
    <x v="2"/>
    <s v="Q2"/>
    <x v="0"/>
  </r>
  <r>
    <s v="O100171"/>
    <x v="73"/>
    <x v="1"/>
    <x v="1"/>
    <x v="2"/>
    <x v="1"/>
    <n v="7"/>
    <n v="2581060"/>
    <d v="2025-11-01T00:00:00"/>
    <n v="11"/>
    <n v="1"/>
    <n v="2025"/>
    <x v="0"/>
    <s v="Q4"/>
    <x v="2"/>
  </r>
  <r>
    <s v="O107437"/>
    <x v="699"/>
    <x v="10"/>
    <x v="0"/>
    <x v="0"/>
    <x v="0"/>
    <n v="5"/>
    <n v="2580323"/>
    <d v="2026-03-28T00:00:00"/>
    <n v="3"/>
    <n v="28"/>
    <n v="2026"/>
    <x v="5"/>
    <s v="Q1"/>
    <x v="0"/>
  </r>
  <r>
    <s v="O104514"/>
    <x v="700"/>
    <x v="0"/>
    <x v="2"/>
    <x v="3"/>
    <x v="2"/>
    <n v="9"/>
    <n v="2578821"/>
    <d v="2025-02-10T00:00:00"/>
    <n v="2"/>
    <n v="10"/>
    <n v="2025"/>
    <x v="4"/>
    <s v="Q1"/>
    <x v="3"/>
  </r>
  <r>
    <s v="O111681"/>
    <x v="621"/>
    <x v="6"/>
    <x v="0"/>
    <x v="0"/>
    <x v="0"/>
    <n v="5"/>
    <n v="2578697"/>
    <d v="2026-11-12T00:00:00"/>
    <n v="11"/>
    <n v="12"/>
    <n v="2026"/>
    <x v="0"/>
    <s v="Q4"/>
    <x v="0"/>
  </r>
  <r>
    <s v="O110641"/>
    <x v="570"/>
    <x v="6"/>
    <x v="2"/>
    <x v="3"/>
    <x v="2"/>
    <n v="7"/>
    <n v="2576524"/>
    <d v="2026-09-10T00:00:00"/>
    <n v="9"/>
    <n v="10"/>
    <n v="2026"/>
    <x v="1"/>
    <s v="Q3"/>
    <x v="3"/>
  </r>
  <r>
    <s v="O104359"/>
    <x v="354"/>
    <x v="9"/>
    <x v="2"/>
    <x v="4"/>
    <x v="0"/>
    <n v="8"/>
    <n v="2574606"/>
    <d v="2025-09-22T00:00:00"/>
    <n v="9"/>
    <n v="22"/>
    <n v="2025"/>
    <x v="1"/>
    <s v="Q3"/>
    <x v="4"/>
  </r>
  <r>
    <s v="O111463"/>
    <x v="250"/>
    <x v="8"/>
    <x v="2"/>
    <x v="3"/>
    <x v="1"/>
    <n v="7"/>
    <n v="2573995"/>
    <d v="2026-11-28T00:00:00"/>
    <n v="11"/>
    <n v="28"/>
    <n v="2026"/>
    <x v="0"/>
    <s v="Q4"/>
    <x v="3"/>
  </r>
  <r>
    <s v="O108242"/>
    <x v="457"/>
    <x v="6"/>
    <x v="2"/>
    <x v="4"/>
    <x v="1"/>
    <n v="9"/>
    <n v="2573574"/>
    <d v="2026-05-16T00:00:00"/>
    <n v="5"/>
    <n v="16"/>
    <n v="2026"/>
    <x v="3"/>
    <s v="Q2"/>
    <x v="4"/>
  </r>
  <r>
    <s v="O111481"/>
    <x v="226"/>
    <x v="4"/>
    <x v="2"/>
    <x v="1"/>
    <x v="2"/>
    <n v="7"/>
    <n v="2573415"/>
    <d v="2026-11-29T00:00:00"/>
    <n v="11"/>
    <n v="29"/>
    <n v="2026"/>
    <x v="0"/>
    <s v="Q4"/>
    <x v="1"/>
  </r>
  <r>
    <s v="O106522"/>
    <x v="379"/>
    <x v="2"/>
    <x v="0"/>
    <x v="2"/>
    <x v="2"/>
    <n v="7"/>
    <n v="2571786"/>
    <d v="2026-01-02T00:00:00"/>
    <n v="1"/>
    <n v="2"/>
    <n v="2026"/>
    <x v="6"/>
    <s v="Q1"/>
    <x v="2"/>
  </r>
  <r>
    <s v="O100239"/>
    <x v="61"/>
    <x v="0"/>
    <x v="2"/>
    <x v="3"/>
    <x v="3"/>
    <n v="9"/>
    <n v="2571109"/>
    <d v="2025-01-15T00:00:00"/>
    <n v="1"/>
    <n v="15"/>
    <n v="2025"/>
    <x v="6"/>
    <s v="Q1"/>
    <x v="3"/>
  </r>
  <r>
    <s v="O105502"/>
    <x v="701"/>
    <x v="10"/>
    <x v="0"/>
    <x v="1"/>
    <x v="1"/>
    <n v="6"/>
    <n v="2570691"/>
    <d v="2025-01-12T00:00:00"/>
    <n v="1"/>
    <n v="12"/>
    <n v="2025"/>
    <x v="6"/>
    <s v="Q1"/>
    <x v="1"/>
  </r>
  <r>
    <s v="O108132"/>
    <x v="15"/>
    <x v="2"/>
    <x v="2"/>
    <x v="2"/>
    <x v="3"/>
    <n v="10"/>
    <n v="2570016"/>
    <d v="2026-09-05T00:00:00"/>
    <n v="9"/>
    <n v="5"/>
    <n v="2026"/>
    <x v="1"/>
    <s v="Q3"/>
    <x v="2"/>
  </r>
  <r>
    <s v="O103484"/>
    <x v="117"/>
    <x v="8"/>
    <x v="3"/>
    <x v="3"/>
    <x v="3"/>
    <n v="10"/>
    <n v="2568742"/>
    <d v="2025-07-31T00:00:00"/>
    <n v="7"/>
    <n v="31"/>
    <n v="2025"/>
    <x v="10"/>
    <s v="Q3"/>
    <x v="3"/>
  </r>
  <r>
    <s v="O111066"/>
    <x v="342"/>
    <x v="8"/>
    <x v="0"/>
    <x v="1"/>
    <x v="3"/>
    <n v="6"/>
    <n v="2568207"/>
    <d v="2026-04-11T00:00:00"/>
    <n v="4"/>
    <n v="11"/>
    <n v="2026"/>
    <x v="11"/>
    <s v="Q2"/>
    <x v="1"/>
  </r>
  <r>
    <s v="O106607"/>
    <x v="368"/>
    <x v="6"/>
    <x v="0"/>
    <x v="1"/>
    <x v="3"/>
    <n v="7"/>
    <n v="2567800"/>
    <d v="2026-06-02T00:00:00"/>
    <n v="6"/>
    <n v="2"/>
    <n v="2026"/>
    <x v="2"/>
    <s v="Q2"/>
    <x v="1"/>
  </r>
  <r>
    <s v="O105797"/>
    <x v="409"/>
    <x v="1"/>
    <x v="0"/>
    <x v="2"/>
    <x v="1"/>
    <n v="6"/>
    <n v="2566561"/>
    <d v="2025-12-19T00:00:00"/>
    <n v="12"/>
    <n v="19"/>
    <n v="2025"/>
    <x v="7"/>
    <s v="Q4"/>
    <x v="2"/>
  </r>
  <r>
    <s v="O110073"/>
    <x v="580"/>
    <x v="2"/>
    <x v="2"/>
    <x v="2"/>
    <x v="3"/>
    <n v="7"/>
    <n v="2566551"/>
    <d v="2026-04-09T00:00:00"/>
    <n v="4"/>
    <n v="9"/>
    <n v="2026"/>
    <x v="11"/>
    <s v="Q2"/>
    <x v="2"/>
  </r>
  <r>
    <s v="O108840"/>
    <x v="632"/>
    <x v="4"/>
    <x v="0"/>
    <x v="1"/>
    <x v="2"/>
    <n v="6"/>
    <n v="2565788"/>
    <d v="2026-06-22T00:00:00"/>
    <n v="6"/>
    <n v="22"/>
    <n v="2026"/>
    <x v="2"/>
    <s v="Q2"/>
    <x v="1"/>
  </r>
  <r>
    <s v="O111192"/>
    <x v="702"/>
    <x v="0"/>
    <x v="0"/>
    <x v="0"/>
    <x v="2"/>
    <n v="6"/>
    <n v="2565615"/>
    <d v="2026-11-11T00:00:00"/>
    <n v="11"/>
    <n v="11"/>
    <n v="2026"/>
    <x v="0"/>
    <s v="Q4"/>
    <x v="0"/>
  </r>
  <r>
    <s v="O106025"/>
    <x v="478"/>
    <x v="5"/>
    <x v="0"/>
    <x v="3"/>
    <x v="2"/>
    <n v="5"/>
    <n v="2565322"/>
    <d v="2026-01-01T00:00:00"/>
    <n v="1"/>
    <n v="1"/>
    <n v="2026"/>
    <x v="6"/>
    <s v="Q1"/>
    <x v="3"/>
  </r>
  <r>
    <s v="O106120"/>
    <x v="441"/>
    <x v="3"/>
    <x v="2"/>
    <x v="3"/>
    <x v="3"/>
    <n v="8"/>
    <n v="2564661"/>
    <d v="2026-07-01T00:00:00"/>
    <n v="7"/>
    <n v="1"/>
    <n v="2026"/>
    <x v="10"/>
    <s v="Q3"/>
    <x v="3"/>
  </r>
  <r>
    <s v="O111690"/>
    <x v="55"/>
    <x v="4"/>
    <x v="2"/>
    <x v="2"/>
    <x v="1"/>
    <n v="10"/>
    <n v="2564612"/>
    <d v="2026-12-12T00:00:00"/>
    <n v="12"/>
    <n v="12"/>
    <n v="2026"/>
    <x v="7"/>
    <s v="Q4"/>
    <x v="2"/>
  </r>
  <r>
    <s v="O106754"/>
    <x v="227"/>
    <x v="0"/>
    <x v="0"/>
    <x v="1"/>
    <x v="2"/>
    <n v="5"/>
    <n v="2564016"/>
    <d v="2026-02-15T00:00:00"/>
    <n v="2"/>
    <n v="15"/>
    <n v="2026"/>
    <x v="4"/>
    <s v="Q1"/>
    <x v="1"/>
  </r>
  <r>
    <s v="O100414"/>
    <x v="174"/>
    <x v="0"/>
    <x v="2"/>
    <x v="2"/>
    <x v="3"/>
    <n v="7"/>
    <n v="2563545"/>
    <d v="2025-01-26T00:00:00"/>
    <n v="1"/>
    <n v="26"/>
    <n v="2025"/>
    <x v="6"/>
    <s v="Q1"/>
    <x v="2"/>
  </r>
  <r>
    <s v="O102931"/>
    <x v="358"/>
    <x v="2"/>
    <x v="2"/>
    <x v="4"/>
    <x v="3"/>
    <n v="10"/>
    <n v="2563021"/>
    <d v="2025-06-28T00:00:00"/>
    <n v="6"/>
    <n v="28"/>
    <n v="2025"/>
    <x v="2"/>
    <s v="Q2"/>
    <x v="4"/>
  </r>
  <r>
    <s v="O108529"/>
    <x v="39"/>
    <x v="1"/>
    <x v="2"/>
    <x v="4"/>
    <x v="0"/>
    <n v="8"/>
    <n v="2561499"/>
    <d v="2026-03-06T00:00:00"/>
    <n v="3"/>
    <n v="6"/>
    <n v="2026"/>
    <x v="5"/>
    <s v="Q1"/>
    <x v="4"/>
  </r>
  <r>
    <s v="O111179"/>
    <x v="578"/>
    <x v="6"/>
    <x v="2"/>
    <x v="1"/>
    <x v="1"/>
    <n v="9"/>
    <n v="2561076"/>
    <d v="2026-11-11T00:00:00"/>
    <n v="11"/>
    <n v="11"/>
    <n v="2026"/>
    <x v="0"/>
    <s v="Q4"/>
    <x v="1"/>
  </r>
  <r>
    <s v="O111598"/>
    <x v="4"/>
    <x v="4"/>
    <x v="0"/>
    <x v="2"/>
    <x v="1"/>
    <n v="5"/>
    <n v="2560381"/>
    <d v="2026-06-12T00:00:00"/>
    <n v="6"/>
    <n v="12"/>
    <n v="2026"/>
    <x v="2"/>
    <s v="Q2"/>
    <x v="2"/>
  </r>
  <r>
    <s v="O101322"/>
    <x v="115"/>
    <x v="0"/>
    <x v="0"/>
    <x v="3"/>
    <x v="2"/>
    <n v="7"/>
    <n v="2557779"/>
    <d v="2025-03-22T00:00:00"/>
    <n v="3"/>
    <n v="22"/>
    <n v="2025"/>
    <x v="5"/>
    <s v="Q1"/>
    <x v="3"/>
  </r>
  <r>
    <s v="O100278"/>
    <x v="229"/>
    <x v="2"/>
    <x v="2"/>
    <x v="2"/>
    <x v="2"/>
    <n v="10"/>
    <n v="2557109"/>
    <d v="2025-01-17T00:00:00"/>
    <n v="1"/>
    <n v="17"/>
    <n v="2025"/>
    <x v="6"/>
    <s v="Q1"/>
    <x v="2"/>
  </r>
  <r>
    <s v="O101127"/>
    <x v="621"/>
    <x v="3"/>
    <x v="0"/>
    <x v="3"/>
    <x v="2"/>
    <n v="6"/>
    <n v="2556206"/>
    <d v="2025-10-03T00:00:00"/>
    <n v="10"/>
    <n v="3"/>
    <n v="2025"/>
    <x v="9"/>
    <s v="Q4"/>
    <x v="3"/>
  </r>
  <r>
    <s v="O101320"/>
    <x v="614"/>
    <x v="3"/>
    <x v="0"/>
    <x v="4"/>
    <x v="1"/>
    <n v="6"/>
    <n v="2555976"/>
    <d v="2025-03-22T00:00:00"/>
    <n v="3"/>
    <n v="22"/>
    <n v="2025"/>
    <x v="5"/>
    <s v="Q1"/>
    <x v="4"/>
  </r>
  <r>
    <s v="O103253"/>
    <x v="703"/>
    <x v="8"/>
    <x v="2"/>
    <x v="3"/>
    <x v="2"/>
    <n v="9"/>
    <n v="2555960"/>
    <d v="2025-07-17T00:00:00"/>
    <n v="7"/>
    <n v="17"/>
    <n v="2025"/>
    <x v="10"/>
    <s v="Q3"/>
    <x v="3"/>
  </r>
  <r>
    <s v="O103126"/>
    <x v="470"/>
    <x v="3"/>
    <x v="2"/>
    <x v="5"/>
    <x v="1"/>
    <n v="7"/>
    <n v="2555639"/>
    <d v="2025-09-07T00:00:00"/>
    <n v="9"/>
    <n v="7"/>
    <n v="2025"/>
    <x v="1"/>
    <s v="Q3"/>
    <x v="5"/>
  </r>
  <r>
    <s v="O100687"/>
    <x v="486"/>
    <x v="5"/>
    <x v="2"/>
    <x v="2"/>
    <x v="3"/>
    <n v="8"/>
    <n v="2554786"/>
    <d v="2025-11-02T00:00:00"/>
    <n v="11"/>
    <n v="2"/>
    <n v="2025"/>
    <x v="0"/>
    <s v="Q4"/>
    <x v="2"/>
  </r>
  <r>
    <s v="O110606"/>
    <x v="704"/>
    <x v="1"/>
    <x v="0"/>
    <x v="2"/>
    <x v="0"/>
    <n v="7"/>
    <n v="2554310"/>
    <d v="2026-07-10T00:00:00"/>
    <n v="7"/>
    <n v="10"/>
    <n v="2026"/>
    <x v="10"/>
    <s v="Q3"/>
    <x v="2"/>
  </r>
  <r>
    <s v="O105983"/>
    <x v="56"/>
    <x v="2"/>
    <x v="3"/>
    <x v="3"/>
    <x v="3"/>
    <n v="10"/>
    <n v="2554112"/>
    <d v="2025-12-30T00:00:00"/>
    <n v="12"/>
    <n v="30"/>
    <n v="2025"/>
    <x v="7"/>
    <s v="Q4"/>
    <x v="3"/>
  </r>
  <r>
    <s v="O107830"/>
    <x v="463"/>
    <x v="2"/>
    <x v="0"/>
    <x v="0"/>
    <x v="1"/>
    <n v="6"/>
    <n v="2553747"/>
    <d v="2026-04-21T00:00:00"/>
    <n v="4"/>
    <n v="21"/>
    <n v="2026"/>
    <x v="11"/>
    <s v="Q2"/>
    <x v="0"/>
  </r>
  <r>
    <s v="O108618"/>
    <x v="19"/>
    <x v="3"/>
    <x v="0"/>
    <x v="4"/>
    <x v="0"/>
    <n v="5"/>
    <n v="2551870"/>
    <d v="2026-08-06T00:00:00"/>
    <n v="8"/>
    <n v="6"/>
    <n v="2026"/>
    <x v="8"/>
    <s v="Q3"/>
    <x v="4"/>
  </r>
  <r>
    <s v="O107683"/>
    <x v="28"/>
    <x v="9"/>
    <x v="2"/>
    <x v="1"/>
    <x v="3"/>
    <n v="7"/>
    <n v="2550617"/>
    <d v="2026-12-04T00:00:00"/>
    <n v="12"/>
    <n v="4"/>
    <n v="2026"/>
    <x v="7"/>
    <s v="Q4"/>
    <x v="1"/>
  </r>
  <r>
    <s v="O109263"/>
    <x v="21"/>
    <x v="6"/>
    <x v="2"/>
    <x v="3"/>
    <x v="3"/>
    <n v="7"/>
    <n v="2550602"/>
    <d v="2026-07-17T00:00:00"/>
    <n v="7"/>
    <n v="17"/>
    <n v="2026"/>
    <x v="10"/>
    <s v="Q3"/>
    <x v="3"/>
  </r>
  <r>
    <s v="O100494"/>
    <x v="202"/>
    <x v="5"/>
    <x v="0"/>
    <x v="3"/>
    <x v="0"/>
    <n v="7"/>
    <n v="2550122"/>
    <d v="2025-01-30T00:00:00"/>
    <n v="1"/>
    <n v="30"/>
    <n v="2025"/>
    <x v="6"/>
    <s v="Q1"/>
    <x v="3"/>
  </r>
  <r>
    <s v="O111846"/>
    <x v="671"/>
    <x v="10"/>
    <x v="0"/>
    <x v="1"/>
    <x v="0"/>
    <n v="5"/>
    <n v="2549360"/>
    <d v="2026-12-21T00:00:00"/>
    <n v="12"/>
    <n v="21"/>
    <n v="2026"/>
    <x v="7"/>
    <s v="Q4"/>
    <x v="1"/>
  </r>
  <r>
    <s v="O104132"/>
    <x v="169"/>
    <x v="2"/>
    <x v="0"/>
    <x v="2"/>
    <x v="0"/>
    <n v="6"/>
    <n v="2549202"/>
    <d v="2025-08-09T00:00:00"/>
    <n v="8"/>
    <n v="9"/>
    <n v="2025"/>
    <x v="8"/>
    <m/>
    <x v="2"/>
  </r>
  <r>
    <s v="O104283"/>
    <x v="583"/>
    <x v="4"/>
    <x v="0"/>
    <x v="1"/>
    <x v="1"/>
    <n v="5"/>
    <n v="2548994"/>
    <d v="2025-09-18T00:00:00"/>
    <n v="9"/>
    <n v="18"/>
    <n v="2025"/>
    <x v="1"/>
    <s v="Q3"/>
    <x v="1"/>
  </r>
  <r>
    <s v="O111093"/>
    <x v="25"/>
    <x v="1"/>
    <x v="0"/>
    <x v="3"/>
    <x v="3"/>
    <n v="7"/>
    <n v="2548276"/>
    <d v="2026-05-11T00:00:00"/>
    <n v="5"/>
    <n v="11"/>
    <n v="2026"/>
    <x v="3"/>
    <s v="Q2"/>
    <x v="3"/>
  </r>
  <r>
    <s v="O107033"/>
    <x v="444"/>
    <x v="0"/>
    <x v="2"/>
    <x v="3"/>
    <x v="0"/>
    <n v="7"/>
    <n v="2547900"/>
    <d v="2026-04-03T00:00:00"/>
    <n v="4"/>
    <n v="3"/>
    <n v="2026"/>
    <x v="11"/>
    <s v="Q2"/>
    <x v="3"/>
  </r>
  <r>
    <s v="O111914"/>
    <x v="505"/>
    <x v="2"/>
    <x v="3"/>
    <x v="3"/>
    <x v="1"/>
    <n v="10"/>
    <n v="2546800"/>
    <d v="2026-12-25T00:00:00"/>
    <n v="12"/>
    <n v="25"/>
    <n v="2026"/>
    <x v="7"/>
    <s v="Q4"/>
    <x v="3"/>
  </r>
  <r>
    <s v="O108551"/>
    <x v="705"/>
    <x v="9"/>
    <x v="3"/>
    <x v="3"/>
    <x v="1"/>
    <n v="10"/>
    <n v="2546279"/>
    <d v="2026-04-06T00:00:00"/>
    <n v="4"/>
    <n v="6"/>
    <n v="2026"/>
    <x v="11"/>
    <s v="Q2"/>
    <x v="3"/>
  </r>
  <r>
    <s v="O109892"/>
    <x v="614"/>
    <x v="4"/>
    <x v="0"/>
    <x v="3"/>
    <x v="1"/>
    <n v="7"/>
    <n v="2545273"/>
    <d v="2026-08-24T00:00:00"/>
    <n v="8"/>
    <n v="24"/>
    <n v="2026"/>
    <x v="8"/>
    <s v="Q3"/>
    <x v="3"/>
  </r>
  <r>
    <s v="O109407"/>
    <x v="605"/>
    <x v="8"/>
    <x v="0"/>
    <x v="1"/>
    <x v="0"/>
    <n v="5"/>
    <n v="2545092"/>
    <d v="2026-07-26T00:00:00"/>
    <n v="7"/>
    <n v="26"/>
    <n v="2026"/>
    <x v="10"/>
    <s v="Q3"/>
    <x v="1"/>
  </r>
  <r>
    <s v="O110754"/>
    <x v="350"/>
    <x v="10"/>
    <x v="2"/>
    <x v="0"/>
    <x v="3"/>
    <n v="7"/>
    <n v="2544624"/>
    <d v="2026-10-16T00:00:00"/>
    <n v="10"/>
    <n v="16"/>
    <n v="2026"/>
    <x v="9"/>
    <s v="Q4"/>
    <x v="0"/>
  </r>
  <r>
    <s v="O103603"/>
    <x v="658"/>
    <x v="0"/>
    <x v="0"/>
    <x v="0"/>
    <x v="1"/>
    <n v="5"/>
    <n v="2541486"/>
    <d v="2025-07-08T00:00:00"/>
    <n v="7"/>
    <n v="8"/>
    <n v="2025"/>
    <x v="10"/>
    <s v="Q3"/>
    <x v="0"/>
  </r>
  <r>
    <s v="O105216"/>
    <x v="455"/>
    <x v="1"/>
    <x v="2"/>
    <x v="0"/>
    <x v="2"/>
    <n v="9"/>
    <n v="2540452"/>
    <d v="2025-11-13T00:00:00"/>
    <n v="11"/>
    <n v="13"/>
    <n v="2025"/>
    <x v="0"/>
    <s v="Q4"/>
    <x v="0"/>
  </r>
  <r>
    <s v="O105421"/>
    <x v="587"/>
    <x v="9"/>
    <x v="0"/>
    <x v="1"/>
    <x v="3"/>
    <n v="5"/>
    <n v="2539855"/>
    <d v="2025-11-26T00:00:00"/>
    <n v="11"/>
    <n v="26"/>
    <n v="2025"/>
    <x v="0"/>
    <m/>
    <x v="1"/>
  </r>
  <r>
    <s v="O110942"/>
    <x v="593"/>
    <x v="2"/>
    <x v="2"/>
    <x v="3"/>
    <x v="2"/>
    <n v="7"/>
    <n v="2539234"/>
    <d v="2026-10-27T00:00:00"/>
    <n v="10"/>
    <n v="27"/>
    <n v="2026"/>
    <x v="9"/>
    <s v="Q4"/>
    <x v="3"/>
  </r>
  <r>
    <s v="O103261"/>
    <x v="142"/>
    <x v="4"/>
    <x v="0"/>
    <x v="3"/>
    <x v="1"/>
    <n v="6"/>
    <n v="2538804"/>
    <d v="2025-07-18T00:00:00"/>
    <n v="7"/>
    <n v="18"/>
    <n v="2025"/>
    <x v="10"/>
    <s v="Q3"/>
    <x v="3"/>
  </r>
  <r>
    <s v="O102659"/>
    <x v="300"/>
    <x v="2"/>
    <x v="0"/>
    <x v="4"/>
    <x v="2"/>
    <n v="5"/>
    <n v="2538668"/>
    <d v="2025-11-06T00:00:00"/>
    <n v="11"/>
    <n v="6"/>
    <n v="2025"/>
    <x v="0"/>
    <s v="Q4"/>
    <x v="4"/>
  </r>
  <r>
    <s v="O101971"/>
    <x v="18"/>
    <x v="8"/>
    <x v="0"/>
    <x v="4"/>
    <x v="1"/>
    <n v="5"/>
    <n v="2533773"/>
    <d v="2025-04-30T00:00:00"/>
    <n v="4"/>
    <n v="30"/>
    <n v="2025"/>
    <x v="11"/>
    <s v="Q2"/>
    <x v="4"/>
  </r>
  <r>
    <s v="O105074"/>
    <x v="706"/>
    <x v="3"/>
    <x v="0"/>
    <x v="4"/>
    <x v="2"/>
    <n v="6"/>
    <n v="2532851"/>
    <d v="2025-05-11T00:00:00"/>
    <n v="5"/>
    <n v="11"/>
    <n v="2025"/>
    <x v="3"/>
    <s v="Q2"/>
    <x v="4"/>
  </r>
  <r>
    <s v="O105775"/>
    <x v="54"/>
    <x v="9"/>
    <x v="0"/>
    <x v="3"/>
    <x v="3"/>
    <n v="7"/>
    <n v="2530568"/>
    <d v="2025-12-17T00:00:00"/>
    <n v="12"/>
    <n v="17"/>
    <n v="2025"/>
    <x v="7"/>
    <s v="Q4"/>
    <x v="3"/>
  </r>
  <r>
    <s v="O107676"/>
    <x v="685"/>
    <x v="6"/>
    <x v="2"/>
    <x v="0"/>
    <x v="0"/>
    <n v="7"/>
    <n v="2530384"/>
    <d v="2026-12-04T00:00:00"/>
    <n v="12"/>
    <n v="4"/>
    <n v="2026"/>
    <x v="7"/>
    <s v="Q4"/>
    <x v="0"/>
  </r>
  <r>
    <s v="O100994"/>
    <x v="555"/>
    <x v="8"/>
    <x v="2"/>
    <x v="4"/>
    <x v="3"/>
    <n v="7"/>
    <n v="2528348"/>
    <d v="2025-02-03T00:00:00"/>
    <n v="2"/>
    <n v="3"/>
    <n v="2025"/>
    <x v="4"/>
    <s v="Q1"/>
    <x v="4"/>
  </r>
  <r>
    <s v="O105497"/>
    <x v="161"/>
    <x v="10"/>
    <x v="2"/>
    <x v="0"/>
    <x v="1"/>
    <n v="7"/>
    <n v="2528130"/>
    <d v="2025-11-30T00:00:00"/>
    <n v="11"/>
    <n v="30"/>
    <n v="2025"/>
    <x v="0"/>
    <s v="Q4"/>
    <x v="0"/>
  </r>
  <r>
    <s v="O101753"/>
    <x v="508"/>
    <x v="6"/>
    <x v="0"/>
    <x v="0"/>
    <x v="2"/>
    <n v="6"/>
    <n v="2528037"/>
    <d v="2025-04-17T00:00:00"/>
    <n v="4"/>
    <n v="17"/>
    <n v="2025"/>
    <x v="11"/>
    <s v="Q2"/>
    <x v="0"/>
  </r>
  <r>
    <s v="O100175"/>
    <x v="315"/>
    <x v="2"/>
    <x v="2"/>
    <x v="4"/>
    <x v="2"/>
    <n v="10"/>
    <n v="2527426"/>
    <d v="2025-11-01T00:00:00"/>
    <n v="11"/>
    <n v="1"/>
    <n v="2025"/>
    <x v="0"/>
    <s v="Q4"/>
    <x v="4"/>
  </r>
  <r>
    <s v="O110353"/>
    <x v="386"/>
    <x v="1"/>
    <x v="0"/>
    <x v="4"/>
    <x v="2"/>
    <n v="7"/>
    <n v="2526823"/>
    <d v="2026-09-21T00:00:00"/>
    <n v="9"/>
    <n v="21"/>
    <n v="2026"/>
    <x v="1"/>
    <s v="Q3"/>
    <x v="4"/>
  </r>
  <r>
    <s v="O102788"/>
    <x v="650"/>
    <x v="5"/>
    <x v="0"/>
    <x v="3"/>
    <x v="2"/>
    <n v="5"/>
    <n v="2524504"/>
    <d v="2025-06-19T00:00:00"/>
    <n v="6"/>
    <n v="19"/>
    <n v="2025"/>
    <x v="2"/>
    <s v="Q2"/>
    <x v="3"/>
  </r>
  <r>
    <s v="O107010"/>
    <x v="26"/>
    <x v="1"/>
    <x v="0"/>
    <x v="4"/>
    <x v="0"/>
    <n v="5"/>
    <n v="2524239"/>
    <d v="2026-02-03T00:00:00"/>
    <n v="2"/>
    <n v="3"/>
    <n v="2026"/>
    <x v="4"/>
    <s v="Q1"/>
    <x v="4"/>
  </r>
  <r>
    <s v="O104101"/>
    <x v="488"/>
    <x v="5"/>
    <x v="2"/>
    <x v="4"/>
    <x v="3"/>
    <n v="10"/>
    <n v="2524208"/>
    <d v="2025-07-09T00:00:00"/>
    <n v="7"/>
    <n v="9"/>
    <n v="2025"/>
    <x v="10"/>
    <s v="Q3"/>
    <x v="4"/>
  </r>
  <r>
    <s v="O101319"/>
    <x v="515"/>
    <x v="0"/>
    <x v="0"/>
    <x v="4"/>
    <x v="2"/>
    <n v="5"/>
    <n v="2523544"/>
    <d v="2025-03-22T00:00:00"/>
    <n v="3"/>
    <n v="22"/>
    <n v="2025"/>
    <x v="5"/>
    <s v="Q1"/>
    <x v="4"/>
  </r>
  <r>
    <s v="O108390"/>
    <x v="406"/>
    <x v="1"/>
    <x v="0"/>
    <x v="0"/>
    <x v="1"/>
    <n v="7"/>
    <n v="2521829"/>
    <d v="2026-05-25T00:00:00"/>
    <n v="5"/>
    <n v="25"/>
    <n v="2026"/>
    <x v="3"/>
    <s v="Q2"/>
    <x v="0"/>
  </r>
  <r>
    <s v="O101389"/>
    <x v="707"/>
    <x v="1"/>
    <x v="3"/>
    <x v="1"/>
    <x v="2"/>
    <n v="10"/>
    <n v="2521435"/>
    <d v="2025-03-26T00:00:00"/>
    <n v="3"/>
    <n v="26"/>
    <n v="2025"/>
    <x v="5"/>
    <s v="Q1"/>
    <x v="1"/>
  </r>
  <r>
    <s v="O107197"/>
    <x v="249"/>
    <x v="5"/>
    <x v="0"/>
    <x v="1"/>
    <x v="3"/>
    <n v="6"/>
    <n v="2520928"/>
    <d v="2026-03-14T00:00:00"/>
    <n v="3"/>
    <n v="14"/>
    <n v="2026"/>
    <x v="5"/>
    <s v="Q1"/>
    <x v="1"/>
  </r>
  <r>
    <s v="O107450"/>
    <x v="658"/>
    <x v="0"/>
    <x v="0"/>
    <x v="3"/>
    <x v="0"/>
    <n v="7"/>
    <n v="2520856"/>
    <d v="2026-03-29T00:00:00"/>
    <n v="3"/>
    <n v="29"/>
    <n v="2026"/>
    <x v="5"/>
    <s v="Q1"/>
    <x v="3"/>
  </r>
  <r>
    <s v="O106065"/>
    <x v="197"/>
    <x v="0"/>
    <x v="0"/>
    <x v="0"/>
    <x v="3"/>
    <n v="6"/>
    <n v="2520626"/>
    <d v="2026-04-01T00:00:00"/>
    <n v="4"/>
    <n v="1"/>
    <n v="2026"/>
    <x v="11"/>
    <s v="Q2"/>
    <x v="0"/>
  </r>
  <r>
    <s v="O103378"/>
    <x v="708"/>
    <x v="0"/>
    <x v="0"/>
    <x v="1"/>
    <x v="2"/>
    <n v="5"/>
    <n v="2520227"/>
    <d v="2025-07-25T00:00:00"/>
    <n v="7"/>
    <n v="25"/>
    <n v="2025"/>
    <x v="10"/>
    <s v="Q3"/>
    <x v="1"/>
  </r>
  <r>
    <s v="O111772"/>
    <x v="644"/>
    <x v="8"/>
    <x v="0"/>
    <x v="2"/>
    <x v="2"/>
    <n v="6"/>
    <n v="2519501"/>
    <d v="2026-12-17T00:00:00"/>
    <n v="12"/>
    <n v="17"/>
    <n v="2026"/>
    <x v="7"/>
    <s v="Q4"/>
    <x v="2"/>
  </r>
  <r>
    <s v="O100698"/>
    <x v="709"/>
    <x v="10"/>
    <x v="2"/>
    <x v="4"/>
    <x v="0"/>
    <n v="10"/>
    <n v="2519260"/>
    <d v="2025-12-02T00:00:00"/>
    <n v="12"/>
    <n v="2"/>
    <n v="2025"/>
    <x v="7"/>
    <s v="Q4"/>
    <x v="4"/>
  </r>
  <r>
    <s v="O111618"/>
    <x v="710"/>
    <x v="6"/>
    <x v="0"/>
    <x v="3"/>
    <x v="0"/>
    <n v="6"/>
    <n v="2518800"/>
    <d v="2026-07-12T00:00:00"/>
    <n v="7"/>
    <n v="12"/>
    <n v="2026"/>
    <x v="10"/>
    <s v="Q3"/>
    <x v="3"/>
  </r>
  <r>
    <s v="O108188"/>
    <x v="87"/>
    <x v="2"/>
    <x v="3"/>
    <x v="0"/>
    <x v="2"/>
    <n v="10"/>
    <n v="2517705"/>
    <d v="2026-05-13T00:00:00"/>
    <n v="5"/>
    <n v="13"/>
    <n v="2026"/>
    <x v="3"/>
    <s v="Q2"/>
    <x v="0"/>
  </r>
  <r>
    <s v="O104300"/>
    <x v="525"/>
    <x v="6"/>
    <x v="2"/>
    <x v="2"/>
    <x v="1"/>
    <n v="10"/>
    <n v="2517499"/>
    <d v="2025-09-19T00:00:00"/>
    <n v="9"/>
    <n v="19"/>
    <n v="2025"/>
    <x v="1"/>
    <s v="Q3"/>
    <x v="2"/>
  </r>
  <r>
    <s v="O107373"/>
    <x v="597"/>
    <x v="10"/>
    <x v="0"/>
    <x v="4"/>
    <x v="2"/>
    <n v="5"/>
    <n v="2517462"/>
    <d v="2026-03-24T00:00:00"/>
    <n v="3"/>
    <n v="24"/>
    <n v="2026"/>
    <x v="5"/>
    <s v="Q1"/>
    <x v="4"/>
  </r>
  <r>
    <s v="O106537"/>
    <x v="83"/>
    <x v="5"/>
    <x v="2"/>
    <x v="3"/>
    <x v="1"/>
    <n v="7"/>
    <n v="2517247"/>
    <d v="2026-02-02T00:00:00"/>
    <n v="2"/>
    <n v="2"/>
    <n v="2026"/>
    <x v="4"/>
    <s v="Q1"/>
    <x v="3"/>
  </r>
  <r>
    <s v="O107542"/>
    <x v="705"/>
    <x v="4"/>
    <x v="0"/>
    <x v="1"/>
    <x v="2"/>
    <n v="5"/>
    <n v="2516427"/>
    <d v="2026-04-04T00:00:00"/>
    <n v="4"/>
    <n v="4"/>
    <n v="2026"/>
    <x v="11"/>
    <s v="Q2"/>
    <x v="1"/>
  </r>
  <r>
    <s v="O111208"/>
    <x v="711"/>
    <x v="0"/>
    <x v="0"/>
    <x v="0"/>
    <x v="0"/>
    <n v="6"/>
    <n v="2516154"/>
    <d v="2026-12-11T00:00:00"/>
    <n v="12"/>
    <n v="11"/>
    <n v="2026"/>
    <x v="7"/>
    <s v="Q4"/>
    <x v="0"/>
  </r>
  <r>
    <s v="O108997"/>
    <x v="110"/>
    <x v="9"/>
    <x v="0"/>
    <x v="0"/>
    <x v="2"/>
    <n v="6"/>
    <n v="2514255"/>
    <d v="2026-01-07T00:00:00"/>
    <n v="1"/>
    <n v="7"/>
    <n v="2026"/>
    <x v="6"/>
    <s v="Q1"/>
    <x v="0"/>
  </r>
  <r>
    <s v="O100159"/>
    <x v="114"/>
    <x v="10"/>
    <x v="0"/>
    <x v="2"/>
    <x v="2"/>
    <n v="5"/>
    <n v="2514236"/>
    <d v="2025-10-01T00:00:00"/>
    <n v="10"/>
    <n v="1"/>
    <n v="2025"/>
    <x v="9"/>
    <s v="Q4"/>
    <x v="2"/>
  </r>
  <r>
    <s v="O101011"/>
    <x v="181"/>
    <x v="3"/>
    <x v="0"/>
    <x v="10"/>
    <x v="0"/>
    <n v="5"/>
    <n v="2512235"/>
    <d v="2025-03-03T00:00:00"/>
    <n v="3"/>
    <n v="3"/>
    <n v="2025"/>
    <x v="5"/>
    <s v="Q1"/>
    <x v="1"/>
  </r>
  <r>
    <s v="O110535"/>
    <x v="249"/>
    <x v="0"/>
    <x v="2"/>
    <x v="1"/>
    <x v="3"/>
    <n v="8"/>
    <n v="2509830"/>
    <d v="2026-02-10T00:00:00"/>
    <n v="2"/>
    <n v="10"/>
    <n v="2026"/>
    <x v="4"/>
    <s v="Q1"/>
    <x v="1"/>
  </r>
  <r>
    <s v="O109300"/>
    <x v="388"/>
    <x v="5"/>
    <x v="0"/>
    <x v="0"/>
    <x v="0"/>
    <n v="6"/>
    <n v="2505603"/>
    <d v="2026-07-19T00:00:00"/>
    <n v="7"/>
    <n v="19"/>
    <n v="2026"/>
    <x v="10"/>
    <s v="Q3"/>
    <x v="0"/>
  </r>
  <r>
    <s v="O111530"/>
    <x v="120"/>
    <x v="1"/>
    <x v="2"/>
    <x v="2"/>
    <x v="0"/>
    <n v="10"/>
    <n v="2504802"/>
    <d v="2026-02-12T00:00:00"/>
    <n v="2"/>
    <n v="12"/>
    <n v="2026"/>
    <x v="4"/>
    <s v="Q1"/>
    <x v="2"/>
  </r>
  <r>
    <s v="O108447"/>
    <x v="90"/>
    <x v="10"/>
    <x v="2"/>
    <x v="1"/>
    <x v="3"/>
    <n v="7"/>
    <n v="2503719"/>
    <d v="2026-05-29T00:00:00"/>
    <n v="5"/>
    <n v="29"/>
    <n v="2026"/>
    <x v="3"/>
    <s v="Q2"/>
    <x v="1"/>
  </r>
  <r>
    <s v="O102531"/>
    <x v="566"/>
    <x v="3"/>
    <x v="2"/>
    <x v="0"/>
    <x v="3"/>
    <n v="7"/>
    <n v="2502668"/>
    <d v="2025-03-06T00:00:00"/>
    <n v="3"/>
    <n v="6"/>
    <n v="2025"/>
    <x v="5"/>
    <s v="Q1"/>
    <x v="0"/>
  </r>
  <r>
    <s v="O101822"/>
    <x v="483"/>
    <x v="6"/>
    <x v="0"/>
    <x v="0"/>
    <x v="2"/>
    <n v="6"/>
    <n v="2502395"/>
    <d v="2025-04-21T00:00:00"/>
    <n v="4"/>
    <n v="21"/>
    <n v="2025"/>
    <x v="11"/>
    <s v="Q2"/>
    <x v="0"/>
  </r>
  <r>
    <s v="O111706"/>
    <x v="86"/>
    <x v="2"/>
    <x v="2"/>
    <x v="2"/>
    <x v="2"/>
    <n v="10"/>
    <n v="2499124"/>
    <d v="2026-12-13T00:00:00"/>
    <n v="12"/>
    <n v="13"/>
    <n v="2026"/>
    <x v="7"/>
    <s v="Q4"/>
    <x v="2"/>
  </r>
  <r>
    <s v="O101712"/>
    <x v="331"/>
    <x v="2"/>
    <x v="0"/>
    <x v="1"/>
    <x v="2"/>
    <n v="7"/>
    <n v="2499052"/>
    <d v="2025-04-14T00:00:00"/>
    <n v="4"/>
    <n v="14"/>
    <n v="2025"/>
    <x v="11"/>
    <s v="Q2"/>
    <x v="1"/>
  </r>
  <r>
    <s v="O111656"/>
    <x v="712"/>
    <x v="4"/>
    <x v="2"/>
    <x v="2"/>
    <x v="1"/>
    <n v="7"/>
    <n v="2499002"/>
    <d v="2026-10-12T00:00:00"/>
    <n v="10"/>
    <n v="12"/>
    <n v="2026"/>
    <x v="9"/>
    <s v="Q4"/>
    <x v="2"/>
  </r>
  <r>
    <s v="O109208"/>
    <x v="463"/>
    <x v="1"/>
    <x v="2"/>
    <x v="3"/>
    <x v="0"/>
    <n v="8"/>
    <n v="2496825"/>
    <d v="2026-07-14T00:00:00"/>
    <n v="7"/>
    <n v="14"/>
    <n v="2026"/>
    <x v="10"/>
    <s v="Q3"/>
    <x v="3"/>
  </r>
  <r>
    <s v="O106430"/>
    <x v="264"/>
    <x v="9"/>
    <x v="2"/>
    <x v="1"/>
    <x v="3"/>
    <n v="9"/>
    <n v="2495944"/>
    <d v="2026-01-26T00:00:00"/>
    <n v="1"/>
    <n v="26"/>
    <n v="2026"/>
    <x v="6"/>
    <s v="Q1"/>
    <x v="1"/>
  </r>
  <r>
    <s v="O108086"/>
    <x v="342"/>
    <x v="2"/>
    <x v="2"/>
    <x v="3"/>
    <x v="0"/>
    <n v="7"/>
    <n v="2494760"/>
    <d v="2026-07-05T00:00:00"/>
    <n v="7"/>
    <n v="5"/>
    <n v="2026"/>
    <x v="10"/>
    <s v="Q3"/>
    <x v="3"/>
  </r>
  <r>
    <s v="O107163"/>
    <x v="334"/>
    <x v="0"/>
    <x v="2"/>
    <x v="3"/>
    <x v="2"/>
    <n v="10"/>
    <n v="2494276"/>
    <d v="2026-12-03T00:00:00"/>
    <n v="12"/>
    <n v="3"/>
    <n v="2026"/>
    <x v="7"/>
    <s v="Q4"/>
    <x v="3"/>
  </r>
  <r>
    <s v="O110970"/>
    <x v="708"/>
    <x v="6"/>
    <x v="0"/>
    <x v="3"/>
    <x v="3"/>
    <n v="5"/>
    <n v="2494196"/>
    <d v="2026-10-29T00:00:00"/>
    <n v="10"/>
    <n v="29"/>
    <n v="2026"/>
    <x v="9"/>
    <s v="Q4"/>
    <x v="3"/>
  </r>
  <r>
    <s v="O107902"/>
    <x v="21"/>
    <x v="8"/>
    <x v="0"/>
    <x v="0"/>
    <x v="0"/>
    <n v="7"/>
    <n v="2491560"/>
    <d v="2026-04-26T00:00:00"/>
    <n v="4"/>
    <n v="26"/>
    <n v="2026"/>
    <x v="11"/>
    <s v="Q2"/>
    <x v="0"/>
  </r>
  <r>
    <s v="O106740"/>
    <x v="40"/>
    <x v="3"/>
    <x v="3"/>
    <x v="4"/>
    <x v="2"/>
    <n v="10"/>
    <n v="2491043"/>
    <d v="2026-02-14T00:00:00"/>
    <n v="2"/>
    <n v="14"/>
    <n v="2026"/>
    <x v="4"/>
    <s v="Q1"/>
    <x v="4"/>
  </r>
  <r>
    <s v="O100336"/>
    <x v="602"/>
    <x v="4"/>
    <x v="0"/>
    <x v="4"/>
    <x v="3"/>
    <n v="5"/>
    <n v="2489399"/>
    <d v="2025-01-21T00:00:00"/>
    <n v="1"/>
    <n v="21"/>
    <n v="2025"/>
    <x v="6"/>
    <s v="Q1"/>
    <x v="4"/>
  </r>
  <r>
    <s v="O101897"/>
    <x v="362"/>
    <x v="5"/>
    <x v="2"/>
    <x v="4"/>
    <x v="1"/>
    <n v="9"/>
    <n v="2487396"/>
    <d v="2025-04-26T00:00:00"/>
    <n v="4"/>
    <n v="26"/>
    <n v="2025"/>
    <x v="11"/>
    <s v="Q2"/>
    <x v="4"/>
  </r>
  <r>
    <s v="O104828"/>
    <x v="668"/>
    <x v="1"/>
    <x v="0"/>
    <x v="2"/>
    <x v="1"/>
    <n v="7"/>
    <n v="2487116"/>
    <d v="2025-10-21T00:00:00"/>
    <n v="10"/>
    <n v="21"/>
    <n v="2025"/>
    <x v="9"/>
    <s v="Q4"/>
    <x v="2"/>
  </r>
  <r>
    <s v="O103664"/>
    <x v="490"/>
    <x v="1"/>
    <x v="0"/>
    <x v="4"/>
    <x v="2"/>
    <n v="6"/>
    <n v="2486666"/>
    <d v="2025-11-08T00:00:00"/>
    <n v="11"/>
    <n v="8"/>
    <n v="2025"/>
    <x v="0"/>
    <s v="Q4"/>
    <x v="4"/>
  </r>
  <r>
    <s v="O104159"/>
    <x v="216"/>
    <x v="4"/>
    <x v="3"/>
    <x v="4"/>
    <x v="1"/>
    <n v="10"/>
    <n v="2485425"/>
    <d v="2025-10-09T00:00:00"/>
    <n v="10"/>
    <n v="9"/>
    <n v="2025"/>
    <x v="9"/>
    <s v="Q4"/>
    <x v="4"/>
  </r>
  <r>
    <s v="O101836"/>
    <x v="444"/>
    <x v="9"/>
    <x v="2"/>
    <x v="3"/>
    <x v="2"/>
    <n v="9"/>
    <n v="2484738"/>
    <d v="2025-04-22T00:00:00"/>
    <n v="4"/>
    <n v="22"/>
    <n v="2025"/>
    <x v="11"/>
    <s v="Q2"/>
    <x v="3"/>
  </r>
  <r>
    <s v="O100564"/>
    <x v="615"/>
    <x v="9"/>
    <x v="0"/>
    <x v="1"/>
    <x v="0"/>
    <n v="7"/>
    <n v="2484634"/>
    <d v="2025-04-02T00:00:00"/>
    <n v="4"/>
    <n v="2"/>
    <n v="2025"/>
    <x v="11"/>
    <s v="Q2"/>
    <x v="1"/>
  </r>
  <r>
    <s v="O102118"/>
    <x v="713"/>
    <x v="2"/>
    <x v="2"/>
    <x v="1"/>
    <x v="1"/>
    <n v="7"/>
    <n v="2483044"/>
    <d v="2025-09-05T00:00:00"/>
    <n v="9"/>
    <n v="5"/>
    <n v="2025"/>
    <x v="1"/>
    <s v="Q3"/>
    <x v="1"/>
  </r>
  <r>
    <s v="O106020"/>
    <x v="7"/>
    <x v="10"/>
    <x v="0"/>
    <x v="0"/>
    <x v="3"/>
    <n v="5"/>
    <n v="2482577"/>
    <d v="2026-01-01T00:00:00"/>
    <n v="1"/>
    <n v="1"/>
    <n v="2026"/>
    <x v="6"/>
    <s v="Q1"/>
    <x v="0"/>
  </r>
  <r>
    <s v="O101380"/>
    <x v="410"/>
    <x v="9"/>
    <x v="2"/>
    <x v="4"/>
    <x v="2"/>
    <n v="10"/>
    <n v="2481854"/>
    <d v="2025-03-25T00:00:00"/>
    <n v="3"/>
    <n v="25"/>
    <n v="2025"/>
    <x v="5"/>
    <s v="Q1"/>
    <x v="4"/>
  </r>
  <r>
    <s v="O106774"/>
    <x v="304"/>
    <x v="2"/>
    <x v="0"/>
    <x v="4"/>
    <x v="3"/>
    <n v="5"/>
    <n v="2481224"/>
    <d v="2026-02-16T00:00:00"/>
    <n v="2"/>
    <n v="16"/>
    <n v="2026"/>
    <x v="4"/>
    <s v="Q1"/>
    <x v="4"/>
  </r>
  <r>
    <s v="O111235"/>
    <x v="263"/>
    <x v="10"/>
    <x v="0"/>
    <x v="3"/>
    <x v="3"/>
    <n v="7"/>
    <n v="2481149"/>
    <d v="2026-11-14T00:00:00"/>
    <n v="11"/>
    <n v="14"/>
    <n v="2026"/>
    <x v="0"/>
    <s v="Q4"/>
    <x v="3"/>
  </r>
  <r>
    <s v="O100249"/>
    <x v="445"/>
    <x v="8"/>
    <x v="3"/>
    <x v="2"/>
    <x v="2"/>
    <n v="10"/>
    <n v="2480272"/>
    <d v="2025-01-16T00:00:00"/>
    <n v="1"/>
    <n v="16"/>
    <n v="2025"/>
    <x v="6"/>
    <s v="Q1"/>
    <x v="2"/>
  </r>
  <r>
    <s v="O108658"/>
    <x v="714"/>
    <x v="3"/>
    <x v="0"/>
    <x v="0"/>
    <x v="0"/>
    <n v="7"/>
    <n v="2478810"/>
    <d v="2026-10-06T00:00:00"/>
    <n v="10"/>
    <n v="6"/>
    <n v="2026"/>
    <x v="9"/>
    <s v="Q4"/>
    <x v="0"/>
  </r>
  <r>
    <s v="O111394"/>
    <x v="652"/>
    <x v="8"/>
    <x v="2"/>
    <x v="5"/>
    <x v="3"/>
    <n v="8"/>
    <n v="2475767"/>
    <d v="2026-11-24T00:00:00"/>
    <n v="11"/>
    <n v="24"/>
    <n v="2026"/>
    <x v="0"/>
    <s v="Q4"/>
    <x v="5"/>
  </r>
  <r>
    <s v="O109808"/>
    <x v="240"/>
    <x v="0"/>
    <x v="2"/>
    <x v="3"/>
    <x v="0"/>
    <n v="8"/>
    <n v="2474533"/>
    <d v="2026-08-19T00:00:00"/>
    <n v="8"/>
    <n v="19"/>
    <n v="2026"/>
    <x v="8"/>
    <s v="Q3"/>
    <x v="3"/>
  </r>
  <r>
    <s v="O100804"/>
    <x v="653"/>
    <x v="6"/>
    <x v="2"/>
    <x v="1"/>
    <x v="0"/>
    <n v="8"/>
    <n v="2472557"/>
    <d v="2025-02-18T00:00:00"/>
    <n v="2"/>
    <n v="18"/>
    <n v="2025"/>
    <x v="4"/>
    <s v="Q1"/>
    <x v="1"/>
  </r>
  <r>
    <s v="O109852"/>
    <x v="255"/>
    <x v="6"/>
    <x v="3"/>
    <x v="2"/>
    <x v="1"/>
    <n v="9"/>
    <n v="2472203"/>
    <d v="2026-08-22T00:00:00"/>
    <n v="8"/>
    <n v="22"/>
    <n v="2026"/>
    <x v="8"/>
    <s v="Q3"/>
    <x v="2"/>
  </r>
  <r>
    <s v="O103127"/>
    <x v="4"/>
    <x v="10"/>
    <x v="2"/>
    <x v="1"/>
    <x v="3"/>
    <n v="7"/>
    <n v="2471555"/>
    <d v="2025-09-07T00:00:00"/>
    <n v="9"/>
    <n v="7"/>
    <n v="2025"/>
    <x v="1"/>
    <s v="Q3"/>
    <x v="1"/>
  </r>
  <r>
    <s v="O111473"/>
    <x v="699"/>
    <x v="1"/>
    <x v="3"/>
    <x v="4"/>
    <x v="3"/>
    <n v="9"/>
    <n v="2471489"/>
    <d v="2026-11-28T00:00:00"/>
    <n v="11"/>
    <n v="28"/>
    <n v="2026"/>
    <x v="0"/>
    <s v="Q4"/>
    <x v="4"/>
  </r>
  <r>
    <s v="O102315"/>
    <x v="478"/>
    <x v="9"/>
    <x v="3"/>
    <x v="0"/>
    <x v="1"/>
    <n v="10"/>
    <n v="2471184"/>
    <d v="2025-05-21T00:00:00"/>
    <n v="5"/>
    <n v="21"/>
    <n v="2025"/>
    <x v="3"/>
    <s v="Q2"/>
    <x v="0"/>
  </r>
  <r>
    <s v="O107199"/>
    <x v="378"/>
    <x v="0"/>
    <x v="3"/>
    <x v="0"/>
    <x v="2"/>
    <n v="9"/>
    <n v="2471096"/>
    <d v="2026-03-14T00:00:00"/>
    <n v="3"/>
    <n v="14"/>
    <n v="2026"/>
    <x v="5"/>
    <m/>
    <x v="0"/>
  </r>
  <r>
    <s v="O107399"/>
    <x v="185"/>
    <x v="1"/>
    <x v="2"/>
    <x v="1"/>
    <x v="3"/>
    <n v="7"/>
    <n v="2470809"/>
    <d v="2026-03-26T00:00:00"/>
    <n v="3"/>
    <n v="26"/>
    <n v="2026"/>
    <x v="5"/>
    <s v="Q1"/>
    <x v="1"/>
  </r>
  <r>
    <s v="O102416"/>
    <x v="537"/>
    <x v="0"/>
    <x v="3"/>
    <x v="2"/>
    <x v="0"/>
    <n v="10"/>
    <n v="2470726"/>
    <d v="2025-05-27T00:00:00"/>
    <n v="5"/>
    <n v="27"/>
    <n v="2025"/>
    <x v="3"/>
    <s v="Q2"/>
    <x v="2"/>
  </r>
  <r>
    <s v="O100124"/>
    <x v="53"/>
    <x v="4"/>
    <x v="0"/>
    <x v="4"/>
    <x v="1"/>
    <n v="7"/>
    <n v="2470122"/>
    <d v="2025-08-01T00:00:00"/>
    <n v="8"/>
    <n v="1"/>
    <n v="2025"/>
    <x v="8"/>
    <s v="Q3"/>
    <x v="4"/>
  </r>
  <r>
    <s v="O108648"/>
    <x v="572"/>
    <x v="6"/>
    <x v="0"/>
    <x v="1"/>
    <x v="3"/>
    <n v="7"/>
    <n v="2469612"/>
    <d v="2026-10-06T00:00:00"/>
    <n v="10"/>
    <n v="6"/>
    <n v="2026"/>
    <x v="9"/>
    <s v="Q4"/>
    <x v="1"/>
  </r>
  <r>
    <s v="O102347"/>
    <x v="695"/>
    <x v="8"/>
    <x v="2"/>
    <x v="2"/>
    <x v="2"/>
    <n v="8"/>
    <n v="2469537"/>
    <d v="2025-05-23T00:00:00"/>
    <n v="5"/>
    <n v="23"/>
    <n v="2025"/>
    <x v="3"/>
    <s v="Q2"/>
    <x v="2"/>
  </r>
  <r>
    <s v="O110602"/>
    <x v="291"/>
    <x v="6"/>
    <x v="0"/>
    <x v="3"/>
    <x v="0"/>
    <n v="5"/>
    <n v="2469357"/>
    <d v="2026-07-10T00:00:00"/>
    <n v="7"/>
    <n v="10"/>
    <n v="2026"/>
    <x v="10"/>
    <s v="Q3"/>
    <x v="3"/>
  </r>
  <r>
    <s v="O109717"/>
    <x v="594"/>
    <x v="2"/>
    <x v="0"/>
    <x v="2"/>
    <x v="1"/>
    <n v="7"/>
    <n v="2468458"/>
    <d v="2026-08-14T00:00:00"/>
    <n v="8"/>
    <n v="14"/>
    <n v="2026"/>
    <x v="8"/>
    <s v="Q3"/>
    <x v="2"/>
  </r>
  <r>
    <s v="O103063"/>
    <x v="58"/>
    <x v="8"/>
    <x v="2"/>
    <x v="0"/>
    <x v="3"/>
    <n v="8"/>
    <n v="2467451"/>
    <d v="2025-06-07T00:00:00"/>
    <n v="6"/>
    <n v="7"/>
    <n v="2025"/>
    <x v="2"/>
    <s v="Q2"/>
    <x v="0"/>
  </r>
  <r>
    <s v="O106707"/>
    <x v="219"/>
    <x v="8"/>
    <x v="3"/>
    <x v="1"/>
    <x v="2"/>
    <n v="9"/>
    <n v="2466641"/>
    <d v="2026-12-02T00:00:00"/>
    <n v="12"/>
    <n v="2"/>
    <n v="2026"/>
    <x v="7"/>
    <s v="Q4"/>
    <x v="1"/>
  </r>
  <r>
    <s v="O102792"/>
    <x v="622"/>
    <x v="3"/>
    <x v="3"/>
    <x v="4"/>
    <x v="0"/>
    <n v="10"/>
    <n v="2464707"/>
    <d v="2025-06-19T00:00:00"/>
    <n v="6"/>
    <n v="19"/>
    <n v="2025"/>
    <x v="2"/>
    <s v="Q2"/>
    <x v="4"/>
  </r>
  <r>
    <s v="O100613"/>
    <x v="529"/>
    <x v="0"/>
    <x v="2"/>
    <x v="0"/>
    <x v="1"/>
    <n v="7"/>
    <n v="2464141"/>
    <d v="2025-07-02T00:00:00"/>
    <n v="7"/>
    <n v="2"/>
    <n v="2025"/>
    <x v="10"/>
    <s v="Q3"/>
    <x v="0"/>
  </r>
  <r>
    <s v="O109788"/>
    <x v="555"/>
    <x v="5"/>
    <x v="0"/>
    <x v="2"/>
    <x v="2"/>
    <n v="5"/>
    <n v="2463122"/>
    <d v="2026-08-18T00:00:00"/>
    <n v="8"/>
    <n v="18"/>
    <n v="2026"/>
    <x v="8"/>
    <s v="Q3"/>
    <x v="2"/>
  </r>
  <r>
    <s v="O107658"/>
    <x v="293"/>
    <x v="10"/>
    <x v="2"/>
    <x v="3"/>
    <x v="2"/>
    <n v="9"/>
    <n v="2462605"/>
    <d v="2026-11-04T00:00:00"/>
    <n v="11"/>
    <n v="4"/>
    <n v="2026"/>
    <x v="0"/>
    <s v="Q4"/>
    <x v="3"/>
  </r>
  <r>
    <s v="O101757"/>
    <x v="715"/>
    <x v="0"/>
    <x v="3"/>
    <x v="3"/>
    <x v="3"/>
    <n v="9"/>
    <n v="2461658"/>
    <d v="2025-04-17T00:00:00"/>
    <n v="4"/>
    <n v="17"/>
    <n v="2025"/>
    <x v="11"/>
    <s v="Q2"/>
    <x v="3"/>
  </r>
  <r>
    <s v="O101329"/>
    <x v="434"/>
    <x v="3"/>
    <x v="2"/>
    <x v="3"/>
    <x v="3"/>
    <n v="9"/>
    <n v="2459686"/>
    <d v="2025-03-22T00:00:00"/>
    <n v="3"/>
    <n v="22"/>
    <n v="2025"/>
    <x v="5"/>
    <s v="Q1"/>
    <x v="3"/>
  </r>
  <r>
    <s v="O107336"/>
    <x v="140"/>
    <x v="6"/>
    <x v="0"/>
    <x v="4"/>
    <x v="3"/>
    <n v="6"/>
    <n v="2459197"/>
    <d v="2026-03-22T00:00:00"/>
    <n v="3"/>
    <n v="22"/>
    <n v="2026"/>
    <x v="5"/>
    <s v="Q1"/>
    <x v="4"/>
  </r>
  <r>
    <s v="O111737"/>
    <x v="367"/>
    <x v="4"/>
    <x v="2"/>
    <x v="2"/>
    <x v="2"/>
    <n v="8"/>
    <n v="2459147"/>
    <d v="2026-12-15T00:00:00"/>
    <n v="12"/>
    <n v="15"/>
    <n v="2026"/>
    <x v="7"/>
    <s v="Q4"/>
    <x v="2"/>
  </r>
  <r>
    <s v="O107391"/>
    <x v="716"/>
    <x v="4"/>
    <x v="2"/>
    <x v="4"/>
    <x v="3"/>
    <n v="8"/>
    <n v="2456782"/>
    <d v="2026-03-25T00:00:00"/>
    <n v="3"/>
    <n v="25"/>
    <n v="2026"/>
    <x v="5"/>
    <s v="Q1"/>
    <x v="4"/>
  </r>
  <r>
    <s v="O101966"/>
    <x v="600"/>
    <x v="6"/>
    <x v="2"/>
    <x v="3"/>
    <x v="0"/>
    <n v="8"/>
    <n v="2456518"/>
    <d v="2025-04-30T00:00:00"/>
    <n v="4"/>
    <n v="30"/>
    <n v="2025"/>
    <x v="11"/>
    <s v="Q2"/>
    <x v="3"/>
  </r>
  <r>
    <s v="O103142"/>
    <x v="717"/>
    <x v="6"/>
    <x v="3"/>
    <x v="3"/>
    <x v="1"/>
    <n v="10"/>
    <n v="2455800"/>
    <d v="2025-10-07T00:00:00"/>
    <n v="10"/>
    <n v="7"/>
    <n v="2025"/>
    <x v="9"/>
    <s v="Q4"/>
    <x v="3"/>
  </r>
  <r>
    <s v="O111218"/>
    <x v="321"/>
    <x v="4"/>
    <x v="2"/>
    <x v="4"/>
    <x v="3"/>
    <n v="8"/>
    <n v="2455560"/>
    <d v="2026-11-13T00:00:00"/>
    <n v="11"/>
    <n v="13"/>
    <n v="2026"/>
    <x v="0"/>
    <s v="Q4"/>
    <x v="4"/>
  </r>
  <r>
    <s v="O102828"/>
    <x v="226"/>
    <x v="1"/>
    <x v="0"/>
    <x v="2"/>
    <x v="0"/>
    <n v="7"/>
    <n v="2454907"/>
    <d v="2025-06-21T00:00:00"/>
    <n v="6"/>
    <n v="21"/>
    <n v="2025"/>
    <x v="2"/>
    <s v="Q2"/>
    <x v="2"/>
  </r>
  <r>
    <s v="O101181"/>
    <x v="530"/>
    <x v="4"/>
    <x v="3"/>
    <x v="1"/>
    <x v="2"/>
    <n v="9"/>
    <n v="2454871"/>
    <d v="2025-03-13T00:00:00"/>
    <n v="3"/>
    <n v="13"/>
    <n v="2025"/>
    <x v="5"/>
    <s v="Q1"/>
    <x v="1"/>
  </r>
  <r>
    <s v="O101247"/>
    <x v="179"/>
    <x v="10"/>
    <x v="0"/>
    <x v="4"/>
    <x v="2"/>
    <n v="5"/>
    <n v="2454057"/>
    <d v="2025-03-17T00:00:00"/>
    <n v="3"/>
    <n v="17"/>
    <n v="2025"/>
    <x v="5"/>
    <s v="Q1"/>
    <x v="4"/>
  </r>
  <r>
    <s v="O109952"/>
    <x v="385"/>
    <x v="2"/>
    <x v="2"/>
    <x v="2"/>
    <x v="4"/>
    <n v="9"/>
    <n v="2452073"/>
    <d v="2026-08-28T00:00:00"/>
    <n v="8"/>
    <n v="28"/>
    <n v="2026"/>
    <x v="8"/>
    <s v="Q3"/>
    <x v="2"/>
  </r>
  <r>
    <s v="O100519"/>
    <x v="204"/>
    <x v="6"/>
    <x v="3"/>
    <x v="0"/>
    <x v="2"/>
    <n v="9"/>
    <n v="2450810"/>
    <d v="2025-01-02T00:00:00"/>
    <n v="1"/>
    <n v="2"/>
    <n v="2025"/>
    <x v="6"/>
    <s v="Q1"/>
    <x v="0"/>
  </r>
  <r>
    <s v="O110348"/>
    <x v="326"/>
    <x v="5"/>
    <x v="3"/>
    <x v="3"/>
    <x v="3"/>
    <n v="9"/>
    <n v="2450209"/>
    <d v="2026-09-21T00:00:00"/>
    <n v="9"/>
    <n v="21"/>
    <n v="2026"/>
    <x v="1"/>
    <s v="Q3"/>
    <x v="3"/>
  </r>
  <r>
    <s v="O110953"/>
    <x v="718"/>
    <x v="3"/>
    <x v="0"/>
    <x v="4"/>
    <x v="1"/>
    <n v="6"/>
    <n v="2449380"/>
    <d v="2026-10-28T00:00:00"/>
    <n v="10"/>
    <n v="28"/>
    <n v="2026"/>
    <x v="9"/>
    <s v="Q4"/>
    <x v="4"/>
  </r>
  <r>
    <s v="O102577"/>
    <x v="719"/>
    <x v="0"/>
    <x v="3"/>
    <x v="2"/>
    <x v="1"/>
    <n v="10"/>
    <n v="2448902"/>
    <d v="2025-06-06T00:00:00"/>
    <n v="6"/>
    <n v="6"/>
    <n v="2025"/>
    <x v="2"/>
    <s v="Q2"/>
    <x v="2"/>
  </r>
  <r>
    <s v="O107859"/>
    <x v="203"/>
    <x v="6"/>
    <x v="0"/>
    <x v="1"/>
    <x v="0"/>
    <n v="6"/>
    <n v="2448224"/>
    <d v="2026-04-23T00:00:00"/>
    <n v="4"/>
    <n v="23"/>
    <n v="2026"/>
    <x v="11"/>
    <s v="Q2"/>
    <x v="1"/>
  </r>
  <r>
    <s v="O100109"/>
    <x v="61"/>
    <x v="1"/>
    <x v="0"/>
    <x v="3"/>
    <x v="2"/>
    <n v="6"/>
    <n v="2445969"/>
    <d v="2025-07-01T00:00:00"/>
    <n v="7"/>
    <n v="1"/>
    <n v="2025"/>
    <x v="10"/>
    <s v="Q3"/>
    <x v="3"/>
  </r>
  <r>
    <s v="O109010"/>
    <x v="720"/>
    <x v="8"/>
    <x v="2"/>
    <x v="1"/>
    <x v="3"/>
    <n v="9"/>
    <n v="2445825"/>
    <d v="2026-02-07T00:00:00"/>
    <n v="2"/>
    <n v="7"/>
    <n v="2026"/>
    <x v="4"/>
    <s v="Q1"/>
    <x v="1"/>
  </r>
  <r>
    <s v="O108431"/>
    <x v="303"/>
    <x v="3"/>
    <x v="0"/>
    <x v="2"/>
    <x v="0"/>
    <n v="6"/>
    <n v="2443746"/>
    <d v="2026-05-28T00:00:00"/>
    <n v="5"/>
    <n v="28"/>
    <n v="2026"/>
    <x v="3"/>
    <s v="Q2"/>
    <x v="2"/>
  </r>
  <r>
    <s v="O104771"/>
    <x v="513"/>
    <x v="1"/>
    <x v="0"/>
    <x v="1"/>
    <x v="1"/>
    <n v="5"/>
    <n v="2443352"/>
    <d v="2025-10-17T00:00:00"/>
    <n v="10"/>
    <n v="17"/>
    <n v="2025"/>
    <x v="9"/>
    <s v="Q4"/>
    <x v="1"/>
  </r>
  <r>
    <s v="O108631"/>
    <x v="721"/>
    <x v="8"/>
    <x v="2"/>
    <x v="2"/>
    <x v="1"/>
    <n v="7"/>
    <n v="2440910"/>
    <d v="2026-09-06T00:00:00"/>
    <n v="9"/>
    <n v="6"/>
    <n v="2026"/>
    <x v="1"/>
    <s v="Q3"/>
    <x v="2"/>
  </r>
  <r>
    <s v="O101999"/>
    <x v="722"/>
    <x v="0"/>
    <x v="0"/>
    <x v="2"/>
    <x v="3"/>
    <n v="5"/>
    <n v="2440430"/>
    <d v="2025-02-05T00:00:00"/>
    <n v="2"/>
    <n v="5"/>
    <n v="2025"/>
    <x v="4"/>
    <s v="Q1"/>
    <x v="2"/>
  </r>
  <r>
    <s v="O103157"/>
    <x v="708"/>
    <x v="8"/>
    <x v="3"/>
    <x v="3"/>
    <x v="3"/>
    <n v="10"/>
    <n v="2439078"/>
    <d v="2025-11-07T00:00:00"/>
    <n v="11"/>
    <n v="7"/>
    <n v="2025"/>
    <x v="0"/>
    <s v="Q4"/>
    <x v="3"/>
  </r>
  <r>
    <s v="O100712"/>
    <x v="311"/>
    <x v="4"/>
    <x v="2"/>
    <x v="2"/>
    <x v="1"/>
    <n v="7"/>
    <n v="2437462"/>
    <d v="2025-02-13T00:00:00"/>
    <n v="2"/>
    <n v="13"/>
    <n v="2025"/>
    <x v="4"/>
    <s v="Q1"/>
    <x v="2"/>
  </r>
  <r>
    <s v="O111100"/>
    <x v="609"/>
    <x v="1"/>
    <x v="3"/>
    <x v="1"/>
    <x v="0"/>
    <n v="10"/>
    <n v="2437427"/>
    <d v="2026-06-11T00:00:00"/>
    <n v="6"/>
    <n v="11"/>
    <n v="2026"/>
    <x v="2"/>
    <s v="Q2"/>
    <x v="1"/>
  </r>
  <r>
    <s v="O106571"/>
    <x v="656"/>
    <x v="2"/>
    <x v="2"/>
    <x v="3"/>
    <x v="3"/>
    <n v="8"/>
    <n v="2437332"/>
    <d v="2026-04-02T00:00:00"/>
    <n v="4"/>
    <n v="2"/>
    <n v="2026"/>
    <x v="11"/>
    <s v="Q2"/>
    <x v="3"/>
  </r>
  <r>
    <s v="O110432"/>
    <x v="723"/>
    <x v="5"/>
    <x v="0"/>
    <x v="1"/>
    <x v="3"/>
    <n v="5"/>
    <n v="2437176"/>
    <d v="2026-09-26T00:00:00"/>
    <n v="9"/>
    <n v="26"/>
    <n v="2026"/>
    <x v="1"/>
    <s v="Q3"/>
    <x v="1"/>
  </r>
  <r>
    <s v="O109192"/>
    <x v="306"/>
    <x v="1"/>
    <x v="0"/>
    <x v="3"/>
    <x v="0"/>
    <n v="5"/>
    <n v="2437121"/>
    <d v="2026-07-13T00:00:00"/>
    <n v="7"/>
    <n v="13"/>
    <n v="2026"/>
    <x v="10"/>
    <s v="Q3"/>
    <x v="3"/>
  </r>
  <r>
    <s v="O109661"/>
    <x v="514"/>
    <x v="9"/>
    <x v="2"/>
    <x v="2"/>
    <x v="3"/>
    <n v="9"/>
    <n v="2436570"/>
    <d v="2026-10-08T00:00:00"/>
    <n v="10"/>
    <n v="8"/>
    <n v="2026"/>
    <x v="9"/>
    <m/>
    <x v="2"/>
  </r>
  <r>
    <s v="O107406"/>
    <x v="275"/>
    <x v="2"/>
    <x v="0"/>
    <x v="2"/>
    <x v="0"/>
    <n v="7"/>
    <n v="2435555"/>
    <d v="2026-03-26T00:00:00"/>
    <n v="3"/>
    <n v="26"/>
    <n v="2026"/>
    <x v="5"/>
    <s v="Q1"/>
    <x v="2"/>
  </r>
  <r>
    <s v="O102878"/>
    <x v="339"/>
    <x v="0"/>
    <x v="0"/>
    <x v="3"/>
    <x v="2"/>
    <n v="7"/>
    <n v="2433089"/>
    <d v="2025-06-24T00:00:00"/>
    <n v="6"/>
    <n v="24"/>
    <n v="2025"/>
    <x v="2"/>
    <s v="Q2"/>
    <x v="3"/>
  </r>
  <r>
    <s v="O103212"/>
    <x v="328"/>
    <x v="9"/>
    <x v="2"/>
    <x v="4"/>
    <x v="2"/>
    <n v="7"/>
    <n v="2432675"/>
    <d v="2025-07-15T00:00:00"/>
    <n v="7"/>
    <n v="15"/>
    <n v="2025"/>
    <x v="10"/>
    <s v="Q3"/>
    <x v="4"/>
  </r>
  <r>
    <s v="O111342"/>
    <x v="292"/>
    <x v="8"/>
    <x v="0"/>
    <x v="1"/>
    <x v="3"/>
    <n v="5"/>
    <n v="2432533"/>
    <d v="2026-11-21T00:00:00"/>
    <n v="11"/>
    <n v="21"/>
    <n v="2026"/>
    <x v="0"/>
    <s v="Q4"/>
    <x v="1"/>
  </r>
  <r>
    <s v="O103140"/>
    <x v="455"/>
    <x v="1"/>
    <x v="0"/>
    <x v="0"/>
    <x v="3"/>
    <n v="6"/>
    <n v="2432319"/>
    <d v="2025-10-07T00:00:00"/>
    <n v="10"/>
    <n v="7"/>
    <n v="2025"/>
    <x v="9"/>
    <s v="Q4"/>
    <x v="0"/>
  </r>
  <r>
    <s v="O107217"/>
    <x v="312"/>
    <x v="5"/>
    <x v="2"/>
    <x v="4"/>
    <x v="2"/>
    <n v="10"/>
    <n v="2431306"/>
    <d v="2026-03-15T00:00:00"/>
    <n v="3"/>
    <n v="15"/>
    <n v="2026"/>
    <x v="5"/>
    <s v="Q1"/>
    <x v="4"/>
  </r>
  <r>
    <s v="O107815"/>
    <x v="244"/>
    <x v="2"/>
    <x v="0"/>
    <x v="1"/>
    <x v="1"/>
    <n v="5"/>
    <n v="2431211"/>
    <d v="2026-04-20T00:00:00"/>
    <n v="4"/>
    <n v="20"/>
    <n v="2026"/>
    <x v="11"/>
    <s v="Q2"/>
    <x v="1"/>
  </r>
  <r>
    <s v="O106614"/>
    <x v="3"/>
    <x v="5"/>
    <x v="0"/>
    <x v="0"/>
    <x v="3"/>
    <n v="7"/>
    <n v="2431201"/>
    <d v="2026-06-02T00:00:00"/>
    <n v="6"/>
    <n v="2"/>
    <n v="2026"/>
    <x v="2"/>
    <s v="Q2"/>
    <x v="0"/>
  </r>
  <r>
    <s v="O102419"/>
    <x v="701"/>
    <x v="3"/>
    <x v="0"/>
    <x v="0"/>
    <x v="3"/>
    <n v="6"/>
    <n v="2428252"/>
    <d v="2025-05-27T00:00:00"/>
    <n v="5"/>
    <n v="27"/>
    <n v="2025"/>
    <x v="3"/>
    <s v="Q2"/>
    <x v="0"/>
  </r>
  <r>
    <s v="O101155"/>
    <x v="643"/>
    <x v="3"/>
    <x v="2"/>
    <x v="4"/>
    <x v="1"/>
    <n v="8"/>
    <n v="2427477"/>
    <d v="2025-12-03T00:00:00"/>
    <n v="12"/>
    <n v="3"/>
    <n v="2025"/>
    <x v="7"/>
    <s v="Q4"/>
    <x v="4"/>
  </r>
  <r>
    <s v="O106002"/>
    <x v="278"/>
    <x v="10"/>
    <x v="0"/>
    <x v="0"/>
    <x v="3"/>
    <n v="7"/>
    <n v="2426823"/>
    <d v="2025-12-31T00:00:00"/>
    <n v="12"/>
    <n v="31"/>
    <n v="2025"/>
    <x v="7"/>
    <s v="Q4"/>
    <x v="0"/>
  </r>
  <r>
    <s v="O107073"/>
    <x v="326"/>
    <x v="10"/>
    <x v="2"/>
    <x v="2"/>
    <x v="1"/>
    <n v="9"/>
    <n v="2425992"/>
    <d v="2026-06-03T00:00:00"/>
    <n v="6"/>
    <n v="3"/>
    <n v="2026"/>
    <x v="2"/>
    <s v="Q2"/>
    <x v="2"/>
  </r>
  <r>
    <s v="O107442"/>
    <x v="663"/>
    <x v="4"/>
    <x v="0"/>
    <x v="2"/>
    <x v="1"/>
    <n v="6"/>
    <n v="2424539"/>
    <d v="2026-03-29T00:00:00"/>
    <n v="3"/>
    <n v="29"/>
    <n v="2026"/>
    <x v="5"/>
    <s v="Q1"/>
    <x v="2"/>
  </r>
  <r>
    <s v="O105986"/>
    <x v="674"/>
    <x v="5"/>
    <x v="0"/>
    <x v="1"/>
    <x v="3"/>
    <n v="7"/>
    <n v="2422693"/>
    <d v="2025-12-30T00:00:00"/>
    <n v="12"/>
    <n v="30"/>
    <n v="2025"/>
    <x v="7"/>
    <s v="Q4"/>
    <x v="1"/>
  </r>
  <r>
    <s v="O107879"/>
    <x v="623"/>
    <x v="5"/>
    <x v="2"/>
    <x v="2"/>
    <x v="2"/>
    <n v="7"/>
    <n v="2422178"/>
    <d v="2026-04-24T00:00:00"/>
    <n v="4"/>
    <n v="24"/>
    <n v="2026"/>
    <x v="11"/>
    <s v="Q2"/>
    <x v="2"/>
  </r>
  <r>
    <s v="O105140"/>
    <x v="485"/>
    <x v="10"/>
    <x v="3"/>
    <x v="3"/>
    <x v="1"/>
    <n v="9"/>
    <n v="2421664"/>
    <d v="2025-09-11T00:00:00"/>
    <n v="9"/>
    <n v="11"/>
    <n v="2025"/>
    <x v="1"/>
    <s v="Q3"/>
    <x v="3"/>
  </r>
  <r>
    <s v="O101496"/>
    <x v="189"/>
    <x v="3"/>
    <x v="2"/>
    <x v="4"/>
    <x v="0"/>
    <n v="10"/>
    <n v="2421002"/>
    <d v="2025-01-04T00:00:00"/>
    <n v="1"/>
    <n v="4"/>
    <n v="2025"/>
    <x v="6"/>
    <s v="Q1"/>
    <x v="4"/>
  </r>
  <r>
    <s v="O105231"/>
    <x v="148"/>
    <x v="8"/>
    <x v="2"/>
    <x v="1"/>
    <x v="0"/>
    <n v="10"/>
    <n v="2420904"/>
    <d v="2025-11-14T00:00:00"/>
    <n v="11"/>
    <n v="14"/>
    <n v="2025"/>
    <x v="0"/>
    <s v="Q4"/>
    <x v="1"/>
  </r>
  <r>
    <s v="O107639"/>
    <x v="303"/>
    <x v="6"/>
    <x v="0"/>
    <x v="3"/>
    <x v="3"/>
    <n v="6"/>
    <n v="2420620"/>
    <d v="2026-10-04T00:00:00"/>
    <n v="10"/>
    <n v="4"/>
    <n v="2026"/>
    <x v="9"/>
    <s v="Q4"/>
    <x v="3"/>
  </r>
  <r>
    <s v="O100710"/>
    <x v="233"/>
    <x v="8"/>
    <x v="2"/>
    <x v="3"/>
    <x v="0"/>
    <n v="10"/>
    <n v="2418978"/>
    <d v="2025-02-13T00:00:00"/>
    <n v="2"/>
    <n v="13"/>
    <n v="2025"/>
    <x v="4"/>
    <s v="Q1"/>
    <x v="3"/>
  </r>
  <r>
    <s v="O100292"/>
    <x v="404"/>
    <x v="9"/>
    <x v="0"/>
    <x v="0"/>
    <x v="3"/>
    <n v="7"/>
    <n v="2416803"/>
    <d v="2025-01-18T00:00:00"/>
    <n v="1"/>
    <n v="18"/>
    <n v="2025"/>
    <x v="6"/>
    <s v="Q1"/>
    <x v="0"/>
  </r>
  <r>
    <s v="O110289"/>
    <x v="563"/>
    <x v="1"/>
    <x v="2"/>
    <x v="0"/>
    <x v="2"/>
    <n v="7"/>
    <n v="2416731"/>
    <d v="2026-09-18T00:00:00"/>
    <n v="9"/>
    <n v="18"/>
    <n v="2026"/>
    <x v="1"/>
    <s v="Q3"/>
    <x v="0"/>
  </r>
  <r>
    <s v="O102818"/>
    <x v="677"/>
    <x v="10"/>
    <x v="0"/>
    <x v="4"/>
    <x v="0"/>
    <n v="5"/>
    <n v="2416216"/>
    <d v="2025-06-21T00:00:00"/>
    <n v="6"/>
    <n v="21"/>
    <n v="2025"/>
    <x v="2"/>
    <s v="Q2"/>
    <x v="4"/>
  </r>
  <r>
    <s v="O107626"/>
    <x v="524"/>
    <x v="10"/>
    <x v="2"/>
    <x v="0"/>
    <x v="2"/>
    <n v="7"/>
    <n v="2414865"/>
    <d v="2026-09-04T00:00:00"/>
    <n v="9"/>
    <n v="4"/>
    <n v="2026"/>
    <x v="1"/>
    <s v="Q3"/>
    <x v="0"/>
  </r>
  <r>
    <s v="O101655"/>
    <x v="36"/>
    <x v="6"/>
    <x v="0"/>
    <x v="0"/>
    <x v="2"/>
    <n v="6"/>
    <n v="2414502"/>
    <d v="2025-11-04T00:00:00"/>
    <n v="11"/>
    <n v="4"/>
    <n v="2025"/>
    <x v="0"/>
    <s v="Q4"/>
    <x v="0"/>
  </r>
  <r>
    <s v="O109249"/>
    <x v="305"/>
    <x v="1"/>
    <x v="0"/>
    <x v="0"/>
    <x v="2"/>
    <n v="6"/>
    <n v="2413671"/>
    <d v="2026-07-16T00:00:00"/>
    <n v="7"/>
    <n v="16"/>
    <n v="2026"/>
    <x v="10"/>
    <s v="Q3"/>
    <x v="0"/>
  </r>
  <r>
    <s v="O110225"/>
    <x v="591"/>
    <x v="4"/>
    <x v="0"/>
    <x v="1"/>
    <x v="1"/>
    <n v="6"/>
    <n v="2413374"/>
    <d v="2026-09-14T00:00:00"/>
    <n v="9"/>
    <n v="14"/>
    <n v="2026"/>
    <x v="1"/>
    <s v="Q3"/>
    <x v="1"/>
  </r>
  <r>
    <s v="O104524"/>
    <x v="554"/>
    <x v="5"/>
    <x v="2"/>
    <x v="1"/>
    <x v="1"/>
    <n v="9"/>
    <n v="2411991"/>
    <d v="2025-02-10T00:00:00"/>
    <n v="2"/>
    <n v="10"/>
    <n v="2025"/>
    <x v="4"/>
    <s v="Q1"/>
    <x v="1"/>
  </r>
  <r>
    <s v="O104428"/>
    <x v="240"/>
    <x v="1"/>
    <x v="0"/>
    <x v="3"/>
    <x v="0"/>
    <n v="6"/>
    <n v="2411302"/>
    <d v="2025-09-26T00:00:00"/>
    <n v="9"/>
    <n v="26"/>
    <n v="2025"/>
    <x v="1"/>
    <s v="Q3"/>
    <x v="3"/>
  </r>
  <r>
    <s v="O105719"/>
    <x v="60"/>
    <x v="8"/>
    <x v="0"/>
    <x v="4"/>
    <x v="1"/>
    <n v="5"/>
    <n v="2410109"/>
    <d v="2025-12-14T00:00:00"/>
    <n v="12"/>
    <n v="14"/>
    <n v="2025"/>
    <x v="7"/>
    <s v="Q4"/>
    <x v="4"/>
  </r>
  <r>
    <s v="O105377"/>
    <x v="371"/>
    <x v="6"/>
    <x v="2"/>
    <x v="2"/>
    <x v="3"/>
    <n v="8"/>
    <n v="2409221"/>
    <d v="2025-11-23T00:00:00"/>
    <n v="11"/>
    <n v="23"/>
    <n v="2025"/>
    <x v="0"/>
    <s v="Q4"/>
    <x v="2"/>
  </r>
  <r>
    <s v="O100668"/>
    <x v="529"/>
    <x v="3"/>
    <x v="0"/>
    <x v="0"/>
    <x v="0"/>
    <n v="7"/>
    <n v="2407986"/>
    <d v="2025-10-02T00:00:00"/>
    <n v="10"/>
    <n v="2"/>
    <n v="2025"/>
    <x v="9"/>
    <s v="Q4"/>
    <x v="0"/>
  </r>
  <r>
    <s v="O108688"/>
    <x v="603"/>
    <x v="10"/>
    <x v="0"/>
    <x v="3"/>
    <x v="3"/>
    <n v="5"/>
    <n v="2407643"/>
    <d v="2026-12-06T00:00:00"/>
    <n v="12"/>
    <n v="6"/>
    <n v="2026"/>
    <x v="7"/>
    <s v="Q4"/>
    <x v="3"/>
  </r>
  <r>
    <s v="O103929"/>
    <x v="639"/>
    <x v="0"/>
    <x v="2"/>
    <x v="0"/>
    <x v="2"/>
    <n v="10"/>
    <n v="2406262"/>
    <d v="2025-08-27T00:00:00"/>
    <n v="8"/>
    <n v="27"/>
    <n v="2025"/>
    <x v="8"/>
    <s v="Q3"/>
    <x v="0"/>
  </r>
  <r>
    <s v="O103635"/>
    <x v="482"/>
    <x v="5"/>
    <x v="0"/>
    <x v="1"/>
    <x v="1"/>
    <n v="6"/>
    <n v="2406058"/>
    <d v="2025-09-08T00:00:00"/>
    <n v="9"/>
    <n v="8"/>
    <n v="2025"/>
    <x v="1"/>
    <s v="Q3"/>
    <x v="1"/>
  </r>
  <r>
    <s v="O110991"/>
    <x v="315"/>
    <x v="2"/>
    <x v="2"/>
    <x v="1"/>
    <x v="2"/>
    <n v="10"/>
    <n v="2404621"/>
    <d v="2026-10-30T00:00:00"/>
    <n v="10"/>
    <n v="30"/>
    <n v="2026"/>
    <x v="9"/>
    <s v="Q4"/>
    <x v="1"/>
  </r>
  <r>
    <s v="O105385"/>
    <x v="647"/>
    <x v="8"/>
    <x v="2"/>
    <x v="1"/>
    <x v="1"/>
    <n v="7"/>
    <n v="2403664"/>
    <d v="2025-11-24T00:00:00"/>
    <n v="11"/>
    <n v="24"/>
    <n v="2025"/>
    <x v="0"/>
    <s v="Q4"/>
    <x v="1"/>
  </r>
  <r>
    <s v="O100577"/>
    <x v="451"/>
    <x v="8"/>
    <x v="0"/>
    <x v="1"/>
    <x v="0"/>
    <n v="5"/>
    <n v="2403320"/>
    <d v="2025-04-02T00:00:00"/>
    <n v="4"/>
    <n v="2"/>
    <n v="2025"/>
    <x v="11"/>
    <s v="Q2"/>
    <x v="1"/>
  </r>
  <r>
    <s v="O100058"/>
    <x v="296"/>
    <x v="8"/>
    <x v="0"/>
    <x v="3"/>
    <x v="1"/>
    <n v="5"/>
    <n v="2403123"/>
    <d v="2025-04-01T00:00:00"/>
    <n v="4"/>
    <n v="1"/>
    <n v="2025"/>
    <x v="11"/>
    <s v="Q2"/>
    <x v="3"/>
  </r>
  <r>
    <s v="O100165"/>
    <x v="348"/>
    <x v="8"/>
    <x v="0"/>
    <x v="4"/>
    <x v="0"/>
    <n v="5"/>
    <n v="2402057"/>
    <d v="2025-10-01T00:00:00"/>
    <n v="10"/>
    <n v="1"/>
    <n v="2025"/>
    <x v="9"/>
    <s v="Q4"/>
    <x v="4"/>
  </r>
  <r>
    <s v="O107077"/>
    <x v="57"/>
    <x v="1"/>
    <x v="2"/>
    <x v="1"/>
    <x v="2"/>
    <n v="7"/>
    <n v="2401822"/>
    <d v="2026-06-03T00:00:00"/>
    <n v="6"/>
    <n v="3"/>
    <n v="2026"/>
    <x v="2"/>
    <s v="Q2"/>
    <x v="1"/>
  </r>
  <r>
    <s v="O101462"/>
    <x v="619"/>
    <x v="6"/>
    <x v="2"/>
    <x v="0"/>
    <x v="0"/>
    <n v="7"/>
    <n v="2401774"/>
    <d v="2025-03-30T00:00:00"/>
    <n v="3"/>
    <n v="30"/>
    <n v="2025"/>
    <x v="5"/>
    <s v="Q1"/>
    <x v="0"/>
  </r>
  <r>
    <s v="O106838"/>
    <x v="665"/>
    <x v="0"/>
    <x v="2"/>
    <x v="4"/>
    <x v="3"/>
    <n v="9"/>
    <n v="2399713"/>
    <d v="2026-02-20T00:00:00"/>
    <n v="2"/>
    <n v="20"/>
    <n v="2026"/>
    <x v="4"/>
    <s v="Q1"/>
    <x v="4"/>
  </r>
  <r>
    <s v="O107750"/>
    <x v="531"/>
    <x v="10"/>
    <x v="2"/>
    <x v="2"/>
    <x v="2"/>
    <n v="10"/>
    <n v="2399573"/>
    <d v="2026-04-16T00:00:00"/>
    <n v="4"/>
    <n v="16"/>
    <n v="2026"/>
    <x v="11"/>
    <s v="Q2"/>
    <x v="2"/>
  </r>
  <r>
    <s v="O103745"/>
    <x v="724"/>
    <x v="10"/>
    <x v="0"/>
    <x v="2"/>
    <x v="2"/>
    <n v="6"/>
    <n v="2398982"/>
    <d v="2025-08-16T00:00:00"/>
    <n v="8"/>
    <n v="16"/>
    <n v="2025"/>
    <x v="8"/>
    <s v="Q3"/>
    <x v="2"/>
  </r>
  <r>
    <s v="O101981"/>
    <x v="400"/>
    <x v="9"/>
    <x v="0"/>
    <x v="2"/>
    <x v="2"/>
    <n v="6"/>
    <n v="2398423"/>
    <d v="2025-01-05T00:00:00"/>
    <n v="1"/>
    <n v="5"/>
    <n v="2025"/>
    <x v="6"/>
    <s v="Q1"/>
    <x v="2"/>
  </r>
  <r>
    <s v="O104748"/>
    <x v="256"/>
    <x v="8"/>
    <x v="0"/>
    <x v="3"/>
    <x v="1"/>
    <n v="7"/>
    <n v="2396982"/>
    <d v="2025-10-16T00:00:00"/>
    <n v="10"/>
    <n v="16"/>
    <n v="2025"/>
    <x v="9"/>
    <s v="Q4"/>
    <x v="3"/>
  </r>
  <r>
    <s v="O105210"/>
    <x v="567"/>
    <x v="0"/>
    <x v="0"/>
    <x v="4"/>
    <x v="2"/>
    <n v="5"/>
    <n v="2396457"/>
    <d v="2025-11-13T00:00:00"/>
    <n v="11"/>
    <n v="13"/>
    <n v="2025"/>
    <x v="0"/>
    <s v="Q4"/>
    <x v="4"/>
  </r>
  <r>
    <s v="O108821"/>
    <x v="353"/>
    <x v="0"/>
    <x v="0"/>
    <x v="1"/>
    <x v="1"/>
    <n v="6"/>
    <n v="2395395"/>
    <d v="2026-06-20T00:00:00"/>
    <n v="6"/>
    <n v="20"/>
    <n v="2026"/>
    <x v="2"/>
    <s v="Q2"/>
    <x v="1"/>
  </r>
  <r>
    <s v="O111283"/>
    <x v="725"/>
    <x v="9"/>
    <x v="3"/>
    <x v="3"/>
    <x v="0"/>
    <n v="9"/>
    <n v="2395269"/>
    <d v="2026-11-17T00:00:00"/>
    <n v="11"/>
    <n v="17"/>
    <n v="2026"/>
    <x v="0"/>
    <m/>
    <x v="3"/>
  </r>
  <r>
    <s v="O104900"/>
    <x v="726"/>
    <x v="8"/>
    <x v="3"/>
    <x v="3"/>
    <x v="2"/>
    <n v="9"/>
    <n v="2394397"/>
    <d v="2025-10-25T00:00:00"/>
    <n v="10"/>
    <n v="25"/>
    <n v="2025"/>
    <x v="9"/>
    <s v="Q4"/>
    <x v="3"/>
  </r>
  <r>
    <s v="O103029"/>
    <x v="349"/>
    <x v="5"/>
    <x v="2"/>
    <x v="3"/>
    <x v="0"/>
    <n v="10"/>
    <n v="2391686"/>
    <d v="2025-03-07T00:00:00"/>
    <n v="3"/>
    <n v="7"/>
    <n v="2025"/>
    <x v="5"/>
    <s v="Q1"/>
    <x v="3"/>
  </r>
  <r>
    <s v="O108741"/>
    <x v="362"/>
    <x v="8"/>
    <x v="2"/>
    <x v="2"/>
    <x v="1"/>
    <n v="9"/>
    <n v="2391032"/>
    <d v="2026-06-15T00:00:00"/>
    <n v="6"/>
    <n v="15"/>
    <n v="2026"/>
    <x v="2"/>
    <s v="Q2"/>
    <x v="2"/>
  </r>
  <r>
    <s v="O109299"/>
    <x v="469"/>
    <x v="4"/>
    <x v="3"/>
    <x v="0"/>
    <x v="3"/>
    <n v="9"/>
    <n v="2390964"/>
    <d v="2026-07-19T00:00:00"/>
    <n v="7"/>
    <n v="19"/>
    <n v="2026"/>
    <x v="10"/>
    <s v="Q3"/>
    <x v="0"/>
  </r>
  <r>
    <s v="O101585"/>
    <x v="399"/>
    <x v="8"/>
    <x v="3"/>
    <x v="2"/>
    <x v="1"/>
    <n v="10"/>
    <n v="2390326"/>
    <d v="2025-07-04T00:00:00"/>
    <n v="7"/>
    <n v="4"/>
    <n v="2025"/>
    <x v="10"/>
    <s v="Q3"/>
    <x v="2"/>
  </r>
  <r>
    <s v="O102585"/>
    <x v="83"/>
    <x v="1"/>
    <x v="2"/>
    <x v="3"/>
    <x v="1"/>
    <n v="8"/>
    <n v="2389780"/>
    <d v="2025-06-06T00:00:00"/>
    <n v="6"/>
    <n v="6"/>
    <n v="2025"/>
    <x v="2"/>
    <s v="Q2"/>
    <x v="3"/>
  </r>
  <r>
    <s v="O102458"/>
    <x v="97"/>
    <x v="4"/>
    <x v="2"/>
    <x v="2"/>
    <x v="4"/>
    <n v="9"/>
    <n v="2388487"/>
    <d v="2025-05-30T00:00:00"/>
    <n v="5"/>
    <n v="30"/>
    <n v="2025"/>
    <x v="3"/>
    <s v="Q2"/>
    <x v="2"/>
  </r>
  <r>
    <s v="O106913"/>
    <x v="727"/>
    <x v="8"/>
    <x v="0"/>
    <x v="4"/>
    <x v="2"/>
    <n v="6"/>
    <n v="2388484"/>
    <d v="2026-02-24T00:00:00"/>
    <n v="2"/>
    <n v="24"/>
    <n v="2026"/>
    <x v="4"/>
    <s v="Q1"/>
    <x v="4"/>
  </r>
  <r>
    <s v="O101568"/>
    <x v="363"/>
    <x v="0"/>
    <x v="0"/>
    <x v="0"/>
    <x v="1"/>
    <n v="6"/>
    <n v="2387904"/>
    <d v="2025-06-04T00:00:00"/>
    <n v="6"/>
    <n v="4"/>
    <n v="2025"/>
    <x v="2"/>
    <s v="Q2"/>
    <x v="0"/>
  </r>
  <r>
    <s v="O107983"/>
    <x v="428"/>
    <x v="10"/>
    <x v="2"/>
    <x v="1"/>
    <x v="0"/>
    <n v="7"/>
    <n v="2387743"/>
    <d v="2026-04-30T00:00:00"/>
    <n v="4"/>
    <n v="30"/>
    <n v="2026"/>
    <x v="11"/>
    <s v="Q2"/>
    <x v="1"/>
  </r>
  <r>
    <s v="O102489"/>
    <x v="141"/>
    <x v="5"/>
    <x v="2"/>
    <x v="1"/>
    <x v="1"/>
    <n v="9"/>
    <n v="2387063"/>
    <d v="2025-01-06T00:00:00"/>
    <n v="1"/>
    <n v="6"/>
    <n v="2025"/>
    <x v="6"/>
    <s v="Q1"/>
    <x v="1"/>
  </r>
  <r>
    <s v="O104641"/>
    <x v="166"/>
    <x v="3"/>
    <x v="3"/>
    <x v="4"/>
    <x v="0"/>
    <n v="9"/>
    <n v="2386936"/>
    <d v="2025-09-10T00:00:00"/>
    <n v="9"/>
    <n v="10"/>
    <n v="2025"/>
    <x v="1"/>
    <s v="Q3"/>
    <x v="4"/>
  </r>
  <r>
    <s v="O101833"/>
    <x v="365"/>
    <x v="10"/>
    <x v="2"/>
    <x v="3"/>
    <x v="1"/>
    <n v="8"/>
    <n v="2386839"/>
    <d v="2025-04-22T00:00:00"/>
    <n v="4"/>
    <n v="22"/>
    <n v="2025"/>
    <x v="11"/>
    <s v="Q2"/>
    <x v="3"/>
  </r>
  <r>
    <s v="O108420"/>
    <x v="728"/>
    <x v="9"/>
    <x v="0"/>
    <x v="0"/>
    <x v="2"/>
    <n v="5"/>
    <n v="2386427"/>
    <d v="2026-05-27T00:00:00"/>
    <n v="5"/>
    <n v="27"/>
    <n v="2026"/>
    <x v="3"/>
    <s v="Q2"/>
    <x v="0"/>
  </r>
  <r>
    <s v="O110042"/>
    <x v="663"/>
    <x v="2"/>
    <x v="0"/>
    <x v="1"/>
    <x v="0"/>
    <n v="7"/>
    <n v="2386229"/>
    <d v="2026-03-09T00:00:00"/>
    <n v="3"/>
    <n v="9"/>
    <n v="2026"/>
    <x v="5"/>
    <s v="Q1"/>
    <x v="1"/>
  </r>
  <r>
    <s v="O108269"/>
    <x v="299"/>
    <x v="1"/>
    <x v="2"/>
    <x v="3"/>
    <x v="3"/>
    <n v="7"/>
    <n v="2385890"/>
    <d v="2026-05-18T00:00:00"/>
    <n v="5"/>
    <n v="18"/>
    <n v="2026"/>
    <x v="3"/>
    <s v="Q2"/>
    <x v="3"/>
  </r>
  <r>
    <s v="O111191"/>
    <x v="657"/>
    <x v="8"/>
    <x v="2"/>
    <x v="4"/>
    <x v="2"/>
    <n v="8"/>
    <n v="2385553"/>
    <d v="2026-11-11T00:00:00"/>
    <n v="11"/>
    <n v="11"/>
    <n v="2026"/>
    <x v="0"/>
    <s v="Q4"/>
    <x v="4"/>
  </r>
  <r>
    <s v="O106427"/>
    <x v="716"/>
    <x v="0"/>
    <x v="3"/>
    <x v="3"/>
    <x v="3"/>
    <n v="10"/>
    <n v="2384427"/>
    <d v="2026-01-26T00:00:00"/>
    <n v="1"/>
    <n v="26"/>
    <n v="2026"/>
    <x v="6"/>
    <s v="Q1"/>
    <x v="3"/>
  </r>
  <r>
    <s v="O100603"/>
    <x v="729"/>
    <x v="3"/>
    <x v="0"/>
    <x v="3"/>
    <x v="1"/>
    <n v="6"/>
    <n v="2383932"/>
    <d v="2025-06-02T00:00:00"/>
    <n v="6"/>
    <n v="2"/>
    <n v="2025"/>
    <x v="2"/>
    <s v="Q2"/>
    <x v="3"/>
  </r>
  <r>
    <s v="O105108"/>
    <x v="35"/>
    <x v="5"/>
    <x v="0"/>
    <x v="4"/>
    <x v="1"/>
    <n v="7"/>
    <n v="2383864"/>
    <d v="2025-07-11T00:00:00"/>
    <n v="7"/>
    <n v="11"/>
    <n v="2025"/>
    <x v="10"/>
    <s v="Q3"/>
    <x v="4"/>
  </r>
  <r>
    <s v="O110530"/>
    <x v="730"/>
    <x v="4"/>
    <x v="0"/>
    <x v="3"/>
    <x v="2"/>
    <n v="5"/>
    <n v="2383857"/>
    <d v="2026-02-10T00:00:00"/>
    <n v="2"/>
    <n v="10"/>
    <n v="2026"/>
    <x v="4"/>
    <s v="Q1"/>
    <x v="3"/>
  </r>
  <r>
    <s v="O105491"/>
    <x v="182"/>
    <x v="10"/>
    <x v="0"/>
    <x v="1"/>
    <x v="1"/>
    <n v="7"/>
    <n v="2383494"/>
    <d v="2025-11-30T00:00:00"/>
    <n v="11"/>
    <n v="30"/>
    <n v="2025"/>
    <x v="0"/>
    <s v="Q4"/>
    <x v="1"/>
  </r>
  <r>
    <s v="O107573"/>
    <x v="669"/>
    <x v="10"/>
    <x v="0"/>
    <x v="3"/>
    <x v="1"/>
    <n v="5"/>
    <n v="2382853"/>
    <d v="2026-06-04T00:00:00"/>
    <n v="6"/>
    <n v="4"/>
    <n v="2026"/>
    <x v="2"/>
    <s v="Q2"/>
    <x v="3"/>
  </r>
  <r>
    <s v="O105431"/>
    <x v="731"/>
    <x v="3"/>
    <x v="2"/>
    <x v="3"/>
    <x v="0"/>
    <n v="9"/>
    <n v="2382841"/>
    <d v="2025-11-26T00:00:00"/>
    <n v="11"/>
    <n v="26"/>
    <n v="2025"/>
    <x v="0"/>
    <s v="Q4"/>
    <x v="3"/>
  </r>
  <r>
    <s v="O104422"/>
    <x v="199"/>
    <x v="0"/>
    <x v="3"/>
    <x v="4"/>
    <x v="2"/>
    <n v="10"/>
    <n v="2381878"/>
    <d v="2025-09-26T00:00:00"/>
    <n v="9"/>
    <n v="26"/>
    <n v="2025"/>
    <x v="1"/>
    <s v="Q3"/>
    <x v="4"/>
  </r>
  <r>
    <s v="O108505"/>
    <x v="443"/>
    <x v="6"/>
    <x v="0"/>
    <x v="0"/>
    <x v="2"/>
    <n v="7"/>
    <n v="2381682"/>
    <d v="2026-01-06T00:00:00"/>
    <n v="1"/>
    <n v="6"/>
    <n v="2026"/>
    <x v="6"/>
    <m/>
    <x v="0"/>
  </r>
  <r>
    <s v="O108681"/>
    <x v="84"/>
    <x v="9"/>
    <x v="0"/>
    <x v="1"/>
    <x v="1"/>
    <n v="5"/>
    <n v="2381265"/>
    <d v="2026-12-06T00:00:00"/>
    <n v="12"/>
    <n v="6"/>
    <n v="2026"/>
    <x v="7"/>
    <s v="Q4"/>
    <x v="1"/>
  </r>
  <r>
    <s v="O103517"/>
    <x v="370"/>
    <x v="0"/>
    <x v="0"/>
    <x v="1"/>
    <x v="3"/>
    <n v="6"/>
    <n v="2380377"/>
    <d v="2025-02-08T00:00:00"/>
    <n v="2"/>
    <n v="8"/>
    <n v="2025"/>
    <x v="4"/>
    <s v="Q1"/>
    <x v="1"/>
  </r>
  <r>
    <s v="O103486"/>
    <x v="358"/>
    <x v="0"/>
    <x v="2"/>
    <x v="1"/>
    <x v="0"/>
    <n v="8"/>
    <n v="2380255"/>
    <d v="2025-07-31T00:00:00"/>
    <n v="7"/>
    <n v="31"/>
    <n v="2025"/>
    <x v="10"/>
    <s v="Q3"/>
    <x v="1"/>
  </r>
  <r>
    <s v="O107529"/>
    <x v="732"/>
    <x v="8"/>
    <x v="2"/>
    <x v="2"/>
    <x v="2"/>
    <n v="8"/>
    <n v="2378996"/>
    <d v="2026-03-04T00:00:00"/>
    <n v="3"/>
    <n v="4"/>
    <n v="2026"/>
    <x v="5"/>
    <s v="Q1"/>
    <x v="2"/>
  </r>
  <r>
    <s v="O111799"/>
    <x v="354"/>
    <x v="9"/>
    <x v="0"/>
    <x v="1"/>
    <x v="3"/>
    <n v="6"/>
    <n v="2378629"/>
    <d v="2026-12-18T00:00:00"/>
    <n v="12"/>
    <n v="18"/>
    <n v="2026"/>
    <x v="7"/>
    <s v="Q4"/>
    <x v="1"/>
  </r>
  <r>
    <s v="O105241"/>
    <x v="570"/>
    <x v="9"/>
    <x v="3"/>
    <x v="4"/>
    <x v="0"/>
    <n v="9"/>
    <n v="2376575"/>
    <d v="2025-11-15T00:00:00"/>
    <n v="11"/>
    <n v="15"/>
    <n v="2025"/>
    <x v="0"/>
    <s v="Q4"/>
    <x v="4"/>
  </r>
  <r>
    <s v="O109853"/>
    <x v="55"/>
    <x v="5"/>
    <x v="0"/>
    <x v="1"/>
    <x v="3"/>
    <n v="5"/>
    <n v="2376392"/>
    <d v="2026-08-22T00:00:00"/>
    <n v="8"/>
    <n v="22"/>
    <n v="2026"/>
    <x v="8"/>
    <s v="Q3"/>
    <x v="1"/>
  </r>
  <r>
    <s v="O109714"/>
    <x v="374"/>
    <x v="5"/>
    <x v="0"/>
    <x v="2"/>
    <x v="0"/>
    <n v="7"/>
    <n v="2376223"/>
    <d v="2026-08-14T00:00:00"/>
    <n v="8"/>
    <n v="14"/>
    <n v="2026"/>
    <x v="8"/>
    <s v="Q3"/>
    <x v="2"/>
  </r>
  <r>
    <s v="O106343"/>
    <x v="463"/>
    <x v="8"/>
    <x v="2"/>
    <x v="2"/>
    <x v="1"/>
    <n v="7"/>
    <n v="2375315"/>
    <d v="2026-01-21T00:00:00"/>
    <n v="1"/>
    <n v="21"/>
    <n v="2026"/>
    <x v="6"/>
    <s v="Q1"/>
    <x v="2"/>
  </r>
  <r>
    <s v="O109539"/>
    <x v="463"/>
    <x v="2"/>
    <x v="0"/>
    <x v="0"/>
    <x v="1"/>
    <n v="5"/>
    <n v="2374502"/>
    <d v="2026-03-08T00:00:00"/>
    <n v="3"/>
    <n v="8"/>
    <n v="2026"/>
    <x v="5"/>
    <s v="Q1"/>
    <x v="0"/>
  </r>
  <r>
    <s v="O109233"/>
    <x v="733"/>
    <x v="4"/>
    <x v="3"/>
    <x v="3"/>
    <x v="3"/>
    <n v="9"/>
    <n v="2373562"/>
    <d v="2026-07-15T00:00:00"/>
    <n v="7"/>
    <n v="15"/>
    <n v="2026"/>
    <x v="10"/>
    <s v="Q3"/>
    <x v="3"/>
  </r>
  <r>
    <s v="O102156"/>
    <x v="717"/>
    <x v="4"/>
    <x v="0"/>
    <x v="1"/>
    <x v="3"/>
    <n v="6"/>
    <n v="2373508"/>
    <d v="2025-05-11T00:00:00"/>
    <n v="5"/>
    <n v="11"/>
    <n v="2025"/>
    <x v="3"/>
    <s v="Q2"/>
    <x v="1"/>
  </r>
  <r>
    <s v="O108953"/>
    <x v="734"/>
    <x v="10"/>
    <x v="0"/>
    <x v="1"/>
    <x v="2"/>
    <n v="5"/>
    <n v="2372437"/>
    <d v="2026-06-28T00:00:00"/>
    <n v="6"/>
    <n v="28"/>
    <n v="2026"/>
    <x v="2"/>
    <s v="Q2"/>
    <x v="1"/>
  </r>
  <r>
    <s v="O105195"/>
    <x v="89"/>
    <x v="2"/>
    <x v="0"/>
    <x v="0"/>
    <x v="2"/>
    <n v="6"/>
    <n v="2372388"/>
    <d v="2025-12-11T00:00:00"/>
    <n v="12"/>
    <n v="11"/>
    <n v="2025"/>
    <x v="7"/>
    <s v="Q4"/>
    <x v="0"/>
  </r>
  <r>
    <s v="O100369"/>
    <x v="536"/>
    <x v="8"/>
    <x v="0"/>
    <x v="1"/>
    <x v="1"/>
    <n v="5"/>
    <n v="2371709"/>
    <d v="2025-01-23T00:00:00"/>
    <n v="1"/>
    <n v="23"/>
    <n v="2025"/>
    <x v="6"/>
    <s v="Q1"/>
    <x v="1"/>
  </r>
  <r>
    <s v="O108523"/>
    <x v="536"/>
    <x v="9"/>
    <x v="0"/>
    <x v="1"/>
    <x v="2"/>
    <n v="5"/>
    <n v="2371479"/>
    <d v="2026-02-06T00:00:00"/>
    <n v="2"/>
    <n v="6"/>
    <n v="2026"/>
    <x v="4"/>
    <s v="Q1"/>
    <x v="1"/>
  </r>
  <r>
    <s v="O109092"/>
    <x v="488"/>
    <x v="6"/>
    <x v="0"/>
    <x v="2"/>
    <x v="0"/>
    <n v="5"/>
    <n v="2370719"/>
    <d v="2026-07-07T00:00:00"/>
    <n v="7"/>
    <n v="7"/>
    <n v="2026"/>
    <x v="10"/>
    <s v="Q3"/>
    <x v="2"/>
  </r>
  <r>
    <s v="O104418"/>
    <x v="648"/>
    <x v="1"/>
    <x v="0"/>
    <x v="2"/>
    <x v="0"/>
    <n v="5"/>
    <n v="2370572"/>
    <d v="2025-09-26T00:00:00"/>
    <n v="9"/>
    <n v="26"/>
    <n v="2025"/>
    <x v="1"/>
    <s v="Q3"/>
    <x v="2"/>
  </r>
  <r>
    <s v="O103252"/>
    <x v="269"/>
    <x v="8"/>
    <x v="0"/>
    <x v="0"/>
    <x v="0"/>
    <n v="6"/>
    <n v="2370354"/>
    <d v="2025-07-17T00:00:00"/>
    <n v="7"/>
    <n v="17"/>
    <n v="2025"/>
    <x v="10"/>
    <s v="Q3"/>
    <x v="0"/>
  </r>
  <r>
    <s v="O104073"/>
    <x v="604"/>
    <x v="4"/>
    <x v="2"/>
    <x v="3"/>
    <x v="2"/>
    <n v="10"/>
    <n v="2370288"/>
    <d v="2025-05-09T00:00:00"/>
    <n v="5"/>
    <n v="9"/>
    <n v="2025"/>
    <x v="3"/>
    <s v="Q2"/>
    <x v="3"/>
  </r>
  <r>
    <s v="O108777"/>
    <x v="24"/>
    <x v="6"/>
    <x v="3"/>
    <x v="2"/>
    <x v="1"/>
    <n v="10"/>
    <n v="2370009"/>
    <d v="2026-06-18T00:00:00"/>
    <n v="6"/>
    <n v="18"/>
    <n v="2026"/>
    <x v="2"/>
    <s v="Q2"/>
    <x v="2"/>
  </r>
  <r>
    <s v="O110106"/>
    <x v="210"/>
    <x v="1"/>
    <x v="0"/>
    <x v="4"/>
    <x v="3"/>
    <n v="7"/>
    <n v="2369363"/>
    <d v="2026-06-09T00:00:00"/>
    <n v="6"/>
    <n v="9"/>
    <n v="2026"/>
    <x v="2"/>
    <s v="Q2"/>
    <x v="4"/>
  </r>
  <r>
    <s v="O109885"/>
    <x v="543"/>
    <x v="6"/>
    <x v="0"/>
    <x v="0"/>
    <x v="1"/>
    <n v="5"/>
    <n v="2369333"/>
    <d v="2026-08-24T00:00:00"/>
    <n v="8"/>
    <n v="24"/>
    <n v="2026"/>
    <x v="8"/>
    <s v="Q3"/>
    <x v="0"/>
  </r>
  <r>
    <s v="O100433"/>
    <x v="554"/>
    <x v="4"/>
    <x v="2"/>
    <x v="5"/>
    <x v="2"/>
    <n v="8"/>
    <n v="2368154"/>
    <d v="2025-01-27T00:00:00"/>
    <n v="1"/>
    <n v="27"/>
    <n v="2025"/>
    <x v="6"/>
    <s v="Q1"/>
    <x v="5"/>
  </r>
  <r>
    <s v="O108874"/>
    <x v="465"/>
    <x v="6"/>
    <x v="0"/>
    <x v="4"/>
    <x v="0"/>
    <n v="7"/>
    <n v="2368081"/>
    <d v="2026-06-24T00:00:00"/>
    <n v="6"/>
    <n v="24"/>
    <n v="2026"/>
    <x v="2"/>
    <s v="Q2"/>
    <x v="4"/>
  </r>
  <r>
    <s v="O101411"/>
    <x v="156"/>
    <x v="8"/>
    <x v="0"/>
    <x v="4"/>
    <x v="3"/>
    <n v="6"/>
    <n v="2367308"/>
    <d v="2025-03-27T00:00:00"/>
    <n v="3"/>
    <n v="27"/>
    <n v="2025"/>
    <x v="5"/>
    <s v="Q1"/>
    <x v="4"/>
  </r>
  <r>
    <s v="O106353"/>
    <x v="471"/>
    <x v="3"/>
    <x v="0"/>
    <x v="2"/>
    <x v="2"/>
    <n v="5"/>
    <n v="2366696"/>
    <d v="2026-01-21T00:00:00"/>
    <n v="1"/>
    <n v="21"/>
    <n v="2026"/>
    <x v="6"/>
    <s v="Q1"/>
    <x v="2"/>
  </r>
  <r>
    <s v="O103593"/>
    <x v="431"/>
    <x v="6"/>
    <x v="2"/>
    <x v="4"/>
    <x v="1"/>
    <n v="7"/>
    <n v="2366330"/>
    <d v="2025-07-08T00:00:00"/>
    <n v="7"/>
    <n v="8"/>
    <n v="2025"/>
    <x v="10"/>
    <s v="Q3"/>
    <x v="4"/>
  </r>
  <r>
    <s v="O108123"/>
    <x v="209"/>
    <x v="2"/>
    <x v="0"/>
    <x v="2"/>
    <x v="0"/>
    <n v="5"/>
    <n v="2364819"/>
    <d v="2026-09-05T00:00:00"/>
    <n v="9"/>
    <n v="5"/>
    <n v="2026"/>
    <x v="1"/>
    <s v="Q3"/>
    <x v="2"/>
  </r>
  <r>
    <s v="O105712"/>
    <x v="634"/>
    <x v="8"/>
    <x v="3"/>
    <x v="0"/>
    <x v="3"/>
    <n v="9"/>
    <n v="2363747"/>
    <d v="2025-12-13T00:00:00"/>
    <n v="12"/>
    <n v="13"/>
    <n v="2025"/>
    <x v="7"/>
    <s v="Q4"/>
    <x v="0"/>
  </r>
  <r>
    <s v="O106997"/>
    <x v="343"/>
    <x v="5"/>
    <x v="2"/>
    <x v="0"/>
    <x v="3"/>
    <n v="9"/>
    <n v="2363600"/>
    <d v="2026-02-03T00:00:00"/>
    <n v="2"/>
    <n v="3"/>
    <n v="2026"/>
    <x v="4"/>
    <s v="Q1"/>
    <x v="0"/>
  </r>
  <r>
    <s v="O105652"/>
    <x v="194"/>
    <x v="9"/>
    <x v="2"/>
    <x v="3"/>
    <x v="1"/>
    <n v="7"/>
    <n v="2363559"/>
    <d v="2025-10-12T00:00:00"/>
    <n v="10"/>
    <n v="12"/>
    <n v="2025"/>
    <x v="9"/>
    <s v="Q4"/>
    <x v="3"/>
  </r>
  <r>
    <s v="O104792"/>
    <x v="681"/>
    <x v="1"/>
    <x v="3"/>
    <x v="0"/>
    <x v="1"/>
    <n v="10"/>
    <n v="2362648"/>
    <d v="2025-10-19T00:00:00"/>
    <n v="10"/>
    <n v="19"/>
    <n v="2025"/>
    <x v="9"/>
    <s v="Q4"/>
    <x v="0"/>
  </r>
  <r>
    <s v="O106134"/>
    <x v="526"/>
    <x v="9"/>
    <x v="0"/>
    <x v="1"/>
    <x v="2"/>
    <n v="5"/>
    <n v="2362115"/>
    <d v="2026-08-01T00:00:00"/>
    <n v="8"/>
    <n v="1"/>
    <n v="2026"/>
    <x v="8"/>
    <s v="Q3"/>
    <x v="1"/>
  </r>
  <r>
    <s v="O102249"/>
    <x v="571"/>
    <x v="5"/>
    <x v="2"/>
    <x v="2"/>
    <x v="0"/>
    <n v="7"/>
    <n v="2361808"/>
    <d v="2025-05-17T00:00:00"/>
    <n v="5"/>
    <n v="17"/>
    <n v="2025"/>
    <x v="3"/>
    <s v="Q2"/>
    <x v="2"/>
  </r>
  <r>
    <s v="O108827"/>
    <x v="232"/>
    <x v="1"/>
    <x v="2"/>
    <x v="1"/>
    <x v="1"/>
    <n v="9"/>
    <n v="2360730"/>
    <d v="2026-06-21T00:00:00"/>
    <n v="6"/>
    <n v="21"/>
    <n v="2026"/>
    <x v="2"/>
    <s v="Q2"/>
    <x v="1"/>
  </r>
  <r>
    <s v="O104596"/>
    <x v="350"/>
    <x v="6"/>
    <x v="2"/>
    <x v="3"/>
    <x v="0"/>
    <n v="8"/>
    <n v="2360276"/>
    <d v="2025-07-10T00:00:00"/>
    <n v="7"/>
    <n v="10"/>
    <n v="2025"/>
    <x v="10"/>
    <s v="Q3"/>
    <x v="3"/>
  </r>
  <r>
    <s v="O100005"/>
    <x v="106"/>
    <x v="9"/>
    <x v="0"/>
    <x v="3"/>
    <x v="3"/>
    <n v="6"/>
    <n v="2359325"/>
    <d v="2025-01-01T00:00:00"/>
    <n v="1"/>
    <n v="1"/>
    <n v="2025"/>
    <x v="6"/>
    <s v="Q1"/>
    <x v="3"/>
  </r>
  <r>
    <s v="O107887"/>
    <x v="207"/>
    <x v="0"/>
    <x v="0"/>
    <x v="4"/>
    <x v="2"/>
    <n v="5"/>
    <n v="2358899"/>
    <d v="2026-04-25T00:00:00"/>
    <n v="4"/>
    <n v="25"/>
    <n v="2026"/>
    <x v="11"/>
    <s v="Q2"/>
    <x v="4"/>
  </r>
  <r>
    <s v="O101188"/>
    <x v="615"/>
    <x v="2"/>
    <x v="0"/>
    <x v="4"/>
    <x v="2"/>
    <n v="5"/>
    <n v="2358079"/>
    <d v="2025-03-14T00:00:00"/>
    <n v="3"/>
    <n v="14"/>
    <n v="2025"/>
    <x v="5"/>
    <s v="Q1"/>
    <x v="4"/>
  </r>
  <r>
    <s v="O107672"/>
    <x v="715"/>
    <x v="5"/>
    <x v="2"/>
    <x v="3"/>
    <x v="2"/>
    <n v="7"/>
    <n v="2357522"/>
    <d v="2026-12-04T00:00:00"/>
    <n v="12"/>
    <n v="4"/>
    <n v="2026"/>
    <x v="7"/>
    <s v="Q4"/>
    <x v="3"/>
  </r>
  <r>
    <s v="O107000"/>
    <x v="735"/>
    <x v="9"/>
    <x v="2"/>
    <x v="4"/>
    <x v="1"/>
    <n v="7"/>
    <n v="2356916"/>
    <d v="2026-02-03T00:00:00"/>
    <n v="2"/>
    <n v="3"/>
    <n v="2026"/>
    <x v="4"/>
    <s v="Q1"/>
    <x v="4"/>
  </r>
  <r>
    <s v="O101338"/>
    <x v="8"/>
    <x v="0"/>
    <x v="2"/>
    <x v="2"/>
    <x v="3"/>
    <n v="7"/>
    <n v="2355362"/>
    <d v="2025-03-23T00:00:00"/>
    <n v="3"/>
    <n v="23"/>
    <n v="2025"/>
    <x v="5"/>
    <s v="Q1"/>
    <x v="2"/>
  </r>
  <r>
    <s v="O100946"/>
    <x v="474"/>
    <x v="4"/>
    <x v="0"/>
    <x v="1"/>
    <x v="3"/>
    <n v="6"/>
    <n v="2355128"/>
    <d v="2025-02-27T00:00:00"/>
    <n v="2"/>
    <n v="27"/>
    <n v="2025"/>
    <x v="4"/>
    <s v="Q1"/>
    <x v="1"/>
  </r>
  <r>
    <s v="O105903"/>
    <x v="696"/>
    <x v="1"/>
    <x v="0"/>
    <x v="2"/>
    <x v="2"/>
    <n v="5"/>
    <n v="2354557"/>
    <d v="2025-12-25T00:00:00"/>
    <n v="12"/>
    <n v="25"/>
    <n v="2025"/>
    <x v="7"/>
    <s v="Q4"/>
    <x v="2"/>
  </r>
  <r>
    <s v="O109604"/>
    <x v="476"/>
    <x v="4"/>
    <x v="0"/>
    <x v="1"/>
    <x v="1"/>
    <n v="6"/>
    <n v="2353705"/>
    <d v="2026-07-08T00:00:00"/>
    <n v="7"/>
    <n v="8"/>
    <n v="2026"/>
    <x v="10"/>
    <s v="Q3"/>
    <x v="1"/>
  </r>
  <r>
    <s v="O100867"/>
    <x v="6"/>
    <x v="3"/>
    <x v="0"/>
    <x v="2"/>
    <x v="0"/>
    <n v="6"/>
    <n v="2352952"/>
    <d v="2025-02-22T00:00:00"/>
    <n v="2"/>
    <n v="22"/>
    <n v="2025"/>
    <x v="4"/>
    <s v="Q1"/>
    <x v="2"/>
  </r>
  <r>
    <s v="O101464"/>
    <x v="575"/>
    <x v="6"/>
    <x v="2"/>
    <x v="4"/>
    <x v="0"/>
    <n v="7"/>
    <n v="2351939"/>
    <d v="2025-03-30T00:00:00"/>
    <n v="3"/>
    <n v="30"/>
    <n v="2025"/>
    <x v="5"/>
    <s v="Q1"/>
    <x v="4"/>
  </r>
  <r>
    <s v="O109973"/>
    <x v="736"/>
    <x v="2"/>
    <x v="3"/>
    <x v="4"/>
    <x v="2"/>
    <n v="9"/>
    <n v="2350554"/>
    <d v="2026-08-29T00:00:00"/>
    <n v="8"/>
    <n v="29"/>
    <n v="2026"/>
    <x v="8"/>
    <s v="Q3"/>
    <x v="4"/>
  </r>
  <r>
    <s v="O105858"/>
    <x v="233"/>
    <x v="1"/>
    <x v="0"/>
    <x v="0"/>
    <x v="0"/>
    <n v="5"/>
    <n v="2349828"/>
    <d v="2025-12-22T00:00:00"/>
    <n v="12"/>
    <n v="22"/>
    <n v="2025"/>
    <x v="7"/>
    <s v="Q4"/>
    <x v="0"/>
  </r>
  <r>
    <s v="O110863"/>
    <x v="285"/>
    <x v="7"/>
    <x v="0"/>
    <x v="0"/>
    <x v="0"/>
    <n v="5"/>
    <n v="2347935"/>
    <d v="2026-10-22T00:00:00"/>
    <n v="10"/>
    <n v="22"/>
    <n v="2026"/>
    <x v="9"/>
    <s v="Q4"/>
    <x v="0"/>
  </r>
  <r>
    <s v="O105312"/>
    <x v="109"/>
    <x v="1"/>
    <x v="2"/>
    <x v="4"/>
    <x v="1"/>
    <n v="7"/>
    <n v="2347680"/>
    <d v="2025-11-19T00:00:00"/>
    <n v="11"/>
    <n v="19"/>
    <n v="2025"/>
    <x v="0"/>
    <s v="Q4"/>
    <x v="4"/>
  </r>
  <r>
    <s v="O108504"/>
    <x v="448"/>
    <x v="1"/>
    <x v="3"/>
    <x v="2"/>
    <x v="0"/>
    <n v="10"/>
    <n v="2346147"/>
    <d v="2026-01-06T00:00:00"/>
    <n v="1"/>
    <n v="6"/>
    <n v="2026"/>
    <x v="6"/>
    <s v="Q1"/>
    <x v="2"/>
  </r>
  <r>
    <s v="O107429"/>
    <x v="557"/>
    <x v="10"/>
    <x v="2"/>
    <x v="2"/>
    <x v="0"/>
    <n v="9"/>
    <n v="2341886"/>
    <d v="2026-03-28T00:00:00"/>
    <n v="3"/>
    <n v="28"/>
    <n v="2026"/>
    <x v="5"/>
    <s v="Q1"/>
    <x v="2"/>
  </r>
  <r>
    <s v="O107914"/>
    <x v="737"/>
    <x v="6"/>
    <x v="0"/>
    <x v="4"/>
    <x v="2"/>
    <n v="6"/>
    <n v="2340283"/>
    <d v="2026-04-26T00:00:00"/>
    <n v="4"/>
    <n v="26"/>
    <n v="2026"/>
    <x v="11"/>
    <s v="Q2"/>
    <x v="4"/>
  </r>
  <r>
    <s v="O111325"/>
    <x v="595"/>
    <x v="8"/>
    <x v="3"/>
    <x v="1"/>
    <x v="3"/>
    <n v="9"/>
    <n v="2340254"/>
    <d v="2026-11-19T00:00:00"/>
    <n v="11"/>
    <n v="19"/>
    <n v="2026"/>
    <x v="0"/>
    <s v="Q4"/>
    <x v="1"/>
  </r>
  <r>
    <s v="O105750"/>
    <x v="321"/>
    <x v="2"/>
    <x v="2"/>
    <x v="0"/>
    <x v="0"/>
    <n v="8"/>
    <n v="2339468"/>
    <d v="2025-12-16T00:00:00"/>
    <n v="12"/>
    <n v="16"/>
    <n v="2025"/>
    <x v="7"/>
    <s v="Q4"/>
    <x v="0"/>
  </r>
  <r>
    <s v="O100078"/>
    <x v="423"/>
    <x v="9"/>
    <x v="0"/>
    <x v="2"/>
    <x v="2"/>
    <n v="5"/>
    <n v="2339301"/>
    <d v="2025-05-01T00:00:00"/>
    <n v="5"/>
    <n v="1"/>
    <n v="2025"/>
    <x v="3"/>
    <s v="Q2"/>
    <x v="2"/>
  </r>
  <r>
    <s v="O103714"/>
    <x v="369"/>
    <x v="10"/>
    <x v="2"/>
    <x v="7"/>
    <x v="2"/>
    <n v="7"/>
    <n v="2339127"/>
    <d v="2025-08-14T00:00:00"/>
    <n v="8"/>
    <n v="14"/>
    <n v="2025"/>
    <x v="8"/>
    <m/>
    <x v="3"/>
  </r>
  <r>
    <s v="O100718"/>
    <x v="405"/>
    <x v="1"/>
    <x v="3"/>
    <x v="2"/>
    <x v="0"/>
    <n v="10"/>
    <n v="2339111"/>
    <d v="2025-02-13T00:00:00"/>
    <n v="2"/>
    <n v="13"/>
    <n v="2025"/>
    <x v="4"/>
    <s v="Q1"/>
    <x v="2"/>
  </r>
  <r>
    <s v="O111003"/>
    <x v="700"/>
    <x v="10"/>
    <x v="2"/>
    <x v="1"/>
    <x v="2"/>
    <n v="9"/>
    <n v="2338790"/>
    <d v="2026-10-31T00:00:00"/>
    <n v="10"/>
    <n v="31"/>
    <n v="2026"/>
    <x v="9"/>
    <s v="Q4"/>
    <x v="1"/>
  </r>
  <r>
    <s v="O103464"/>
    <x v="447"/>
    <x v="4"/>
    <x v="2"/>
    <x v="1"/>
    <x v="1"/>
    <n v="9"/>
    <n v="2337475"/>
    <d v="2025-07-30T00:00:00"/>
    <n v="7"/>
    <n v="30"/>
    <n v="2025"/>
    <x v="10"/>
    <s v="Q3"/>
    <x v="1"/>
  </r>
  <r>
    <s v="O103594"/>
    <x v="8"/>
    <x v="0"/>
    <x v="2"/>
    <x v="0"/>
    <x v="1"/>
    <n v="9"/>
    <n v="2333978"/>
    <d v="2025-07-08T00:00:00"/>
    <n v="7"/>
    <n v="8"/>
    <n v="2025"/>
    <x v="10"/>
    <s v="Q3"/>
    <x v="0"/>
  </r>
  <r>
    <s v="O103947"/>
    <x v="738"/>
    <x v="6"/>
    <x v="2"/>
    <x v="3"/>
    <x v="0"/>
    <n v="8"/>
    <n v="2333858"/>
    <d v="2025-08-28T00:00:00"/>
    <n v="8"/>
    <n v="28"/>
    <n v="2025"/>
    <x v="8"/>
    <s v="Q3"/>
    <x v="3"/>
  </r>
  <r>
    <s v="O107103"/>
    <x v="719"/>
    <x v="0"/>
    <x v="3"/>
    <x v="4"/>
    <x v="3"/>
    <n v="10"/>
    <n v="2333456"/>
    <d v="2026-08-03T00:00:00"/>
    <n v="8"/>
    <n v="3"/>
    <n v="2026"/>
    <x v="8"/>
    <s v="Q3"/>
    <x v="4"/>
  </r>
  <r>
    <s v="O108736"/>
    <x v="304"/>
    <x v="1"/>
    <x v="3"/>
    <x v="2"/>
    <x v="0"/>
    <n v="10"/>
    <n v="2333199"/>
    <d v="2026-06-15T00:00:00"/>
    <n v="6"/>
    <n v="15"/>
    <n v="2026"/>
    <x v="2"/>
    <s v="Q2"/>
    <x v="2"/>
  </r>
  <r>
    <s v="O111375"/>
    <x v="221"/>
    <x v="6"/>
    <x v="3"/>
    <x v="1"/>
    <x v="3"/>
    <n v="9"/>
    <n v="2329981"/>
    <d v="2026-11-23T00:00:00"/>
    <n v="11"/>
    <n v="23"/>
    <n v="2026"/>
    <x v="0"/>
    <s v="Q4"/>
    <x v="1"/>
  </r>
  <r>
    <s v="O102251"/>
    <x v="713"/>
    <x v="4"/>
    <x v="0"/>
    <x v="3"/>
    <x v="1"/>
    <n v="5"/>
    <n v="2329819"/>
    <d v="2025-05-17T00:00:00"/>
    <n v="5"/>
    <n v="17"/>
    <n v="2025"/>
    <x v="3"/>
    <s v="Q2"/>
    <x v="3"/>
  </r>
  <r>
    <s v="O101213"/>
    <x v="211"/>
    <x v="0"/>
    <x v="0"/>
    <x v="2"/>
    <x v="1"/>
    <n v="5"/>
    <n v="2329135"/>
    <d v="2025-03-15T00:00:00"/>
    <n v="3"/>
    <n v="15"/>
    <n v="2025"/>
    <x v="5"/>
    <s v="Q1"/>
    <x v="2"/>
  </r>
  <r>
    <s v="O102556"/>
    <x v="113"/>
    <x v="5"/>
    <x v="3"/>
    <x v="3"/>
    <x v="3"/>
    <n v="10"/>
    <n v="2328531"/>
    <d v="2025-05-06T00:00:00"/>
    <n v="5"/>
    <n v="6"/>
    <n v="2025"/>
    <x v="3"/>
    <s v="Q2"/>
    <x v="3"/>
  </r>
  <r>
    <s v="O105541"/>
    <x v="91"/>
    <x v="10"/>
    <x v="0"/>
    <x v="2"/>
    <x v="1"/>
    <n v="6"/>
    <n v="2328379"/>
    <d v="2025-03-12T00:00:00"/>
    <n v="3"/>
    <n v="12"/>
    <n v="2025"/>
    <x v="5"/>
    <s v="Q1"/>
    <x v="2"/>
  </r>
  <r>
    <s v="O107142"/>
    <x v="281"/>
    <x v="0"/>
    <x v="0"/>
    <x v="1"/>
    <x v="0"/>
    <n v="6"/>
    <n v="2328169"/>
    <d v="2026-10-03T00:00:00"/>
    <n v="10"/>
    <n v="3"/>
    <n v="2026"/>
    <x v="9"/>
    <s v="Q4"/>
    <x v="1"/>
  </r>
  <r>
    <s v="O109358"/>
    <x v="168"/>
    <x v="3"/>
    <x v="0"/>
    <x v="8"/>
    <x v="2"/>
    <n v="6"/>
    <n v="2325542"/>
    <d v="2026-07-23T00:00:00"/>
    <n v="7"/>
    <n v="23"/>
    <n v="2026"/>
    <x v="10"/>
    <s v="Q3"/>
    <x v="2"/>
  </r>
  <r>
    <s v="O101515"/>
    <x v="176"/>
    <x v="0"/>
    <x v="0"/>
    <x v="3"/>
    <x v="2"/>
    <n v="6"/>
    <n v="2325275"/>
    <d v="2025-02-04T00:00:00"/>
    <n v="2"/>
    <n v="4"/>
    <n v="2025"/>
    <x v="4"/>
    <s v="Q1"/>
    <x v="3"/>
  </r>
  <r>
    <s v="O111497"/>
    <x v="739"/>
    <x v="1"/>
    <x v="0"/>
    <x v="0"/>
    <x v="1"/>
    <n v="6"/>
    <n v="2325182"/>
    <d v="2026-11-30T00:00:00"/>
    <n v="11"/>
    <n v="30"/>
    <n v="2026"/>
    <x v="0"/>
    <s v="Q4"/>
    <x v="0"/>
  </r>
  <r>
    <s v="O104465"/>
    <x v="434"/>
    <x v="0"/>
    <x v="2"/>
    <x v="3"/>
    <x v="1"/>
    <n v="9"/>
    <n v="2323468"/>
    <d v="2025-09-29T00:00:00"/>
    <n v="9"/>
    <n v="29"/>
    <n v="2025"/>
    <x v="1"/>
    <s v="Q3"/>
    <x v="3"/>
  </r>
  <r>
    <s v="O103934"/>
    <x v="740"/>
    <x v="5"/>
    <x v="0"/>
    <x v="4"/>
    <x v="3"/>
    <n v="5"/>
    <n v="2322519"/>
    <d v="2025-08-27T00:00:00"/>
    <n v="8"/>
    <n v="27"/>
    <n v="2025"/>
    <x v="8"/>
    <s v="Q3"/>
    <x v="4"/>
  </r>
  <r>
    <s v="O102265"/>
    <x v="616"/>
    <x v="0"/>
    <x v="2"/>
    <x v="1"/>
    <x v="3"/>
    <n v="9"/>
    <n v="2322125"/>
    <d v="2025-05-18T00:00:00"/>
    <n v="5"/>
    <n v="18"/>
    <n v="2025"/>
    <x v="3"/>
    <s v="Q2"/>
    <x v="1"/>
  </r>
  <r>
    <s v="O107133"/>
    <x v="608"/>
    <x v="0"/>
    <x v="2"/>
    <x v="3"/>
    <x v="0"/>
    <n v="10"/>
    <n v="2321589"/>
    <d v="2026-10-03T00:00:00"/>
    <n v="10"/>
    <n v="3"/>
    <n v="2026"/>
    <x v="9"/>
    <s v="Q4"/>
    <x v="3"/>
  </r>
  <r>
    <s v="O101794"/>
    <x v="8"/>
    <x v="5"/>
    <x v="2"/>
    <x v="0"/>
    <x v="1"/>
    <n v="10"/>
    <n v="2321193"/>
    <d v="2025-04-19T00:00:00"/>
    <n v="4"/>
    <n v="19"/>
    <n v="2025"/>
    <x v="11"/>
    <s v="Q2"/>
    <x v="0"/>
  </r>
  <r>
    <s v="O108558"/>
    <x v="724"/>
    <x v="8"/>
    <x v="2"/>
    <x v="2"/>
    <x v="1"/>
    <n v="8"/>
    <n v="2320985"/>
    <d v="2026-04-06T00:00:00"/>
    <n v="4"/>
    <n v="6"/>
    <n v="2026"/>
    <x v="11"/>
    <s v="Q2"/>
    <x v="2"/>
  </r>
  <r>
    <s v="O110236"/>
    <x v="530"/>
    <x v="8"/>
    <x v="2"/>
    <x v="2"/>
    <x v="0"/>
    <n v="8"/>
    <n v="2320352"/>
    <d v="2026-09-14T00:00:00"/>
    <n v="9"/>
    <n v="14"/>
    <n v="2026"/>
    <x v="1"/>
    <s v="Q3"/>
    <x v="2"/>
  </r>
  <r>
    <s v="O104072"/>
    <x v="721"/>
    <x v="10"/>
    <x v="2"/>
    <x v="2"/>
    <x v="1"/>
    <n v="7"/>
    <n v="2319845"/>
    <d v="2025-05-09T00:00:00"/>
    <n v="5"/>
    <n v="9"/>
    <n v="2025"/>
    <x v="3"/>
    <s v="Q2"/>
    <x v="2"/>
  </r>
  <r>
    <s v="O108487"/>
    <x v="618"/>
    <x v="5"/>
    <x v="0"/>
    <x v="1"/>
    <x v="2"/>
    <n v="6"/>
    <n v="2318976"/>
    <d v="2026-05-31T00:00:00"/>
    <n v="5"/>
    <n v="31"/>
    <n v="2026"/>
    <x v="3"/>
    <s v="Q2"/>
    <x v="1"/>
  </r>
  <r>
    <s v="O102299"/>
    <x v="127"/>
    <x v="2"/>
    <x v="0"/>
    <x v="1"/>
    <x v="3"/>
    <n v="5"/>
    <n v="2318645"/>
    <d v="2025-05-20T00:00:00"/>
    <n v="5"/>
    <n v="20"/>
    <n v="2025"/>
    <x v="3"/>
    <s v="Q2"/>
    <x v="1"/>
  </r>
  <r>
    <s v="O100219"/>
    <x v="741"/>
    <x v="3"/>
    <x v="2"/>
    <x v="1"/>
    <x v="3"/>
    <n v="9"/>
    <n v="2317696"/>
    <d v="2025-01-14T00:00:00"/>
    <n v="1"/>
    <n v="14"/>
    <n v="2025"/>
    <x v="6"/>
    <s v="Q1"/>
    <x v="1"/>
  </r>
  <r>
    <s v="O104110"/>
    <x v="715"/>
    <x v="4"/>
    <x v="2"/>
    <x v="2"/>
    <x v="2"/>
    <n v="8"/>
    <n v="2316880"/>
    <d v="2025-07-09T00:00:00"/>
    <n v="7"/>
    <n v="9"/>
    <n v="2025"/>
    <x v="10"/>
    <s v="Q3"/>
    <x v="2"/>
  </r>
  <r>
    <s v="O102578"/>
    <x v="577"/>
    <x v="3"/>
    <x v="2"/>
    <x v="1"/>
    <x v="1"/>
    <n v="10"/>
    <n v="2314866"/>
    <d v="2025-06-06T00:00:00"/>
    <n v="6"/>
    <n v="6"/>
    <n v="2025"/>
    <x v="2"/>
    <s v="Q2"/>
    <x v="1"/>
  </r>
  <r>
    <s v="O106861"/>
    <x v="136"/>
    <x v="1"/>
    <x v="0"/>
    <x v="0"/>
    <x v="0"/>
    <n v="5"/>
    <n v="2313678"/>
    <d v="2026-02-21T00:00:00"/>
    <n v="2"/>
    <n v="21"/>
    <n v="2026"/>
    <x v="4"/>
    <s v="Q1"/>
    <x v="0"/>
  </r>
  <r>
    <s v="O107372"/>
    <x v="37"/>
    <x v="1"/>
    <x v="2"/>
    <x v="0"/>
    <x v="3"/>
    <n v="7"/>
    <n v="2312870"/>
    <d v="2026-03-24T00:00:00"/>
    <n v="3"/>
    <n v="24"/>
    <n v="2026"/>
    <x v="5"/>
    <s v="Q1"/>
    <x v="0"/>
  </r>
  <r>
    <s v="O101364"/>
    <x v="144"/>
    <x v="3"/>
    <x v="2"/>
    <x v="0"/>
    <x v="2"/>
    <n v="9"/>
    <n v="2312566"/>
    <d v="2025-03-24T00:00:00"/>
    <n v="3"/>
    <n v="24"/>
    <n v="2025"/>
    <x v="5"/>
    <s v="Q1"/>
    <x v="0"/>
  </r>
  <r>
    <s v="O102291"/>
    <x v="632"/>
    <x v="1"/>
    <x v="2"/>
    <x v="0"/>
    <x v="1"/>
    <n v="7"/>
    <n v="2312030"/>
    <d v="2025-05-20T00:00:00"/>
    <n v="5"/>
    <n v="20"/>
    <n v="2025"/>
    <x v="3"/>
    <s v="Q2"/>
    <x v="0"/>
  </r>
  <r>
    <s v="O107228"/>
    <x v="130"/>
    <x v="2"/>
    <x v="0"/>
    <x v="2"/>
    <x v="2"/>
    <n v="6"/>
    <n v="2311858"/>
    <d v="2026-03-16T00:00:00"/>
    <n v="3"/>
    <n v="16"/>
    <n v="2026"/>
    <x v="5"/>
    <s v="Q1"/>
    <x v="2"/>
  </r>
  <r>
    <s v="O110413"/>
    <x v="727"/>
    <x v="10"/>
    <x v="0"/>
    <x v="1"/>
    <x v="2"/>
    <n v="5"/>
    <n v="2311612"/>
    <d v="2026-09-25T00:00:00"/>
    <n v="9"/>
    <n v="25"/>
    <n v="2026"/>
    <x v="1"/>
    <s v="Q3"/>
    <x v="1"/>
  </r>
  <r>
    <s v="O100133"/>
    <x v="698"/>
    <x v="8"/>
    <x v="0"/>
    <x v="2"/>
    <x v="0"/>
    <n v="5"/>
    <n v="2311097"/>
    <d v="2025-09-01T00:00:00"/>
    <n v="9"/>
    <n v="1"/>
    <n v="2025"/>
    <x v="1"/>
    <s v="Q3"/>
    <x v="2"/>
  </r>
  <r>
    <s v="O109982"/>
    <x v="258"/>
    <x v="8"/>
    <x v="2"/>
    <x v="2"/>
    <x v="1"/>
    <n v="7"/>
    <n v="2311096"/>
    <d v="2026-08-30T00:00:00"/>
    <n v="8"/>
    <n v="30"/>
    <n v="2026"/>
    <x v="8"/>
    <m/>
    <x v="2"/>
  </r>
  <r>
    <s v="O109634"/>
    <x v="221"/>
    <x v="8"/>
    <x v="2"/>
    <x v="3"/>
    <x v="3"/>
    <n v="7"/>
    <n v="2306816"/>
    <d v="2026-09-08T00:00:00"/>
    <n v="9"/>
    <n v="8"/>
    <n v="2026"/>
    <x v="1"/>
    <s v="Q3"/>
    <x v="3"/>
  </r>
  <r>
    <s v="O108477"/>
    <x v="199"/>
    <x v="5"/>
    <x v="0"/>
    <x v="0"/>
    <x v="0"/>
    <n v="6"/>
    <n v="2306412"/>
    <d v="2026-05-30T00:00:00"/>
    <n v="5"/>
    <n v="30"/>
    <n v="2026"/>
    <x v="3"/>
    <s v="Q2"/>
    <x v="0"/>
  </r>
  <r>
    <s v="O108085"/>
    <x v="382"/>
    <x v="0"/>
    <x v="2"/>
    <x v="1"/>
    <x v="3"/>
    <n v="10"/>
    <n v="2304132"/>
    <d v="2026-07-05T00:00:00"/>
    <n v="7"/>
    <n v="5"/>
    <n v="2026"/>
    <x v="10"/>
    <s v="Q3"/>
    <x v="1"/>
  </r>
  <r>
    <s v="O100415"/>
    <x v="203"/>
    <x v="4"/>
    <x v="2"/>
    <x v="3"/>
    <x v="2"/>
    <n v="8"/>
    <n v="2304093"/>
    <d v="2025-01-26T00:00:00"/>
    <n v="1"/>
    <n v="26"/>
    <n v="2025"/>
    <x v="6"/>
    <s v="Q1"/>
    <x v="3"/>
  </r>
  <r>
    <s v="O100582"/>
    <x v="411"/>
    <x v="6"/>
    <x v="3"/>
    <x v="0"/>
    <x v="2"/>
    <n v="9"/>
    <n v="2301885"/>
    <d v="2025-05-02T00:00:00"/>
    <n v="5"/>
    <n v="2"/>
    <n v="2025"/>
    <x v="3"/>
    <s v="Q2"/>
    <x v="0"/>
  </r>
  <r>
    <s v="O111074"/>
    <x v="423"/>
    <x v="8"/>
    <x v="0"/>
    <x v="4"/>
    <x v="3"/>
    <n v="6"/>
    <n v="2301511"/>
    <d v="2026-04-11T00:00:00"/>
    <n v="4"/>
    <n v="11"/>
    <n v="2026"/>
    <x v="11"/>
    <s v="Q2"/>
    <x v="4"/>
  </r>
  <r>
    <s v="O103351"/>
    <x v="93"/>
    <x v="9"/>
    <x v="0"/>
    <x v="3"/>
    <x v="1"/>
    <n v="6"/>
    <n v="2300626"/>
    <d v="2025-07-23T00:00:00"/>
    <n v="7"/>
    <n v="23"/>
    <n v="2025"/>
    <x v="10"/>
    <s v="Q3"/>
    <x v="3"/>
  </r>
  <r>
    <s v="O102353"/>
    <x v="480"/>
    <x v="6"/>
    <x v="2"/>
    <x v="2"/>
    <x v="3"/>
    <n v="7"/>
    <n v="2300491"/>
    <d v="2025-05-23T00:00:00"/>
    <n v="5"/>
    <n v="23"/>
    <n v="2025"/>
    <x v="3"/>
    <s v="Q2"/>
    <x v="2"/>
  </r>
  <r>
    <s v="O103597"/>
    <x v="445"/>
    <x v="1"/>
    <x v="0"/>
    <x v="1"/>
    <x v="3"/>
    <n v="6"/>
    <n v="2299189"/>
    <d v="2025-07-08T00:00:00"/>
    <n v="7"/>
    <n v="8"/>
    <n v="2025"/>
    <x v="10"/>
    <s v="Q3"/>
    <x v="1"/>
  </r>
  <r>
    <s v="O106993"/>
    <x v="141"/>
    <x v="0"/>
    <x v="0"/>
    <x v="1"/>
    <x v="0"/>
    <n v="6"/>
    <n v="2298999"/>
    <d v="2026-01-03T00:00:00"/>
    <n v="1"/>
    <n v="3"/>
    <n v="2026"/>
    <x v="6"/>
    <s v="Q1"/>
    <x v="1"/>
  </r>
  <r>
    <s v="O102456"/>
    <x v="240"/>
    <x v="5"/>
    <x v="0"/>
    <x v="2"/>
    <x v="1"/>
    <n v="6"/>
    <n v="2298252"/>
    <d v="2025-05-30T00:00:00"/>
    <n v="5"/>
    <n v="30"/>
    <n v="2025"/>
    <x v="3"/>
    <s v="Q2"/>
    <x v="2"/>
  </r>
  <r>
    <s v="O108848"/>
    <x v="207"/>
    <x v="10"/>
    <x v="2"/>
    <x v="3"/>
    <x v="3"/>
    <n v="7"/>
    <n v="2297473"/>
    <d v="2026-06-22T00:00:00"/>
    <n v="6"/>
    <n v="22"/>
    <n v="2026"/>
    <x v="2"/>
    <s v="Q2"/>
    <x v="3"/>
  </r>
  <r>
    <s v="O101644"/>
    <x v="112"/>
    <x v="6"/>
    <x v="2"/>
    <x v="6"/>
    <x v="0"/>
    <n v="8"/>
    <n v="2297310"/>
    <d v="2025-10-04T00:00:00"/>
    <n v="10"/>
    <n v="4"/>
    <n v="2025"/>
    <x v="9"/>
    <s v="Q4"/>
    <x v="4"/>
  </r>
  <r>
    <s v="O106832"/>
    <x v="321"/>
    <x v="6"/>
    <x v="0"/>
    <x v="3"/>
    <x v="3"/>
    <n v="6"/>
    <n v="2296256"/>
    <d v="2026-02-20T00:00:00"/>
    <n v="2"/>
    <n v="20"/>
    <n v="2026"/>
    <x v="4"/>
    <s v="Q1"/>
    <x v="3"/>
  </r>
  <r>
    <s v="O102982"/>
    <x v="594"/>
    <x v="5"/>
    <x v="0"/>
    <x v="1"/>
    <x v="3"/>
    <n v="6"/>
    <n v="2293826"/>
    <d v="2025-01-07T00:00:00"/>
    <n v="1"/>
    <n v="7"/>
    <n v="2025"/>
    <x v="6"/>
    <s v="Q1"/>
    <x v="1"/>
  </r>
  <r>
    <s v="O101239"/>
    <x v="480"/>
    <x v="1"/>
    <x v="3"/>
    <x v="2"/>
    <x v="0"/>
    <n v="10"/>
    <n v="2293717"/>
    <d v="2025-03-17T00:00:00"/>
    <n v="3"/>
    <n v="17"/>
    <n v="2025"/>
    <x v="5"/>
    <s v="Q1"/>
    <x v="2"/>
  </r>
  <r>
    <s v="O100521"/>
    <x v="395"/>
    <x v="3"/>
    <x v="2"/>
    <x v="0"/>
    <x v="2"/>
    <n v="8"/>
    <n v="2292989"/>
    <d v="2025-01-02T00:00:00"/>
    <n v="1"/>
    <n v="2"/>
    <n v="2025"/>
    <x v="6"/>
    <s v="Q1"/>
    <x v="0"/>
  </r>
  <r>
    <s v="O102463"/>
    <x v="742"/>
    <x v="0"/>
    <x v="2"/>
    <x v="4"/>
    <x v="0"/>
    <n v="7"/>
    <n v="2292878"/>
    <d v="2025-05-30T00:00:00"/>
    <n v="5"/>
    <n v="30"/>
    <n v="2025"/>
    <x v="3"/>
    <s v="Q2"/>
    <x v="4"/>
  </r>
  <r>
    <s v="O110370"/>
    <x v="86"/>
    <x v="3"/>
    <x v="2"/>
    <x v="2"/>
    <x v="3"/>
    <n v="9"/>
    <n v="2291876"/>
    <d v="2026-09-22T00:00:00"/>
    <n v="9"/>
    <n v="22"/>
    <n v="2026"/>
    <x v="1"/>
    <s v="Q3"/>
    <x v="2"/>
  </r>
  <r>
    <s v="O108135"/>
    <x v="209"/>
    <x v="10"/>
    <x v="2"/>
    <x v="1"/>
    <x v="0"/>
    <n v="9"/>
    <n v="2291355"/>
    <d v="2026-10-05T00:00:00"/>
    <n v="10"/>
    <n v="5"/>
    <n v="2026"/>
    <x v="9"/>
    <s v="Q4"/>
    <x v="1"/>
  </r>
  <r>
    <s v="O111670"/>
    <x v="57"/>
    <x v="6"/>
    <x v="0"/>
    <x v="3"/>
    <x v="0"/>
    <n v="5"/>
    <n v="2290630"/>
    <d v="2026-10-12T00:00:00"/>
    <n v="10"/>
    <n v="12"/>
    <n v="2026"/>
    <x v="9"/>
    <s v="Q4"/>
    <x v="3"/>
  </r>
  <r>
    <s v="O105536"/>
    <x v="585"/>
    <x v="3"/>
    <x v="0"/>
    <x v="2"/>
    <x v="0"/>
    <n v="6"/>
    <n v="2290566"/>
    <d v="2025-03-12T00:00:00"/>
    <n v="3"/>
    <n v="12"/>
    <n v="2025"/>
    <x v="5"/>
    <s v="Q1"/>
    <x v="2"/>
  </r>
  <r>
    <s v="O104107"/>
    <x v="34"/>
    <x v="1"/>
    <x v="3"/>
    <x v="0"/>
    <x v="2"/>
    <n v="9"/>
    <n v="2290511"/>
    <d v="2025-07-09T00:00:00"/>
    <n v="7"/>
    <n v="9"/>
    <n v="2025"/>
    <x v="10"/>
    <s v="Q3"/>
    <x v="0"/>
  </r>
  <r>
    <s v="O111178"/>
    <x v="538"/>
    <x v="10"/>
    <x v="3"/>
    <x v="4"/>
    <x v="3"/>
    <n v="10"/>
    <n v="2289554"/>
    <d v="2026-11-11T00:00:00"/>
    <n v="11"/>
    <n v="11"/>
    <n v="2026"/>
    <x v="0"/>
    <m/>
    <x v="4"/>
  </r>
  <r>
    <s v="O100051"/>
    <x v="687"/>
    <x v="3"/>
    <x v="3"/>
    <x v="2"/>
    <x v="2"/>
    <n v="9"/>
    <n v="2288315"/>
    <d v="2025-04-01T00:00:00"/>
    <n v="4"/>
    <n v="1"/>
    <n v="2025"/>
    <x v="11"/>
    <s v="Q2"/>
    <x v="2"/>
  </r>
  <r>
    <s v="O105016"/>
    <x v="621"/>
    <x v="8"/>
    <x v="0"/>
    <x v="8"/>
    <x v="0"/>
    <n v="5"/>
    <n v="2287706"/>
    <d v="2025-01-11T00:00:00"/>
    <n v="1"/>
    <n v="11"/>
    <n v="2025"/>
    <x v="6"/>
    <s v="Q1"/>
    <x v="2"/>
  </r>
  <r>
    <s v="O104669"/>
    <x v="218"/>
    <x v="3"/>
    <x v="2"/>
    <x v="0"/>
    <x v="1"/>
    <n v="8"/>
    <n v="2287102"/>
    <d v="2025-11-10T00:00:00"/>
    <n v="11"/>
    <n v="10"/>
    <n v="2025"/>
    <x v="0"/>
    <s v="Q4"/>
    <x v="0"/>
  </r>
  <r>
    <s v="O108914"/>
    <x v="163"/>
    <x v="1"/>
    <x v="0"/>
    <x v="1"/>
    <x v="2"/>
    <n v="6"/>
    <n v="2286923"/>
    <d v="2026-06-26T00:00:00"/>
    <n v="6"/>
    <n v="26"/>
    <n v="2026"/>
    <x v="2"/>
    <s v="Q2"/>
    <x v="1"/>
  </r>
  <r>
    <s v="O109998"/>
    <x v="656"/>
    <x v="5"/>
    <x v="3"/>
    <x v="0"/>
    <x v="2"/>
    <n v="9"/>
    <n v="2286884"/>
    <d v="2026-08-31T00:00:00"/>
    <n v="8"/>
    <n v="31"/>
    <n v="2026"/>
    <x v="8"/>
    <s v="Q3"/>
    <x v="0"/>
  </r>
  <r>
    <s v="O108457"/>
    <x v="387"/>
    <x v="8"/>
    <x v="2"/>
    <x v="4"/>
    <x v="0"/>
    <n v="9"/>
    <n v="2286761"/>
    <d v="2026-05-29T00:00:00"/>
    <n v="5"/>
    <n v="29"/>
    <n v="2026"/>
    <x v="3"/>
    <s v="Q2"/>
    <x v="4"/>
  </r>
  <r>
    <s v="O111924"/>
    <x v="529"/>
    <x v="0"/>
    <x v="3"/>
    <x v="1"/>
    <x v="2"/>
    <n v="10"/>
    <n v="2285398"/>
    <d v="2026-12-26T00:00:00"/>
    <n v="12"/>
    <n v="26"/>
    <n v="2026"/>
    <x v="7"/>
    <s v="Q4"/>
    <x v="1"/>
  </r>
  <r>
    <s v="O105689"/>
    <x v="402"/>
    <x v="2"/>
    <x v="0"/>
    <x v="3"/>
    <x v="4"/>
    <n v="5"/>
    <n v="2285350"/>
    <d v="2025-12-12T00:00:00"/>
    <n v="12"/>
    <n v="12"/>
    <n v="2025"/>
    <x v="7"/>
    <s v="Q4"/>
    <x v="3"/>
  </r>
  <r>
    <s v="O104591"/>
    <x v="497"/>
    <x v="3"/>
    <x v="2"/>
    <x v="1"/>
    <x v="0"/>
    <n v="8"/>
    <n v="2285306"/>
    <d v="2025-06-10T00:00:00"/>
    <n v="6"/>
    <n v="10"/>
    <n v="2025"/>
    <x v="2"/>
    <s v="Q2"/>
    <x v="1"/>
  </r>
  <r>
    <s v="O102863"/>
    <x v="105"/>
    <x v="1"/>
    <x v="3"/>
    <x v="0"/>
    <x v="1"/>
    <n v="10"/>
    <n v="2284187"/>
    <d v="2025-06-23T00:00:00"/>
    <n v="6"/>
    <n v="23"/>
    <n v="2025"/>
    <x v="2"/>
    <s v="Q2"/>
    <x v="0"/>
  </r>
  <r>
    <s v="O103868"/>
    <x v="34"/>
    <x v="4"/>
    <x v="2"/>
    <x v="4"/>
    <x v="3"/>
    <n v="9"/>
    <n v="2281629"/>
    <d v="2025-08-23T00:00:00"/>
    <n v="8"/>
    <n v="23"/>
    <n v="2025"/>
    <x v="8"/>
    <s v="Q3"/>
    <x v="4"/>
  </r>
  <r>
    <s v="O108061"/>
    <x v="311"/>
    <x v="10"/>
    <x v="2"/>
    <x v="1"/>
    <x v="3"/>
    <n v="9"/>
    <n v="2281517"/>
    <d v="2026-05-05T00:00:00"/>
    <n v="5"/>
    <n v="5"/>
    <n v="2026"/>
    <x v="3"/>
    <s v="Q2"/>
    <x v="1"/>
  </r>
  <r>
    <s v="O105586"/>
    <x v="201"/>
    <x v="2"/>
    <x v="0"/>
    <x v="4"/>
    <x v="3"/>
    <n v="5"/>
    <n v="2278335"/>
    <d v="2025-06-12T00:00:00"/>
    <n v="6"/>
    <n v="12"/>
    <n v="2025"/>
    <x v="2"/>
    <s v="Q2"/>
    <x v="4"/>
  </r>
  <r>
    <s v="O111012"/>
    <x v="709"/>
    <x v="4"/>
    <x v="2"/>
    <x v="1"/>
    <x v="2"/>
    <n v="9"/>
    <n v="2278308"/>
    <d v="2026-10-31T00:00:00"/>
    <n v="10"/>
    <n v="31"/>
    <n v="2026"/>
    <x v="9"/>
    <s v="Q4"/>
    <x v="1"/>
  </r>
  <r>
    <s v="O104119"/>
    <x v="32"/>
    <x v="0"/>
    <x v="0"/>
    <x v="4"/>
    <x v="0"/>
    <n v="6"/>
    <n v="2277829"/>
    <d v="2025-08-09T00:00:00"/>
    <n v="8"/>
    <n v="9"/>
    <n v="2025"/>
    <x v="8"/>
    <s v="Q3"/>
    <x v="4"/>
  </r>
  <r>
    <s v="O103088"/>
    <x v="608"/>
    <x v="3"/>
    <x v="0"/>
    <x v="0"/>
    <x v="3"/>
    <n v="6"/>
    <n v="2277044"/>
    <d v="2025-07-07T00:00:00"/>
    <n v="7"/>
    <n v="7"/>
    <n v="2025"/>
    <x v="10"/>
    <s v="Q3"/>
    <x v="0"/>
  </r>
  <r>
    <s v="O106496"/>
    <x v="432"/>
    <x v="2"/>
    <x v="0"/>
    <x v="3"/>
    <x v="1"/>
    <n v="5"/>
    <n v="2276122"/>
    <d v="2026-01-30T00:00:00"/>
    <n v="1"/>
    <n v="30"/>
    <n v="2026"/>
    <x v="6"/>
    <s v="Q1"/>
    <x v="3"/>
  </r>
  <r>
    <s v="O106185"/>
    <x v="647"/>
    <x v="8"/>
    <x v="0"/>
    <x v="2"/>
    <x v="0"/>
    <n v="5"/>
    <n v="2275736"/>
    <d v="2026-11-01T00:00:00"/>
    <n v="11"/>
    <n v="1"/>
    <n v="2026"/>
    <x v="0"/>
    <s v="Q4"/>
    <x v="2"/>
  </r>
  <r>
    <s v="O109919"/>
    <x v="676"/>
    <x v="4"/>
    <x v="0"/>
    <x v="3"/>
    <x v="0"/>
    <n v="6"/>
    <n v="2274811"/>
    <d v="2026-08-26T00:00:00"/>
    <n v="8"/>
    <n v="26"/>
    <n v="2026"/>
    <x v="8"/>
    <s v="Q3"/>
    <x v="3"/>
  </r>
  <r>
    <s v="O104623"/>
    <x v="578"/>
    <x v="1"/>
    <x v="0"/>
    <x v="4"/>
    <x v="0"/>
    <n v="5"/>
    <n v="2274533"/>
    <d v="2025-08-10T00:00:00"/>
    <n v="8"/>
    <n v="10"/>
    <n v="2025"/>
    <x v="8"/>
    <s v="Q3"/>
    <x v="4"/>
  </r>
  <r>
    <s v="O107532"/>
    <x v="473"/>
    <x v="3"/>
    <x v="0"/>
    <x v="4"/>
    <x v="3"/>
    <n v="5"/>
    <n v="2271429"/>
    <d v="2026-03-04T00:00:00"/>
    <n v="3"/>
    <n v="4"/>
    <n v="2026"/>
    <x v="5"/>
    <s v="Q1"/>
    <x v="4"/>
  </r>
  <r>
    <s v="O111267"/>
    <x v="658"/>
    <x v="2"/>
    <x v="2"/>
    <x v="1"/>
    <x v="1"/>
    <n v="10"/>
    <n v="2271249"/>
    <d v="2026-11-16T00:00:00"/>
    <n v="11"/>
    <n v="16"/>
    <n v="2026"/>
    <x v="0"/>
    <s v="Q4"/>
    <x v="1"/>
  </r>
  <r>
    <s v="O109459"/>
    <x v="262"/>
    <x v="2"/>
    <x v="2"/>
    <x v="0"/>
    <x v="1"/>
    <n v="7"/>
    <n v="2270014"/>
    <d v="2026-07-29T00:00:00"/>
    <n v="7"/>
    <n v="29"/>
    <n v="2026"/>
    <x v="10"/>
    <s v="Q3"/>
    <x v="0"/>
  </r>
  <r>
    <s v="O106342"/>
    <x v="362"/>
    <x v="8"/>
    <x v="2"/>
    <x v="3"/>
    <x v="2"/>
    <n v="8"/>
    <n v="2269622"/>
    <d v="2026-01-21T00:00:00"/>
    <n v="1"/>
    <n v="21"/>
    <n v="2026"/>
    <x v="6"/>
    <s v="Q1"/>
    <x v="3"/>
  </r>
  <r>
    <s v="O106270"/>
    <x v="127"/>
    <x v="1"/>
    <x v="2"/>
    <x v="3"/>
    <x v="3"/>
    <n v="7"/>
    <n v="2268531"/>
    <d v="2026-01-16T00:00:00"/>
    <n v="1"/>
    <n v="16"/>
    <n v="2026"/>
    <x v="6"/>
    <s v="Q1"/>
    <x v="3"/>
  </r>
  <r>
    <s v="O110071"/>
    <x v="90"/>
    <x v="10"/>
    <x v="3"/>
    <x v="2"/>
    <x v="2"/>
    <n v="10"/>
    <n v="2268376"/>
    <d v="2026-04-09T00:00:00"/>
    <n v="4"/>
    <n v="9"/>
    <n v="2026"/>
    <x v="11"/>
    <s v="Q2"/>
    <x v="2"/>
  </r>
  <r>
    <s v="O101388"/>
    <x v="630"/>
    <x v="4"/>
    <x v="0"/>
    <x v="4"/>
    <x v="1"/>
    <n v="5"/>
    <n v="2268331"/>
    <d v="2025-03-26T00:00:00"/>
    <n v="3"/>
    <n v="26"/>
    <n v="2025"/>
    <x v="5"/>
    <s v="Q1"/>
    <x v="4"/>
  </r>
  <r>
    <s v="O110522"/>
    <x v="420"/>
    <x v="6"/>
    <x v="2"/>
    <x v="1"/>
    <x v="0"/>
    <n v="7"/>
    <n v="2267955"/>
    <d v="2026-02-10T00:00:00"/>
    <n v="2"/>
    <n v="10"/>
    <n v="2026"/>
    <x v="4"/>
    <s v="Q1"/>
    <x v="1"/>
  </r>
  <r>
    <s v="O110592"/>
    <x v="157"/>
    <x v="5"/>
    <x v="2"/>
    <x v="3"/>
    <x v="1"/>
    <n v="8"/>
    <n v="2267953"/>
    <d v="2026-06-10T00:00:00"/>
    <n v="6"/>
    <n v="10"/>
    <n v="2026"/>
    <x v="2"/>
    <s v="Q2"/>
    <x v="3"/>
  </r>
  <r>
    <s v="O103536"/>
    <x v="342"/>
    <x v="5"/>
    <x v="0"/>
    <x v="2"/>
    <x v="0"/>
    <n v="5"/>
    <n v="2267775"/>
    <d v="2025-03-08T00:00:00"/>
    <n v="3"/>
    <n v="8"/>
    <n v="2025"/>
    <x v="5"/>
    <s v="Q1"/>
    <x v="2"/>
  </r>
  <r>
    <s v="O105806"/>
    <x v="147"/>
    <x v="5"/>
    <x v="0"/>
    <x v="2"/>
    <x v="1"/>
    <n v="5"/>
    <n v="2263854"/>
    <d v="2025-12-19T00:00:00"/>
    <n v="12"/>
    <n v="19"/>
    <n v="2025"/>
    <x v="7"/>
    <s v="Q4"/>
    <x v="2"/>
  </r>
  <r>
    <s v="O110694"/>
    <x v="408"/>
    <x v="6"/>
    <x v="0"/>
    <x v="1"/>
    <x v="1"/>
    <n v="6"/>
    <n v="2261464"/>
    <d v="2026-12-10T00:00:00"/>
    <n v="12"/>
    <n v="10"/>
    <n v="2026"/>
    <x v="7"/>
    <s v="Q4"/>
    <x v="1"/>
  </r>
  <r>
    <s v="O106438"/>
    <x v="730"/>
    <x v="6"/>
    <x v="0"/>
    <x v="4"/>
    <x v="1"/>
    <n v="6"/>
    <n v="2260455"/>
    <d v="2026-01-27T00:00:00"/>
    <n v="1"/>
    <n v="27"/>
    <n v="2026"/>
    <x v="6"/>
    <s v="Q1"/>
    <x v="4"/>
  </r>
  <r>
    <s v="O104480"/>
    <x v="12"/>
    <x v="5"/>
    <x v="2"/>
    <x v="1"/>
    <x v="3"/>
    <n v="8"/>
    <n v="2259773"/>
    <d v="2025-09-30T00:00:00"/>
    <n v="9"/>
    <n v="30"/>
    <n v="2025"/>
    <x v="1"/>
    <s v="Q3"/>
    <x v="1"/>
  </r>
  <r>
    <s v="O111233"/>
    <x v="619"/>
    <x v="8"/>
    <x v="0"/>
    <x v="1"/>
    <x v="3"/>
    <n v="5"/>
    <n v="2258966"/>
    <d v="2026-11-14T00:00:00"/>
    <n v="11"/>
    <n v="14"/>
    <n v="2026"/>
    <x v="0"/>
    <s v="Q4"/>
    <x v="1"/>
  </r>
  <r>
    <s v="O107555"/>
    <x v="743"/>
    <x v="4"/>
    <x v="2"/>
    <x v="1"/>
    <x v="3"/>
    <n v="7"/>
    <n v="2257427"/>
    <d v="2026-04-04T00:00:00"/>
    <n v="4"/>
    <n v="4"/>
    <n v="2026"/>
    <x v="11"/>
    <s v="Q2"/>
    <x v="1"/>
  </r>
  <r>
    <s v="O104145"/>
    <x v="264"/>
    <x v="10"/>
    <x v="3"/>
    <x v="2"/>
    <x v="2"/>
    <n v="9"/>
    <n v="2254628"/>
    <d v="2025-09-09T00:00:00"/>
    <n v="9"/>
    <n v="9"/>
    <n v="2025"/>
    <x v="1"/>
    <s v="Q3"/>
    <x v="2"/>
  </r>
  <r>
    <s v="O105411"/>
    <x v="23"/>
    <x v="9"/>
    <x v="2"/>
    <x v="0"/>
    <x v="0"/>
    <n v="8"/>
    <n v="2254519"/>
    <d v="2025-11-25T00:00:00"/>
    <n v="11"/>
    <n v="25"/>
    <n v="2025"/>
    <x v="0"/>
    <s v="Q4"/>
    <x v="0"/>
  </r>
  <r>
    <s v="O108632"/>
    <x v="588"/>
    <x v="0"/>
    <x v="0"/>
    <x v="4"/>
    <x v="2"/>
    <n v="5"/>
    <n v="2254282"/>
    <d v="2026-09-06T00:00:00"/>
    <n v="9"/>
    <n v="6"/>
    <n v="2026"/>
    <x v="1"/>
    <s v="Q3"/>
    <x v="4"/>
  </r>
  <r>
    <s v="O106960"/>
    <x v="446"/>
    <x v="8"/>
    <x v="3"/>
    <x v="3"/>
    <x v="3"/>
    <n v="9"/>
    <n v="2254137"/>
    <d v="2026-02-27T00:00:00"/>
    <n v="2"/>
    <n v="27"/>
    <n v="2026"/>
    <x v="4"/>
    <s v="Q1"/>
    <x v="3"/>
  </r>
  <r>
    <s v="O105762"/>
    <x v="598"/>
    <x v="0"/>
    <x v="3"/>
    <x v="4"/>
    <x v="3"/>
    <n v="10"/>
    <n v="2253112"/>
    <d v="2025-12-17T00:00:00"/>
    <n v="12"/>
    <n v="17"/>
    <n v="2025"/>
    <x v="7"/>
    <s v="Q4"/>
    <x v="4"/>
  </r>
  <r>
    <s v="O103806"/>
    <x v="520"/>
    <x v="9"/>
    <x v="3"/>
    <x v="0"/>
    <x v="1"/>
    <n v="9"/>
    <n v="2253051"/>
    <d v="2025-08-20T00:00:00"/>
    <n v="8"/>
    <n v="20"/>
    <n v="2025"/>
    <x v="8"/>
    <s v="Q3"/>
    <x v="0"/>
  </r>
  <r>
    <s v="O100696"/>
    <x v="645"/>
    <x v="10"/>
    <x v="2"/>
    <x v="3"/>
    <x v="0"/>
    <n v="9"/>
    <n v="2252970"/>
    <d v="2025-12-02T00:00:00"/>
    <n v="12"/>
    <n v="2"/>
    <n v="2025"/>
    <x v="7"/>
    <s v="Q4"/>
    <x v="3"/>
  </r>
  <r>
    <s v="O101539"/>
    <x v="154"/>
    <x v="8"/>
    <x v="0"/>
    <x v="2"/>
    <x v="3"/>
    <n v="6"/>
    <n v="2252120"/>
    <d v="2025-04-04T00:00:00"/>
    <n v="4"/>
    <n v="4"/>
    <n v="2025"/>
    <x v="11"/>
    <s v="Q2"/>
    <x v="2"/>
  </r>
  <r>
    <s v="O106633"/>
    <x v="308"/>
    <x v="9"/>
    <x v="2"/>
    <x v="0"/>
    <x v="1"/>
    <n v="6"/>
    <n v="2248917"/>
    <d v="2026-07-02T00:00:00"/>
    <n v="7"/>
    <n v="2"/>
    <n v="2026"/>
    <x v="10"/>
    <s v="Q3"/>
    <x v="0"/>
  </r>
  <r>
    <s v="O101927"/>
    <x v="621"/>
    <x v="10"/>
    <x v="2"/>
    <x v="4"/>
    <x v="0"/>
    <n v="7"/>
    <n v="2248738"/>
    <d v="2025-04-28T00:00:00"/>
    <n v="4"/>
    <n v="28"/>
    <n v="2025"/>
    <x v="11"/>
    <s v="Q2"/>
    <x v="4"/>
  </r>
  <r>
    <s v="O109090"/>
    <x v="682"/>
    <x v="4"/>
    <x v="2"/>
    <x v="2"/>
    <x v="2"/>
    <n v="7"/>
    <n v="2248219"/>
    <d v="2026-07-07T00:00:00"/>
    <n v="7"/>
    <n v="7"/>
    <n v="2026"/>
    <x v="10"/>
    <s v="Q3"/>
    <x v="2"/>
  </r>
  <r>
    <s v="O103601"/>
    <x v="442"/>
    <x v="9"/>
    <x v="0"/>
    <x v="1"/>
    <x v="0"/>
    <n v="4"/>
    <n v="2245718"/>
    <d v="2025-07-08T00:00:00"/>
    <n v="7"/>
    <n v="8"/>
    <n v="2025"/>
    <x v="10"/>
    <s v="Q3"/>
    <x v="1"/>
  </r>
  <r>
    <s v="O101922"/>
    <x v="741"/>
    <x v="9"/>
    <x v="0"/>
    <x v="0"/>
    <x v="3"/>
    <n v="5"/>
    <n v="2245182"/>
    <d v="2025-04-27T00:00:00"/>
    <n v="4"/>
    <n v="27"/>
    <n v="2025"/>
    <x v="11"/>
    <s v="Q2"/>
    <x v="0"/>
  </r>
  <r>
    <s v="O105533"/>
    <x v="291"/>
    <x v="10"/>
    <x v="4"/>
    <x v="1"/>
    <x v="0"/>
    <n v="10"/>
    <n v="2244314"/>
    <d v="2025-03-12T00:00:00"/>
    <n v="3"/>
    <n v="12"/>
    <n v="2025"/>
    <x v="5"/>
    <s v="Q1"/>
    <x v="1"/>
  </r>
  <r>
    <s v="O106946"/>
    <x v="293"/>
    <x v="9"/>
    <x v="4"/>
    <x v="2"/>
    <x v="0"/>
    <n v="10"/>
    <n v="2244305"/>
    <d v="2026-02-26T00:00:00"/>
    <n v="2"/>
    <n v="26"/>
    <n v="2026"/>
    <x v="4"/>
    <s v="Q1"/>
    <x v="2"/>
  </r>
  <r>
    <s v="O108650"/>
    <x v="508"/>
    <x v="10"/>
    <x v="0"/>
    <x v="3"/>
    <x v="0"/>
    <n v="4"/>
    <n v="2243183"/>
    <d v="2026-10-06T00:00:00"/>
    <n v="10"/>
    <n v="6"/>
    <n v="2026"/>
    <x v="9"/>
    <s v="Q4"/>
    <x v="3"/>
  </r>
  <r>
    <s v="O108776"/>
    <x v="727"/>
    <x v="4"/>
    <x v="0"/>
    <x v="3"/>
    <x v="3"/>
    <n v="5"/>
    <n v="2242418"/>
    <d v="2026-06-18T00:00:00"/>
    <n v="6"/>
    <n v="18"/>
    <n v="2026"/>
    <x v="2"/>
    <s v="Q2"/>
    <x v="3"/>
  </r>
  <r>
    <s v="O110934"/>
    <x v="728"/>
    <x v="3"/>
    <x v="4"/>
    <x v="3"/>
    <x v="1"/>
    <n v="10"/>
    <n v="2242093"/>
    <d v="2026-10-27T00:00:00"/>
    <n v="10"/>
    <n v="27"/>
    <n v="2026"/>
    <x v="9"/>
    <s v="Q4"/>
    <x v="3"/>
  </r>
  <r>
    <s v="O109955"/>
    <x v="688"/>
    <x v="0"/>
    <x v="0"/>
    <x v="4"/>
    <x v="3"/>
    <n v="4"/>
    <n v="2241286"/>
    <d v="2026-08-28T00:00:00"/>
    <n v="8"/>
    <n v="28"/>
    <n v="2026"/>
    <x v="8"/>
    <s v="Q3"/>
    <x v="4"/>
  </r>
  <r>
    <s v="O106483"/>
    <x v="93"/>
    <x v="6"/>
    <x v="2"/>
    <x v="3"/>
    <x v="1"/>
    <n v="9"/>
    <n v="2241209"/>
    <d v="2026-01-29T00:00:00"/>
    <n v="1"/>
    <n v="29"/>
    <n v="2026"/>
    <x v="6"/>
    <s v="Q1"/>
    <x v="3"/>
  </r>
  <r>
    <s v="O100702"/>
    <x v="483"/>
    <x v="5"/>
    <x v="0"/>
    <x v="2"/>
    <x v="2"/>
    <n v="6"/>
    <n v="2239723"/>
    <d v="2025-12-02T00:00:00"/>
    <n v="12"/>
    <n v="2"/>
    <n v="2025"/>
    <x v="7"/>
    <s v="Q4"/>
    <x v="2"/>
  </r>
  <r>
    <s v="O110667"/>
    <x v="642"/>
    <x v="0"/>
    <x v="0"/>
    <x v="0"/>
    <x v="3"/>
    <n v="6"/>
    <n v="2237447"/>
    <d v="2026-11-10T00:00:00"/>
    <n v="11"/>
    <n v="10"/>
    <n v="2026"/>
    <x v="0"/>
    <s v="Q4"/>
    <x v="0"/>
  </r>
  <r>
    <s v="O100290"/>
    <x v="245"/>
    <x v="4"/>
    <x v="2"/>
    <x v="0"/>
    <x v="3"/>
    <n v="6"/>
    <n v="2236749"/>
    <d v="2025-01-18T00:00:00"/>
    <n v="1"/>
    <n v="18"/>
    <n v="2025"/>
    <x v="6"/>
    <s v="Q1"/>
    <x v="0"/>
  </r>
  <r>
    <s v="O102101"/>
    <x v="438"/>
    <x v="4"/>
    <x v="3"/>
    <x v="4"/>
    <x v="0"/>
    <n v="9"/>
    <n v="2236361"/>
    <d v="2025-08-05T00:00:00"/>
    <n v="8"/>
    <n v="5"/>
    <n v="2025"/>
    <x v="8"/>
    <s v="Q3"/>
    <x v="4"/>
  </r>
  <r>
    <s v="O101594"/>
    <x v="9"/>
    <x v="5"/>
    <x v="0"/>
    <x v="4"/>
    <x v="3"/>
    <n v="4"/>
    <n v="2236198"/>
    <d v="2025-07-04T00:00:00"/>
    <n v="7"/>
    <n v="4"/>
    <n v="2025"/>
    <x v="10"/>
    <s v="Q3"/>
    <x v="4"/>
  </r>
  <r>
    <s v="O101907"/>
    <x v="562"/>
    <x v="0"/>
    <x v="3"/>
    <x v="3"/>
    <x v="1"/>
    <n v="9"/>
    <n v="2236003"/>
    <d v="2025-04-26T00:00:00"/>
    <n v="4"/>
    <n v="26"/>
    <n v="2025"/>
    <x v="11"/>
    <s v="Q2"/>
    <x v="3"/>
  </r>
  <r>
    <s v="O100847"/>
    <x v="704"/>
    <x v="6"/>
    <x v="0"/>
    <x v="10"/>
    <x v="1"/>
    <n v="5"/>
    <n v="2233682"/>
    <d v="2025-02-21T00:00:00"/>
    <n v="2"/>
    <n v="21"/>
    <n v="2025"/>
    <x v="4"/>
    <s v="Q1"/>
    <x v="1"/>
  </r>
  <r>
    <s v="O109441"/>
    <x v="744"/>
    <x v="3"/>
    <x v="0"/>
    <x v="1"/>
    <x v="3"/>
    <n v="6"/>
    <n v="2233130"/>
    <d v="2026-07-28T00:00:00"/>
    <n v="7"/>
    <n v="28"/>
    <n v="2026"/>
    <x v="10"/>
    <m/>
    <x v="1"/>
  </r>
  <r>
    <s v="O100790"/>
    <x v="383"/>
    <x v="10"/>
    <x v="3"/>
    <x v="3"/>
    <x v="1"/>
    <n v="9"/>
    <n v="2233000"/>
    <d v="2025-02-17T00:00:00"/>
    <n v="2"/>
    <n v="17"/>
    <n v="2025"/>
    <x v="4"/>
    <s v="Q1"/>
    <x v="3"/>
  </r>
  <r>
    <s v="O102096"/>
    <x v="391"/>
    <x v="2"/>
    <x v="4"/>
    <x v="0"/>
    <x v="3"/>
    <n v="10"/>
    <n v="2232282"/>
    <d v="2025-08-05T00:00:00"/>
    <n v="8"/>
    <n v="5"/>
    <n v="2025"/>
    <x v="8"/>
    <s v="Q3"/>
    <x v="0"/>
  </r>
  <r>
    <s v="O107919"/>
    <x v="422"/>
    <x v="0"/>
    <x v="0"/>
    <x v="1"/>
    <x v="0"/>
    <n v="6"/>
    <n v="2231866"/>
    <d v="2026-04-27T00:00:00"/>
    <n v="4"/>
    <n v="27"/>
    <n v="2026"/>
    <x v="11"/>
    <m/>
    <x v="1"/>
  </r>
  <r>
    <s v="O107031"/>
    <x v="190"/>
    <x v="8"/>
    <x v="2"/>
    <x v="2"/>
    <x v="2"/>
    <n v="9"/>
    <n v="2231665"/>
    <d v="2026-04-03T00:00:00"/>
    <n v="4"/>
    <n v="3"/>
    <n v="2026"/>
    <x v="11"/>
    <s v="Q2"/>
    <x v="2"/>
  </r>
  <r>
    <s v="O106275"/>
    <x v="735"/>
    <x v="3"/>
    <x v="2"/>
    <x v="2"/>
    <x v="1"/>
    <n v="6"/>
    <n v="2228640"/>
    <d v="2026-01-17T00:00:00"/>
    <n v="1"/>
    <n v="17"/>
    <n v="2026"/>
    <x v="6"/>
    <s v="Q1"/>
    <x v="2"/>
  </r>
  <r>
    <s v="O105636"/>
    <x v="101"/>
    <x v="3"/>
    <x v="0"/>
    <x v="2"/>
    <x v="3"/>
    <n v="6"/>
    <n v="2228352"/>
    <d v="2025-09-12T00:00:00"/>
    <n v="9"/>
    <n v="12"/>
    <n v="2025"/>
    <x v="1"/>
    <s v="Q3"/>
    <x v="2"/>
  </r>
  <r>
    <s v="O109516"/>
    <x v="563"/>
    <x v="3"/>
    <x v="0"/>
    <x v="2"/>
    <x v="2"/>
    <n v="4"/>
    <n v="2227718"/>
    <d v="2026-02-08T00:00:00"/>
    <n v="2"/>
    <n v="8"/>
    <n v="2026"/>
    <x v="4"/>
    <s v="Q1"/>
    <x v="2"/>
  </r>
  <r>
    <s v="O105995"/>
    <x v="487"/>
    <x v="6"/>
    <x v="0"/>
    <x v="2"/>
    <x v="1"/>
    <n v="4"/>
    <n v="2226112"/>
    <d v="2025-12-31T00:00:00"/>
    <n v="12"/>
    <n v="31"/>
    <n v="2025"/>
    <x v="7"/>
    <s v="Q4"/>
    <x v="2"/>
  </r>
  <r>
    <s v="O101101"/>
    <x v="603"/>
    <x v="1"/>
    <x v="0"/>
    <x v="4"/>
    <x v="2"/>
    <n v="6"/>
    <n v="2226058"/>
    <d v="2025-08-03T00:00:00"/>
    <n v="8"/>
    <n v="3"/>
    <n v="2025"/>
    <x v="8"/>
    <s v="Q3"/>
    <x v="4"/>
  </r>
  <r>
    <s v="O102213"/>
    <x v="672"/>
    <x v="6"/>
    <x v="0"/>
    <x v="0"/>
    <x v="1"/>
    <n v="4"/>
    <n v="2225442"/>
    <d v="2025-05-15T00:00:00"/>
    <n v="5"/>
    <n v="15"/>
    <n v="2025"/>
    <x v="3"/>
    <s v="Q2"/>
    <x v="0"/>
  </r>
  <r>
    <s v="O107603"/>
    <x v="125"/>
    <x v="3"/>
    <x v="2"/>
    <x v="3"/>
    <x v="0"/>
    <n v="7"/>
    <n v="2225181"/>
    <d v="2026-07-04T00:00:00"/>
    <n v="7"/>
    <n v="4"/>
    <n v="2026"/>
    <x v="10"/>
    <s v="Q3"/>
    <x v="3"/>
  </r>
  <r>
    <s v="O107736"/>
    <x v="308"/>
    <x v="0"/>
    <x v="2"/>
    <x v="1"/>
    <x v="3"/>
    <n v="9"/>
    <n v="2225019"/>
    <d v="2026-04-15T00:00:00"/>
    <n v="4"/>
    <n v="15"/>
    <n v="2026"/>
    <x v="11"/>
    <s v="Q2"/>
    <x v="1"/>
  </r>
  <r>
    <s v="O106468"/>
    <x v="273"/>
    <x v="1"/>
    <x v="0"/>
    <x v="2"/>
    <x v="0"/>
    <n v="5"/>
    <n v="2224878"/>
    <d v="2026-01-28T00:00:00"/>
    <n v="1"/>
    <n v="28"/>
    <n v="2026"/>
    <x v="6"/>
    <s v="Q1"/>
    <x v="2"/>
  </r>
  <r>
    <s v="O110263"/>
    <x v="426"/>
    <x v="2"/>
    <x v="2"/>
    <x v="0"/>
    <x v="0"/>
    <n v="7"/>
    <n v="2223053"/>
    <d v="2026-09-16T00:00:00"/>
    <n v="9"/>
    <n v="16"/>
    <n v="2026"/>
    <x v="1"/>
    <s v="Q3"/>
    <x v="0"/>
  </r>
  <r>
    <s v="O106227"/>
    <x v="146"/>
    <x v="4"/>
    <x v="0"/>
    <x v="3"/>
    <x v="2"/>
    <n v="6"/>
    <n v="2222545"/>
    <d v="2026-01-14T00:00:00"/>
    <n v="1"/>
    <n v="14"/>
    <n v="2026"/>
    <x v="6"/>
    <s v="Q1"/>
    <x v="3"/>
  </r>
  <r>
    <s v="O103215"/>
    <x v="361"/>
    <x v="9"/>
    <x v="0"/>
    <x v="4"/>
    <x v="1"/>
    <n v="4"/>
    <n v="2222248"/>
    <d v="2025-07-15T00:00:00"/>
    <n v="7"/>
    <n v="15"/>
    <n v="2025"/>
    <x v="10"/>
    <s v="Q3"/>
    <x v="4"/>
  </r>
  <r>
    <s v="O107194"/>
    <x v="245"/>
    <x v="2"/>
    <x v="0"/>
    <x v="0"/>
    <x v="2"/>
    <n v="4"/>
    <n v="2221830"/>
    <d v="2026-03-14T00:00:00"/>
    <n v="3"/>
    <n v="14"/>
    <n v="2026"/>
    <x v="5"/>
    <s v="Q1"/>
    <x v="0"/>
  </r>
  <r>
    <s v="O106122"/>
    <x v="118"/>
    <x v="8"/>
    <x v="0"/>
    <x v="4"/>
    <x v="2"/>
    <n v="5"/>
    <n v="2221123"/>
    <d v="2026-07-01T00:00:00"/>
    <n v="7"/>
    <n v="1"/>
    <n v="2026"/>
    <x v="10"/>
    <s v="Q3"/>
    <x v="4"/>
  </r>
  <r>
    <s v="O104980"/>
    <x v="119"/>
    <x v="3"/>
    <x v="0"/>
    <x v="2"/>
    <x v="3"/>
    <n v="6"/>
    <n v="2220128"/>
    <d v="2025-10-30T00:00:00"/>
    <n v="10"/>
    <n v="30"/>
    <n v="2025"/>
    <x v="9"/>
    <s v="Q4"/>
    <x v="2"/>
  </r>
  <r>
    <s v="O105664"/>
    <x v="650"/>
    <x v="5"/>
    <x v="2"/>
    <x v="1"/>
    <x v="3"/>
    <n v="9"/>
    <n v="2220079"/>
    <d v="2025-11-12T00:00:00"/>
    <n v="11"/>
    <n v="12"/>
    <n v="2025"/>
    <x v="0"/>
    <s v="Q4"/>
    <x v="1"/>
  </r>
  <r>
    <s v="O108407"/>
    <x v="531"/>
    <x v="1"/>
    <x v="0"/>
    <x v="3"/>
    <x v="3"/>
    <n v="5"/>
    <n v="2219154"/>
    <d v="2026-05-26T00:00:00"/>
    <n v="5"/>
    <n v="26"/>
    <n v="2026"/>
    <x v="3"/>
    <s v="Q2"/>
    <x v="3"/>
  </r>
  <r>
    <s v="O110342"/>
    <x v="665"/>
    <x v="1"/>
    <x v="2"/>
    <x v="0"/>
    <x v="0"/>
    <n v="6"/>
    <n v="2218197"/>
    <d v="2026-09-21T00:00:00"/>
    <n v="9"/>
    <n v="21"/>
    <n v="2026"/>
    <x v="1"/>
    <s v="Q3"/>
    <x v="0"/>
  </r>
  <r>
    <s v="O105680"/>
    <x v="558"/>
    <x v="8"/>
    <x v="0"/>
    <x v="0"/>
    <x v="3"/>
    <n v="4"/>
    <n v="2217995"/>
    <d v="2025-12-12T00:00:00"/>
    <n v="12"/>
    <n v="12"/>
    <n v="2025"/>
    <x v="7"/>
    <s v="Q4"/>
    <x v="0"/>
  </r>
  <r>
    <s v="O107397"/>
    <x v="111"/>
    <x v="2"/>
    <x v="0"/>
    <x v="3"/>
    <x v="3"/>
    <n v="4"/>
    <n v="2217768"/>
    <d v="2026-03-26T00:00:00"/>
    <n v="3"/>
    <n v="26"/>
    <n v="2026"/>
    <x v="5"/>
    <s v="Q1"/>
    <x v="3"/>
  </r>
  <r>
    <s v="O109280"/>
    <x v="676"/>
    <x v="10"/>
    <x v="0"/>
    <x v="2"/>
    <x v="3"/>
    <n v="5"/>
    <n v="2217295"/>
    <d v="2026-07-18T00:00:00"/>
    <n v="7"/>
    <n v="18"/>
    <n v="2026"/>
    <x v="10"/>
    <s v="Q3"/>
    <x v="2"/>
  </r>
  <r>
    <s v="O109796"/>
    <x v="646"/>
    <x v="4"/>
    <x v="2"/>
    <x v="4"/>
    <x v="1"/>
    <n v="7"/>
    <n v="2216378"/>
    <d v="2026-08-19T00:00:00"/>
    <n v="8"/>
    <n v="19"/>
    <n v="2026"/>
    <x v="8"/>
    <s v="Q3"/>
    <x v="4"/>
  </r>
  <r>
    <s v="O108453"/>
    <x v="300"/>
    <x v="2"/>
    <x v="4"/>
    <x v="0"/>
    <x v="3"/>
    <n v="10"/>
    <n v="2215673"/>
    <d v="2026-05-29T00:00:00"/>
    <n v="5"/>
    <n v="29"/>
    <n v="2026"/>
    <x v="3"/>
    <s v="Q2"/>
    <x v="0"/>
  </r>
  <r>
    <s v="O110210"/>
    <x v="590"/>
    <x v="3"/>
    <x v="2"/>
    <x v="1"/>
    <x v="0"/>
    <n v="9"/>
    <n v="2215625"/>
    <d v="2026-09-13T00:00:00"/>
    <n v="9"/>
    <n v="13"/>
    <n v="2026"/>
    <x v="1"/>
    <s v="Q3"/>
    <x v="1"/>
  </r>
  <r>
    <s v="O109266"/>
    <x v="113"/>
    <x v="2"/>
    <x v="0"/>
    <x v="4"/>
    <x v="0"/>
    <n v="6"/>
    <n v="2215564"/>
    <d v="2026-07-17T00:00:00"/>
    <n v="7"/>
    <n v="17"/>
    <n v="2026"/>
    <x v="10"/>
    <s v="Q3"/>
    <x v="4"/>
  </r>
  <r>
    <s v="O103930"/>
    <x v="745"/>
    <x v="8"/>
    <x v="0"/>
    <x v="2"/>
    <x v="0"/>
    <n v="4"/>
    <n v="2215417"/>
    <d v="2025-08-27T00:00:00"/>
    <n v="8"/>
    <n v="27"/>
    <n v="2025"/>
    <x v="8"/>
    <s v="Q3"/>
    <x v="2"/>
  </r>
  <r>
    <s v="O104722"/>
    <x v="523"/>
    <x v="5"/>
    <x v="0"/>
    <x v="1"/>
    <x v="3"/>
    <n v="5"/>
    <n v="2214958"/>
    <d v="2025-10-14T00:00:00"/>
    <n v="10"/>
    <n v="14"/>
    <n v="2025"/>
    <x v="9"/>
    <s v="Q4"/>
    <x v="1"/>
  </r>
  <r>
    <s v="O108254"/>
    <x v="28"/>
    <x v="9"/>
    <x v="2"/>
    <x v="1"/>
    <x v="1"/>
    <n v="8"/>
    <n v="2214374"/>
    <d v="2026-05-17T00:00:00"/>
    <n v="5"/>
    <n v="17"/>
    <n v="2026"/>
    <x v="3"/>
    <s v="Q2"/>
    <x v="1"/>
  </r>
  <r>
    <s v="O105703"/>
    <x v="614"/>
    <x v="0"/>
    <x v="2"/>
    <x v="3"/>
    <x v="3"/>
    <n v="9"/>
    <n v="2214218"/>
    <d v="2025-12-13T00:00:00"/>
    <n v="12"/>
    <n v="13"/>
    <n v="2025"/>
    <x v="7"/>
    <s v="Q4"/>
    <x v="3"/>
  </r>
  <r>
    <s v="O105139"/>
    <x v="667"/>
    <x v="4"/>
    <x v="2"/>
    <x v="2"/>
    <x v="2"/>
    <n v="8"/>
    <n v="2212772"/>
    <d v="2025-09-11T00:00:00"/>
    <n v="9"/>
    <n v="11"/>
    <n v="2025"/>
    <x v="1"/>
    <s v="Q3"/>
    <x v="2"/>
  </r>
  <r>
    <s v="O110741"/>
    <x v="741"/>
    <x v="4"/>
    <x v="0"/>
    <x v="2"/>
    <x v="2"/>
    <n v="6"/>
    <n v="2212293"/>
    <d v="2026-10-15T00:00:00"/>
    <n v="10"/>
    <n v="15"/>
    <n v="2026"/>
    <x v="9"/>
    <s v="Q4"/>
    <x v="2"/>
  </r>
  <r>
    <s v="O108649"/>
    <x v="260"/>
    <x v="5"/>
    <x v="4"/>
    <x v="4"/>
    <x v="2"/>
    <n v="10"/>
    <n v="2212211"/>
    <d v="2026-10-06T00:00:00"/>
    <n v="10"/>
    <n v="6"/>
    <n v="2026"/>
    <x v="9"/>
    <s v="Q4"/>
    <x v="4"/>
  </r>
  <r>
    <s v="O102421"/>
    <x v="86"/>
    <x v="2"/>
    <x v="0"/>
    <x v="4"/>
    <x v="0"/>
    <n v="4"/>
    <n v="2211565"/>
    <d v="2025-05-28T00:00:00"/>
    <n v="5"/>
    <n v="28"/>
    <n v="2025"/>
    <x v="3"/>
    <s v="Q2"/>
    <x v="4"/>
  </r>
  <r>
    <s v="O106226"/>
    <x v="69"/>
    <x v="0"/>
    <x v="2"/>
    <x v="4"/>
    <x v="3"/>
    <n v="7"/>
    <n v="2211084"/>
    <d v="2026-01-14T00:00:00"/>
    <n v="1"/>
    <n v="14"/>
    <n v="2026"/>
    <x v="6"/>
    <s v="Q1"/>
    <x v="4"/>
  </r>
  <r>
    <s v="O105622"/>
    <x v="694"/>
    <x v="9"/>
    <x v="3"/>
    <x v="3"/>
    <x v="3"/>
    <n v="9"/>
    <n v="2209496"/>
    <d v="2025-08-12T00:00:00"/>
    <n v="8"/>
    <n v="12"/>
    <n v="2025"/>
    <x v="8"/>
    <s v="Q3"/>
    <x v="3"/>
  </r>
  <r>
    <s v="O111368"/>
    <x v="698"/>
    <x v="2"/>
    <x v="3"/>
    <x v="3"/>
    <x v="2"/>
    <n v="10"/>
    <n v="2208924"/>
    <d v="2026-11-22T00:00:00"/>
    <n v="11"/>
    <n v="22"/>
    <n v="2026"/>
    <x v="0"/>
    <s v="Q4"/>
    <x v="3"/>
  </r>
  <r>
    <s v="O105553"/>
    <x v="730"/>
    <x v="6"/>
    <x v="3"/>
    <x v="1"/>
    <x v="0"/>
    <n v="10"/>
    <n v="2208855"/>
    <d v="2025-04-12T00:00:00"/>
    <n v="4"/>
    <n v="12"/>
    <n v="2025"/>
    <x v="11"/>
    <s v="Q2"/>
    <x v="1"/>
  </r>
  <r>
    <s v="O110743"/>
    <x v="638"/>
    <x v="6"/>
    <x v="0"/>
    <x v="0"/>
    <x v="0"/>
    <n v="4"/>
    <n v="2208045"/>
    <d v="2026-10-15T00:00:00"/>
    <n v="10"/>
    <n v="15"/>
    <n v="2026"/>
    <x v="9"/>
    <s v="Q4"/>
    <x v="0"/>
  </r>
  <r>
    <s v="O109529"/>
    <x v="383"/>
    <x v="8"/>
    <x v="3"/>
    <x v="1"/>
    <x v="3"/>
    <n v="9"/>
    <n v="2207209"/>
    <d v="2026-02-08T00:00:00"/>
    <n v="2"/>
    <n v="8"/>
    <n v="2026"/>
    <x v="4"/>
    <s v="Q1"/>
    <x v="1"/>
  </r>
  <r>
    <s v="O105928"/>
    <x v="472"/>
    <x v="5"/>
    <x v="2"/>
    <x v="2"/>
    <x v="3"/>
    <n v="8"/>
    <n v="2205744"/>
    <d v="2025-12-27T00:00:00"/>
    <n v="12"/>
    <n v="27"/>
    <n v="2025"/>
    <x v="7"/>
    <s v="Q4"/>
    <x v="2"/>
  </r>
  <r>
    <s v="O109046"/>
    <x v="324"/>
    <x v="1"/>
    <x v="0"/>
    <x v="0"/>
    <x v="3"/>
    <n v="4"/>
    <n v="2205626"/>
    <d v="2026-04-07T00:00:00"/>
    <n v="4"/>
    <n v="7"/>
    <n v="2026"/>
    <x v="11"/>
    <m/>
    <x v="0"/>
  </r>
  <r>
    <s v="O101491"/>
    <x v="393"/>
    <x v="9"/>
    <x v="0"/>
    <x v="2"/>
    <x v="3"/>
    <n v="6"/>
    <n v="2205303"/>
    <d v="2025-04-01T00:00:00"/>
    <n v="4"/>
    <n v="1"/>
    <n v="2025"/>
    <x v="11"/>
    <s v="Q2"/>
    <x v="2"/>
  </r>
  <r>
    <s v="O107186"/>
    <x v="444"/>
    <x v="9"/>
    <x v="3"/>
    <x v="2"/>
    <x v="3"/>
    <n v="9"/>
    <n v="2204607"/>
    <d v="2026-03-13T00:00:00"/>
    <n v="3"/>
    <n v="13"/>
    <n v="2026"/>
    <x v="5"/>
    <s v="Q1"/>
    <x v="2"/>
  </r>
  <r>
    <s v="O104297"/>
    <x v="369"/>
    <x v="1"/>
    <x v="0"/>
    <x v="0"/>
    <x v="2"/>
    <n v="4"/>
    <n v="2204170"/>
    <d v="2025-09-19T00:00:00"/>
    <n v="9"/>
    <n v="19"/>
    <n v="2025"/>
    <x v="1"/>
    <m/>
    <x v="0"/>
  </r>
  <r>
    <s v="O107812"/>
    <x v="228"/>
    <x v="8"/>
    <x v="0"/>
    <x v="0"/>
    <x v="3"/>
    <n v="6"/>
    <n v="2203183"/>
    <d v="2026-04-20T00:00:00"/>
    <n v="4"/>
    <n v="20"/>
    <n v="2026"/>
    <x v="11"/>
    <s v="Q2"/>
    <x v="0"/>
  </r>
  <r>
    <s v="O109084"/>
    <x v="176"/>
    <x v="10"/>
    <x v="4"/>
    <x v="4"/>
    <x v="1"/>
    <n v="10"/>
    <n v="2202621"/>
    <d v="2026-06-07T00:00:00"/>
    <n v="6"/>
    <n v="7"/>
    <n v="2026"/>
    <x v="2"/>
    <s v="Q2"/>
    <x v="4"/>
  </r>
  <r>
    <s v="O108982"/>
    <x v="645"/>
    <x v="8"/>
    <x v="2"/>
    <x v="1"/>
    <x v="4"/>
    <n v="8"/>
    <n v="2201730"/>
    <d v="2026-06-30T00:00:00"/>
    <n v="6"/>
    <n v="30"/>
    <n v="2026"/>
    <x v="2"/>
    <s v="Q2"/>
    <x v="1"/>
  </r>
  <r>
    <s v="O103297"/>
    <x v="661"/>
    <x v="0"/>
    <x v="2"/>
    <x v="3"/>
    <x v="3"/>
    <n v="8"/>
    <n v="2201377"/>
    <d v="2025-07-20T00:00:00"/>
    <n v="7"/>
    <n v="20"/>
    <n v="2025"/>
    <x v="10"/>
    <s v="Q3"/>
    <x v="3"/>
  </r>
  <r>
    <s v="O110193"/>
    <x v="520"/>
    <x v="8"/>
    <x v="0"/>
    <x v="2"/>
    <x v="2"/>
    <n v="6"/>
    <n v="2201156"/>
    <d v="2026-12-09T00:00:00"/>
    <n v="12"/>
    <n v="9"/>
    <n v="2026"/>
    <x v="7"/>
    <s v="Q4"/>
    <x v="2"/>
  </r>
  <r>
    <s v="O107326"/>
    <x v="695"/>
    <x v="6"/>
    <x v="0"/>
    <x v="4"/>
    <x v="2"/>
    <n v="6"/>
    <n v="2201139"/>
    <d v="2026-03-22T00:00:00"/>
    <n v="3"/>
    <n v="22"/>
    <n v="2026"/>
    <x v="5"/>
    <s v="Q1"/>
    <x v="4"/>
  </r>
  <r>
    <s v="O105635"/>
    <x v="248"/>
    <x v="2"/>
    <x v="0"/>
    <x v="3"/>
    <x v="2"/>
    <n v="4"/>
    <n v="2200591"/>
    <d v="2025-09-12T00:00:00"/>
    <n v="9"/>
    <n v="12"/>
    <n v="2025"/>
    <x v="1"/>
    <s v="Q3"/>
    <x v="3"/>
  </r>
  <r>
    <s v="O102815"/>
    <x v="642"/>
    <x v="3"/>
    <x v="2"/>
    <x v="2"/>
    <x v="1"/>
    <n v="9"/>
    <n v="2199068"/>
    <d v="2025-06-20T00:00:00"/>
    <n v="6"/>
    <n v="20"/>
    <n v="2025"/>
    <x v="2"/>
    <s v="Q2"/>
    <x v="2"/>
  </r>
  <r>
    <s v="O102709"/>
    <x v="534"/>
    <x v="5"/>
    <x v="0"/>
    <x v="3"/>
    <x v="2"/>
    <n v="6"/>
    <n v="2198957"/>
    <d v="2025-06-14T00:00:00"/>
    <n v="6"/>
    <n v="14"/>
    <n v="2025"/>
    <x v="2"/>
    <s v="Q2"/>
    <x v="3"/>
  </r>
  <r>
    <s v="O107098"/>
    <x v="89"/>
    <x v="6"/>
    <x v="0"/>
    <x v="4"/>
    <x v="2"/>
    <n v="4"/>
    <n v="2198864"/>
    <d v="2026-08-03T00:00:00"/>
    <n v="8"/>
    <n v="3"/>
    <n v="2026"/>
    <x v="8"/>
    <s v="Q3"/>
    <x v="4"/>
  </r>
  <r>
    <s v="O111195"/>
    <x v="746"/>
    <x v="5"/>
    <x v="0"/>
    <x v="2"/>
    <x v="0"/>
    <n v="4"/>
    <n v="2198533"/>
    <d v="2026-12-11T00:00:00"/>
    <n v="12"/>
    <n v="11"/>
    <n v="2026"/>
    <x v="7"/>
    <s v="Q4"/>
    <x v="2"/>
  </r>
  <r>
    <s v="O111302"/>
    <x v="269"/>
    <x v="6"/>
    <x v="0"/>
    <x v="4"/>
    <x v="3"/>
    <n v="5"/>
    <n v="2197973"/>
    <d v="2026-11-18T00:00:00"/>
    <n v="11"/>
    <n v="18"/>
    <n v="2026"/>
    <x v="0"/>
    <s v="Q4"/>
    <x v="4"/>
  </r>
  <r>
    <s v="O107179"/>
    <x v="197"/>
    <x v="1"/>
    <x v="0"/>
    <x v="1"/>
    <x v="0"/>
    <n v="5"/>
    <n v="2197190"/>
    <d v="2026-03-13T00:00:00"/>
    <n v="3"/>
    <n v="13"/>
    <n v="2026"/>
    <x v="5"/>
    <s v="Q1"/>
    <x v="1"/>
  </r>
  <r>
    <s v="O104633"/>
    <x v="404"/>
    <x v="9"/>
    <x v="4"/>
    <x v="1"/>
    <x v="1"/>
    <n v="10"/>
    <n v="2196628"/>
    <d v="2025-09-10T00:00:00"/>
    <n v="9"/>
    <n v="10"/>
    <n v="2025"/>
    <x v="1"/>
    <s v="Q3"/>
    <x v="1"/>
  </r>
  <r>
    <s v="O104678"/>
    <x v="319"/>
    <x v="0"/>
    <x v="3"/>
    <x v="1"/>
    <x v="2"/>
    <n v="9"/>
    <n v="2196331"/>
    <d v="2025-12-10T00:00:00"/>
    <n v="12"/>
    <n v="10"/>
    <n v="2025"/>
    <x v="7"/>
    <s v="Q4"/>
    <x v="1"/>
  </r>
  <r>
    <s v="O111941"/>
    <x v="228"/>
    <x v="4"/>
    <x v="0"/>
    <x v="3"/>
    <x v="2"/>
    <n v="5"/>
    <n v="2196153"/>
    <d v="2026-12-27T00:00:00"/>
    <n v="12"/>
    <n v="27"/>
    <n v="2026"/>
    <x v="7"/>
    <s v="Q4"/>
    <x v="3"/>
  </r>
  <r>
    <s v="O108184"/>
    <x v="747"/>
    <x v="4"/>
    <x v="3"/>
    <x v="0"/>
    <x v="3"/>
    <n v="10"/>
    <n v="2195982"/>
    <d v="2026-05-13T00:00:00"/>
    <n v="5"/>
    <n v="13"/>
    <n v="2026"/>
    <x v="3"/>
    <m/>
    <x v="0"/>
  </r>
  <r>
    <s v="O107049"/>
    <x v="733"/>
    <x v="3"/>
    <x v="0"/>
    <x v="1"/>
    <x v="0"/>
    <n v="4"/>
    <n v="2195540"/>
    <d v="2026-05-03T00:00:00"/>
    <n v="5"/>
    <n v="3"/>
    <n v="2026"/>
    <x v="3"/>
    <s v="Q2"/>
    <x v="1"/>
  </r>
  <r>
    <s v="O110003"/>
    <x v="114"/>
    <x v="9"/>
    <x v="0"/>
    <x v="2"/>
    <x v="0"/>
    <n v="5"/>
    <n v="2195291"/>
    <d v="2026-08-31T00:00:00"/>
    <n v="8"/>
    <n v="31"/>
    <n v="2026"/>
    <x v="8"/>
    <s v="Q3"/>
    <x v="2"/>
  </r>
  <r>
    <s v="O102293"/>
    <x v="514"/>
    <x v="4"/>
    <x v="0"/>
    <x v="4"/>
    <x v="1"/>
    <n v="6"/>
    <n v="2194019"/>
    <d v="2025-05-20T00:00:00"/>
    <n v="5"/>
    <n v="20"/>
    <n v="2025"/>
    <x v="3"/>
    <m/>
    <x v="4"/>
  </r>
  <r>
    <s v="O102082"/>
    <x v="290"/>
    <x v="2"/>
    <x v="0"/>
    <x v="0"/>
    <x v="3"/>
    <n v="6"/>
    <n v="2193877"/>
    <d v="2025-07-05T00:00:00"/>
    <n v="7"/>
    <n v="5"/>
    <n v="2025"/>
    <x v="10"/>
    <s v="Q3"/>
    <x v="0"/>
  </r>
  <r>
    <s v="O110246"/>
    <x v="671"/>
    <x v="0"/>
    <x v="3"/>
    <x v="4"/>
    <x v="2"/>
    <n v="10"/>
    <n v="2192793"/>
    <d v="2026-09-15T00:00:00"/>
    <n v="9"/>
    <n v="15"/>
    <n v="2026"/>
    <x v="1"/>
    <s v="Q3"/>
    <x v="4"/>
  </r>
  <r>
    <s v="O107963"/>
    <x v="69"/>
    <x v="9"/>
    <x v="0"/>
    <x v="2"/>
    <x v="1"/>
    <n v="4"/>
    <n v="2192341"/>
    <d v="2026-04-29T00:00:00"/>
    <n v="4"/>
    <n v="29"/>
    <n v="2026"/>
    <x v="11"/>
    <s v="Q2"/>
    <x v="2"/>
  </r>
  <r>
    <s v="O110431"/>
    <x v="171"/>
    <x v="8"/>
    <x v="0"/>
    <x v="1"/>
    <x v="0"/>
    <n v="6"/>
    <n v="2190845"/>
    <d v="2026-09-26T00:00:00"/>
    <n v="9"/>
    <n v="26"/>
    <n v="2026"/>
    <x v="1"/>
    <s v="Q3"/>
    <x v="1"/>
  </r>
  <r>
    <s v="O106549"/>
    <x v="71"/>
    <x v="8"/>
    <x v="0"/>
    <x v="4"/>
    <x v="2"/>
    <n v="4"/>
    <n v="2190464"/>
    <d v="2026-02-02T00:00:00"/>
    <n v="2"/>
    <n v="2"/>
    <n v="2026"/>
    <x v="4"/>
    <s v="Q1"/>
    <x v="4"/>
  </r>
  <r>
    <s v="O104564"/>
    <x v="465"/>
    <x v="3"/>
    <x v="0"/>
    <x v="2"/>
    <x v="3"/>
    <n v="5"/>
    <n v="2190397"/>
    <d v="2025-05-10T00:00:00"/>
    <n v="5"/>
    <n v="10"/>
    <n v="2025"/>
    <x v="3"/>
    <s v="Q2"/>
    <x v="2"/>
  </r>
  <r>
    <s v="O105338"/>
    <x v="300"/>
    <x v="3"/>
    <x v="2"/>
    <x v="3"/>
    <x v="3"/>
    <n v="9"/>
    <n v="2189861"/>
    <d v="2025-11-21T00:00:00"/>
    <n v="11"/>
    <n v="21"/>
    <n v="2025"/>
    <x v="0"/>
    <s v="Q4"/>
    <x v="3"/>
  </r>
  <r>
    <s v="O105499"/>
    <x v="741"/>
    <x v="4"/>
    <x v="2"/>
    <x v="0"/>
    <x v="1"/>
    <n v="8"/>
    <n v="2187700"/>
    <d v="2025-01-12T00:00:00"/>
    <n v="1"/>
    <n v="12"/>
    <n v="2025"/>
    <x v="6"/>
    <s v="Q1"/>
    <x v="0"/>
  </r>
  <r>
    <s v="O109580"/>
    <x v="308"/>
    <x v="1"/>
    <x v="0"/>
    <x v="0"/>
    <x v="1"/>
    <n v="4"/>
    <n v="2187350"/>
    <d v="2026-05-08T00:00:00"/>
    <n v="5"/>
    <n v="8"/>
    <n v="2026"/>
    <x v="3"/>
    <s v="Q2"/>
    <x v="0"/>
  </r>
  <r>
    <s v="O109126"/>
    <x v="498"/>
    <x v="9"/>
    <x v="3"/>
    <x v="2"/>
    <x v="3"/>
    <n v="9"/>
    <n v="2187097"/>
    <d v="2026-09-07T00:00:00"/>
    <n v="9"/>
    <n v="7"/>
    <n v="2026"/>
    <x v="1"/>
    <s v="Q3"/>
    <x v="2"/>
  </r>
  <r>
    <s v="O111521"/>
    <x v="748"/>
    <x v="9"/>
    <x v="2"/>
    <x v="0"/>
    <x v="1"/>
    <n v="9"/>
    <n v="2185827"/>
    <d v="2026-01-12T00:00:00"/>
    <n v="1"/>
    <n v="12"/>
    <n v="2026"/>
    <x v="6"/>
    <s v="Q1"/>
    <x v="0"/>
  </r>
  <r>
    <s v="O105426"/>
    <x v="378"/>
    <x v="2"/>
    <x v="2"/>
    <x v="1"/>
    <x v="1"/>
    <n v="6"/>
    <n v="2185720"/>
    <d v="2025-11-26T00:00:00"/>
    <n v="11"/>
    <n v="26"/>
    <n v="2025"/>
    <x v="0"/>
    <m/>
    <x v="1"/>
  </r>
  <r>
    <s v="O111556"/>
    <x v="482"/>
    <x v="6"/>
    <x v="2"/>
    <x v="1"/>
    <x v="0"/>
    <n v="9"/>
    <n v="2185177"/>
    <d v="2026-04-12T00:00:00"/>
    <n v="4"/>
    <n v="12"/>
    <n v="2026"/>
    <x v="11"/>
    <s v="Q2"/>
    <x v="1"/>
  </r>
  <r>
    <s v="O103213"/>
    <x v="570"/>
    <x v="6"/>
    <x v="0"/>
    <x v="1"/>
    <x v="2"/>
    <n v="6"/>
    <n v="2184602"/>
    <d v="2025-07-15T00:00:00"/>
    <n v="7"/>
    <n v="15"/>
    <n v="2025"/>
    <x v="10"/>
    <s v="Q3"/>
    <x v="1"/>
  </r>
  <r>
    <s v="O109040"/>
    <x v="540"/>
    <x v="3"/>
    <x v="0"/>
    <x v="0"/>
    <x v="3"/>
    <n v="4"/>
    <n v="2184136"/>
    <d v="2026-04-07T00:00:00"/>
    <n v="4"/>
    <n v="7"/>
    <n v="2026"/>
    <x v="11"/>
    <s v="Q2"/>
    <x v="0"/>
  </r>
  <r>
    <s v="O104394"/>
    <x v="465"/>
    <x v="0"/>
    <x v="0"/>
    <x v="2"/>
    <x v="3"/>
    <n v="6"/>
    <n v="2183900"/>
    <d v="2025-09-24T00:00:00"/>
    <n v="9"/>
    <n v="24"/>
    <n v="2025"/>
    <x v="1"/>
    <s v="Q3"/>
    <x v="2"/>
  </r>
  <r>
    <s v="O103400"/>
    <x v="551"/>
    <x v="9"/>
    <x v="2"/>
    <x v="2"/>
    <x v="2"/>
    <n v="6"/>
    <n v="2183844"/>
    <d v="2025-07-26T00:00:00"/>
    <n v="7"/>
    <n v="26"/>
    <n v="2025"/>
    <x v="10"/>
    <s v="Q3"/>
    <x v="2"/>
  </r>
  <r>
    <s v="O110199"/>
    <x v="107"/>
    <x v="6"/>
    <x v="0"/>
    <x v="1"/>
    <x v="0"/>
    <n v="5"/>
    <n v="2183688"/>
    <d v="2026-12-09T00:00:00"/>
    <n v="12"/>
    <n v="9"/>
    <n v="2026"/>
    <x v="7"/>
    <s v="Q4"/>
    <x v="1"/>
  </r>
  <r>
    <s v="O106585"/>
    <x v="433"/>
    <x v="3"/>
    <x v="2"/>
    <x v="2"/>
    <x v="1"/>
    <n v="8"/>
    <n v="2183541"/>
    <d v="2026-05-02T00:00:00"/>
    <n v="5"/>
    <n v="2"/>
    <n v="2026"/>
    <x v="3"/>
    <s v="Q2"/>
    <x v="2"/>
  </r>
  <r>
    <s v="O108890"/>
    <x v="219"/>
    <x v="8"/>
    <x v="0"/>
    <x v="1"/>
    <x v="0"/>
    <n v="6"/>
    <n v="2182980"/>
    <d v="2026-06-25T00:00:00"/>
    <n v="6"/>
    <n v="25"/>
    <n v="2026"/>
    <x v="2"/>
    <s v="Q2"/>
    <x v="1"/>
  </r>
  <r>
    <s v="O106246"/>
    <x v="100"/>
    <x v="4"/>
    <x v="2"/>
    <x v="1"/>
    <x v="0"/>
    <n v="6"/>
    <n v="2180480"/>
    <d v="2026-01-15T00:00:00"/>
    <n v="1"/>
    <n v="15"/>
    <n v="2026"/>
    <x v="6"/>
    <s v="Q1"/>
    <x v="1"/>
  </r>
  <r>
    <s v="O109548"/>
    <x v="84"/>
    <x v="8"/>
    <x v="0"/>
    <x v="1"/>
    <x v="3"/>
    <n v="6"/>
    <n v="2179352"/>
    <d v="2026-04-08T00:00:00"/>
    <n v="4"/>
    <n v="8"/>
    <n v="2026"/>
    <x v="11"/>
    <s v="Q2"/>
    <x v="1"/>
  </r>
  <r>
    <s v="O103926"/>
    <x v="129"/>
    <x v="4"/>
    <x v="0"/>
    <x v="1"/>
    <x v="1"/>
    <n v="4"/>
    <n v="2179167"/>
    <d v="2025-08-27T00:00:00"/>
    <n v="8"/>
    <n v="27"/>
    <n v="2025"/>
    <x v="8"/>
    <s v="Q3"/>
    <x v="1"/>
  </r>
  <r>
    <s v="O108261"/>
    <x v="324"/>
    <x v="9"/>
    <x v="0"/>
    <x v="3"/>
    <x v="0"/>
    <n v="5"/>
    <n v="2178936"/>
    <d v="2026-05-17T00:00:00"/>
    <n v="5"/>
    <n v="17"/>
    <n v="2026"/>
    <x v="3"/>
    <m/>
    <x v="3"/>
  </r>
  <r>
    <s v="O110733"/>
    <x v="27"/>
    <x v="0"/>
    <x v="4"/>
    <x v="0"/>
    <x v="3"/>
    <n v="10"/>
    <n v="2178762"/>
    <d v="2026-10-15T00:00:00"/>
    <n v="10"/>
    <n v="15"/>
    <n v="2026"/>
    <x v="9"/>
    <s v="Q4"/>
    <x v="0"/>
  </r>
  <r>
    <s v="O103672"/>
    <x v="311"/>
    <x v="10"/>
    <x v="0"/>
    <x v="2"/>
    <x v="1"/>
    <n v="5"/>
    <n v="2178163"/>
    <d v="2025-12-08T00:00:00"/>
    <n v="12"/>
    <n v="8"/>
    <n v="2025"/>
    <x v="7"/>
    <s v="Q4"/>
    <x v="2"/>
  </r>
  <r>
    <s v="O108817"/>
    <x v="171"/>
    <x v="1"/>
    <x v="2"/>
    <x v="4"/>
    <x v="0"/>
    <n v="7"/>
    <n v="2177918"/>
    <d v="2026-06-20T00:00:00"/>
    <n v="6"/>
    <n v="20"/>
    <n v="2026"/>
    <x v="2"/>
    <s v="Q2"/>
    <x v="4"/>
  </r>
  <r>
    <s v="O100851"/>
    <x v="749"/>
    <x v="2"/>
    <x v="0"/>
    <x v="4"/>
    <x v="3"/>
    <n v="4"/>
    <n v="2177513"/>
    <d v="2025-02-21T00:00:00"/>
    <n v="2"/>
    <n v="21"/>
    <n v="2025"/>
    <x v="4"/>
    <m/>
    <x v="4"/>
  </r>
  <r>
    <s v="O111183"/>
    <x v="716"/>
    <x v="4"/>
    <x v="4"/>
    <x v="1"/>
    <x v="0"/>
    <n v="10"/>
    <n v="2177098"/>
    <d v="2026-11-11T00:00:00"/>
    <n v="11"/>
    <n v="11"/>
    <n v="2026"/>
    <x v="0"/>
    <s v="Q4"/>
    <x v="1"/>
  </r>
  <r>
    <s v="O105964"/>
    <x v="672"/>
    <x v="9"/>
    <x v="4"/>
    <x v="1"/>
    <x v="2"/>
    <n v="10"/>
    <n v="2175317"/>
    <d v="2025-12-29T00:00:00"/>
    <n v="12"/>
    <n v="29"/>
    <n v="2025"/>
    <x v="7"/>
    <s v="Q4"/>
    <x v="1"/>
  </r>
  <r>
    <s v="O100884"/>
    <x v="732"/>
    <x v="1"/>
    <x v="0"/>
    <x v="1"/>
    <x v="3"/>
    <n v="6"/>
    <n v="2174896"/>
    <d v="2025-02-23T00:00:00"/>
    <n v="2"/>
    <n v="23"/>
    <n v="2025"/>
    <x v="4"/>
    <s v="Q1"/>
    <x v="1"/>
  </r>
  <r>
    <s v="O110875"/>
    <x v="610"/>
    <x v="4"/>
    <x v="3"/>
    <x v="2"/>
    <x v="3"/>
    <n v="10"/>
    <n v="2174636"/>
    <d v="2026-10-23T00:00:00"/>
    <n v="10"/>
    <n v="23"/>
    <n v="2026"/>
    <x v="9"/>
    <s v="Q4"/>
    <x v="2"/>
  </r>
  <r>
    <s v="O110311"/>
    <x v="128"/>
    <x v="8"/>
    <x v="3"/>
    <x v="1"/>
    <x v="3"/>
    <n v="9"/>
    <n v="2173048"/>
    <d v="2026-09-19T00:00:00"/>
    <n v="9"/>
    <n v="19"/>
    <n v="2026"/>
    <x v="1"/>
    <s v="Q3"/>
    <x v="1"/>
  </r>
  <r>
    <s v="O102307"/>
    <x v="466"/>
    <x v="3"/>
    <x v="0"/>
    <x v="0"/>
    <x v="2"/>
    <n v="4"/>
    <n v="2172979"/>
    <d v="2025-05-21T00:00:00"/>
    <n v="5"/>
    <n v="21"/>
    <n v="2025"/>
    <x v="3"/>
    <s v="Q2"/>
    <x v="0"/>
  </r>
  <r>
    <s v="O110314"/>
    <x v="454"/>
    <x v="5"/>
    <x v="0"/>
    <x v="0"/>
    <x v="2"/>
    <n v="5"/>
    <n v="2172676"/>
    <d v="2026-09-19T00:00:00"/>
    <n v="9"/>
    <n v="19"/>
    <n v="2026"/>
    <x v="1"/>
    <s v="Q3"/>
    <x v="0"/>
  </r>
  <r>
    <s v="O103365"/>
    <x v="306"/>
    <x v="2"/>
    <x v="3"/>
    <x v="0"/>
    <x v="1"/>
    <n v="9"/>
    <n v="2171897"/>
    <d v="2025-07-24T00:00:00"/>
    <n v="7"/>
    <n v="24"/>
    <n v="2025"/>
    <x v="10"/>
    <s v="Q3"/>
    <x v="0"/>
  </r>
  <r>
    <s v="O102939"/>
    <x v="733"/>
    <x v="8"/>
    <x v="3"/>
    <x v="3"/>
    <x v="3"/>
    <n v="8"/>
    <n v="2171851"/>
    <d v="2025-06-28T00:00:00"/>
    <n v="6"/>
    <n v="28"/>
    <n v="2025"/>
    <x v="2"/>
    <s v="Q2"/>
    <x v="3"/>
  </r>
  <r>
    <s v="O100604"/>
    <x v="286"/>
    <x v="2"/>
    <x v="0"/>
    <x v="2"/>
    <x v="3"/>
    <n v="4"/>
    <n v="2171382"/>
    <d v="2025-06-02T00:00:00"/>
    <n v="6"/>
    <n v="2"/>
    <n v="2025"/>
    <x v="2"/>
    <s v="Q2"/>
    <x v="2"/>
  </r>
  <r>
    <s v="O105578"/>
    <x v="219"/>
    <x v="6"/>
    <x v="3"/>
    <x v="4"/>
    <x v="3"/>
    <n v="8"/>
    <n v="2170750"/>
    <d v="2025-05-12T00:00:00"/>
    <n v="5"/>
    <n v="12"/>
    <n v="2025"/>
    <x v="3"/>
    <s v="Q2"/>
    <x v="4"/>
  </r>
  <r>
    <s v="O102755"/>
    <x v="269"/>
    <x v="0"/>
    <x v="3"/>
    <x v="4"/>
    <x v="1"/>
    <n v="8"/>
    <n v="2170676"/>
    <d v="2025-06-17T00:00:00"/>
    <n v="6"/>
    <n v="17"/>
    <n v="2025"/>
    <x v="2"/>
    <s v="Q2"/>
    <x v="4"/>
  </r>
  <r>
    <s v="O102819"/>
    <x v="637"/>
    <x v="6"/>
    <x v="0"/>
    <x v="3"/>
    <x v="0"/>
    <n v="4"/>
    <n v="2169309"/>
    <d v="2025-06-21T00:00:00"/>
    <n v="6"/>
    <n v="21"/>
    <n v="2025"/>
    <x v="2"/>
    <s v="Q2"/>
    <x v="3"/>
  </r>
  <r>
    <s v="O107762"/>
    <x v="394"/>
    <x v="9"/>
    <x v="0"/>
    <x v="3"/>
    <x v="2"/>
    <n v="5"/>
    <n v="2168041"/>
    <d v="2026-04-17T00:00:00"/>
    <n v="4"/>
    <n v="17"/>
    <n v="2026"/>
    <x v="11"/>
    <s v="Q2"/>
    <x v="3"/>
  </r>
  <r>
    <s v="O111471"/>
    <x v="299"/>
    <x v="3"/>
    <x v="0"/>
    <x v="4"/>
    <x v="2"/>
    <n v="6"/>
    <n v="2167412"/>
    <d v="2026-11-28T00:00:00"/>
    <n v="11"/>
    <n v="28"/>
    <n v="2026"/>
    <x v="0"/>
    <s v="Q4"/>
    <x v="4"/>
  </r>
  <r>
    <s v="O105938"/>
    <x v="255"/>
    <x v="0"/>
    <x v="0"/>
    <x v="3"/>
    <x v="3"/>
    <n v="4"/>
    <n v="2166464"/>
    <d v="2025-12-27T00:00:00"/>
    <n v="12"/>
    <n v="27"/>
    <n v="2025"/>
    <x v="7"/>
    <s v="Q4"/>
    <x v="3"/>
  </r>
  <r>
    <s v="O106508"/>
    <x v="188"/>
    <x v="2"/>
    <x v="3"/>
    <x v="1"/>
    <x v="0"/>
    <n v="8"/>
    <n v="2165203"/>
    <d v="2026-01-31T00:00:00"/>
    <n v="1"/>
    <n v="31"/>
    <n v="2026"/>
    <x v="6"/>
    <s v="Q1"/>
    <x v="1"/>
  </r>
  <r>
    <s v="O111257"/>
    <x v="303"/>
    <x v="6"/>
    <x v="0"/>
    <x v="3"/>
    <x v="1"/>
    <n v="4"/>
    <n v="2163916"/>
    <d v="2026-11-15T00:00:00"/>
    <n v="11"/>
    <n v="15"/>
    <n v="2026"/>
    <x v="0"/>
    <s v="Q4"/>
    <x v="3"/>
  </r>
  <r>
    <s v="O109637"/>
    <x v="750"/>
    <x v="6"/>
    <x v="3"/>
    <x v="0"/>
    <x v="3"/>
    <n v="8"/>
    <n v="2162805"/>
    <d v="2026-09-08T00:00:00"/>
    <n v="9"/>
    <n v="8"/>
    <n v="2026"/>
    <x v="1"/>
    <s v="Q3"/>
    <x v="0"/>
  </r>
  <r>
    <s v="O111569"/>
    <x v="694"/>
    <x v="10"/>
    <x v="0"/>
    <x v="2"/>
    <x v="2"/>
    <n v="4"/>
    <n v="2161843"/>
    <d v="2026-04-12T00:00:00"/>
    <n v="4"/>
    <n v="12"/>
    <n v="2026"/>
    <x v="11"/>
    <s v="Q2"/>
    <x v="2"/>
  </r>
  <r>
    <s v="O111088"/>
    <x v="542"/>
    <x v="6"/>
    <x v="2"/>
    <x v="2"/>
    <x v="3"/>
    <n v="8"/>
    <n v="2161004"/>
    <d v="2026-05-11T00:00:00"/>
    <n v="5"/>
    <n v="11"/>
    <n v="2026"/>
    <x v="3"/>
    <s v="Q2"/>
    <x v="2"/>
  </r>
  <r>
    <s v="O109336"/>
    <x v="409"/>
    <x v="1"/>
    <x v="0"/>
    <x v="2"/>
    <x v="1"/>
    <n v="4"/>
    <n v="2160885"/>
    <d v="2026-07-22T00:00:00"/>
    <n v="7"/>
    <n v="22"/>
    <n v="2026"/>
    <x v="10"/>
    <s v="Q3"/>
    <x v="2"/>
  </r>
  <r>
    <s v="O102564"/>
    <x v="199"/>
    <x v="1"/>
    <x v="0"/>
    <x v="3"/>
    <x v="0"/>
    <n v="6"/>
    <n v="2160588"/>
    <d v="2025-05-06T00:00:00"/>
    <n v="5"/>
    <n v="6"/>
    <n v="2025"/>
    <x v="3"/>
    <s v="Q2"/>
    <x v="3"/>
  </r>
  <r>
    <s v="O107504"/>
    <x v="570"/>
    <x v="3"/>
    <x v="0"/>
    <x v="1"/>
    <x v="3"/>
    <n v="5"/>
    <n v="2159754"/>
    <d v="2026-01-04T00:00:00"/>
    <n v="1"/>
    <n v="4"/>
    <n v="2026"/>
    <x v="6"/>
    <s v="Q1"/>
    <x v="1"/>
  </r>
  <r>
    <s v="O106111"/>
    <x v="261"/>
    <x v="10"/>
    <x v="3"/>
    <x v="2"/>
    <x v="3"/>
    <n v="8"/>
    <n v="2159710"/>
    <d v="2026-07-01T00:00:00"/>
    <n v="7"/>
    <n v="1"/>
    <n v="2026"/>
    <x v="10"/>
    <s v="Q3"/>
    <x v="2"/>
  </r>
  <r>
    <s v="O109525"/>
    <x v="297"/>
    <x v="0"/>
    <x v="0"/>
    <x v="0"/>
    <x v="2"/>
    <n v="4"/>
    <n v="2158703"/>
    <d v="2026-02-08T00:00:00"/>
    <n v="2"/>
    <n v="8"/>
    <n v="2026"/>
    <x v="4"/>
    <s v="Q1"/>
    <x v="0"/>
  </r>
  <r>
    <s v="O110921"/>
    <x v="636"/>
    <x v="10"/>
    <x v="4"/>
    <x v="2"/>
    <x v="0"/>
    <n v="10"/>
    <n v="2158616"/>
    <d v="2026-10-26T00:00:00"/>
    <n v="10"/>
    <n v="26"/>
    <n v="2026"/>
    <x v="9"/>
    <s v="Q4"/>
    <x v="2"/>
  </r>
  <r>
    <s v="O109584"/>
    <x v="525"/>
    <x v="3"/>
    <x v="0"/>
    <x v="0"/>
    <x v="2"/>
    <n v="5"/>
    <n v="2158010"/>
    <d v="2026-06-08T00:00:00"/>
    <n v="6"/>
    <n v="8"/>
    <n v="2026"/>
    <x v="2"/>
    <s v="Q2"/>
    <x v="0"/>
  </r>
  <r>
    <s v="O108084"/>
    <x v="268"/>
    <x v="1"/>
    <x v="0"/>
    <x v="3"/>
    <x v="0"/>
    <n v="4"/>
    <n v="2157574"/>
    <d v="2026-07-05T00:00:00"/>
    <n v="7"/>
    <n v="5"/>
    <n v="2026"/>
    <x v="10"/>
    <s v="Q3"/>
    <x v="3"/>
  </r>
  <r>
    <s v="O103113"/>
    <x v="720"/>
    <x v="9"/>
    <x v="4"/>
    <x v="1"/>
    <x v="2"/>
    <n v="10"/>
    <n v="2157400"/>
    <d v="2025-09-07T00:00:00"/>
    <n v="9"/>
    <n v="7"/>
    <n v="2025"/>
    <x v="1"/>
    <s v="Q3"/>
    <x v="1"/>
  </r>
  <r>
    <s v="O103994"/>
    <x v="89"/>
    <x v="1"/>
    <x v="0"/>
    <x v="0"/>
    <x v="0"/>
    <n v="6"/>
    <n v="2156091"/>
    <d v="2025-08-31T00:00:00"/>
    <n v="8"/>
    <n v="31"/>
    <n v="2025"/>
    <x v="8"/>
    <s v="Q3"/>
    <x v="0"/>
  </r>
  <r>
    <s v="O109109"/>
    <x v="189"/>
    <x v="5"/>
    <x v="0"/>
    <x v="0"/>
    <x v="1"/>
    <n v="4"/>
    <n v="2155821"/>
    <d v="2026-08-07T00:00:00"/>
    <n v="8"/>
    <n v="7"/>
    <n v="2026"/>
    <x v="8"/>
    <s v="Q3"/>
    <x v="0"/>
  </r>
  <r>
    <s v="O105835"/>
    <x v="547"/>
    <x v="3"/>
    <x v="4"/>
    <x v="2"/>
    <x v="3"/>
    <n v="10"/>
    <n v="2155199"/>
    <d v="2025-12-21T00:00:00"/>
    <n v="12"/>
    <n v="21"/>
    <n v="2025"/>
    <x v="7"/>
    <s v="Q4"/>
    <x v="2"/>
  </r>
  <r>
    <s v="O105006"/>
    <x v="317"/>
    <x v="1"/>
    <x v="0"/>
    <x v="3"/>
    <x v="2"/>
    <n v="5"/>
    <n v="2154996"/>
    <d v="2025-01-11T00:00:00"/>
    <n v="1"/>
    <n v="11"/>
    <n v="2025"/>
    <x v="6"/>
    <s v="Q1"/>
    <x v="3"/>
  </r>
  <r>
    <s v="O104056"/>
    <x v="246"/>
    <x v="2"/>
    <x v="0"/>
    <x v="4"/>
    <x v="3"/>
    <n v="6"/>
    <n v="2154910"/>
    <d v="2025-04-09T00:00:00"/>
    <n v="4"/>
    <n v="9"/>
    <n v="2025"/>
    <x v="11"/>
    <s v="Q2"/>
    <x v="4"/>
  </r>
  <r>
    <s v="O110839"/>
    <x v="703"/>
    <x v="1"/>
    <x v="2"/>
    <x v="1"/>
    <x v="0"/>
    <n v="9"/>
    <n v="2154558"/>
    <d v="2026-10-21T00:00:00"/>
    <n v="10"/>
    <n v="21"/>
    <n v="2026"/>
    <x v="9"/>
    <s v="Q4"/>
    <x v="1"/>
  </r>
  <r>
    <s v="O101732"/>
    <x v="657"/>
    <x v="6"/>
    <x v="2"/>
    <x v="1"/>
    <x v="0"/>
    <n v="6"/>
    <n v="2154370"/>
    <d v="2025-04-16T00:00:00"/>
    <n v="4"/>
    <n v="16"/>
    <n v="2025"/>
    <x v="11"/>
    <s v="Q2"/>
    <x v="1"/>
  </r>
  <r>
    <s v="O103311"/>
    <x v="454"/>
    <x v="1"/>
    <x v="4"/>
    <x v="2"/>
    <x v="2"/>
    <n v="10"/>
    <n v="2153553"/>
    <d v="2025-07-21T00:00:00"/>
    <n v="7"/>
    <n v="21"/>
    <n v="2025"/>
    <x v="10"/>
    <s v="Q3"/>
    <x v="2"/>
  </r>
  <r>
    <s v="O111036"/>
    <x v="380"/>
    <x v="4"/>
    <x v="3"/>
    <x v="1"/>
    <x v="1"/>
    <n v="8"/>
    <n v="2153024"/>
    <d v="2026-02-11T00:00:00"/>
    <n v="2"/>
    <n v="11"/>
    <n v="2026"/>
    <x v="4"/>
    <s v="Q1"/>
    <x v="1"/>
  </r>
  <r>
    <s v="O108526"/>
    <x v="155"/>
    <x v="1"/>
    <x v="0"/>
    <x v="1"/>
    <x v="2"/>
    <n v="4"/>
    <n v="2152774"/>
    <d v="2026-02-06T00:00:00"/>
    <n v="2"/>
    <n v="6"/>
    <n v="2026"/>
    <x v="4"/>
    <s v="Q1"/>
    <x v="1"/>
  </r>
  <r>
    <s v="O110603"/>
    <x v="76"/>
    <x v="9"/>
    <x v="2"/>
    <x v="0"/>
    <x v="1"/>
    <n v="7"/>
    <n v="2152562"/>
    <d v="2026-07-10T00:00:00"/>
    <n v="7"/>
    <n v="10"/>
    <n v="2026"/>
    <x v="10"/>
    <s v="Q3"/>
    <x v="0"/>
  </r>
  <r>
    <s v="O106693"/>
    <x v="751"/>
    <x v="5"/>
    <x v="2"/>
    <x v="1"/>
    <x v="1"/>
    <n v="8"/>
    <n v="2151783"/>
    <d v="2026-11-02T00:00:00"/>
    <n v="11"/>
    <n v="2"/>
    <n v="2026"/>
    <x v="0"/>
    <s v="Q4"/>
    <x v="1"/>
  </r>
  <r>
    <s v="O108507"/>
    <x v="325"/>
    <x v="10"/>
    <x v="0"/>
    <x v="0"/>
    <x v="0"/>
    <n v="4"/>
    <n v="2151627"/>
    <d v="2026-01-06T00:00:00"/>
    <n v="1"/>
    <n v="6"/>
    <n v="2026"/>
    <x v="6"/>
    <s v="Q1"/>
    <x v="0"/>
  </r>
  <r>
    <s v="O104541"/>
    <x v="617"/>
    <x v="10"/>
    <x v="0"/>
    <x v="2"/>
    <x v="2"/>
    <n v="4"/>
    <n v="2150524"/>
    <d v="2025-03-10T00:00:00"/>
    <n v="3"/>
    <n v="10"/>
    <n v="2025"/>
    <x v="5"/>
    <s v="Q1"/>
    <x v="2"/>
  </r>
  <r>
    <s v="O111013"/>
    <x v="329"/>
    <x v="3"/>
    <x v="3"/>
    <x v="3"/>
    <x v="3"/>
    <n v="10"/>
    <n v="2150299"/>
    <d v="2026-01-11T00:00:00"/>
    <n v="1"/>
    <n v="11"/>
    <n v="2026"/>
    <x v="6"/>
    <s v="Q1"/>
    <x v="3"/>
  </r>
  <r>
    <s v="O109845"/>
    <x v="446"/>
    <x v="8"/>
    <x v="0"/>
    <x v="2"/>
    <x v="3"/>
    <n v="4"/>
    <n v="2150123"/>
    <d v="2026-08-22T00:00:00"/>
    <n v="8"/>
    <n v="22"/>
    <n v="2026"/>
    <x v="8"/>
    <s v="Q3"/>
    <x v="2"/>
  </r>
  <r>
    <s v="O109732"/>
    <x v="729"/>
    <x v="10"/>
    <x v="4"/>
    <x v="2"/>
    <x v="3"/>
    <n v="10"/>
    <n v="2149440"/>
    <d v="2026-08-15T00:00:00"/>
    <n v="8"/>
    <n v="15"/>
    <n v="2026"/>
    <x v="8"/>
    <s v="Q3"/>
    <x v="2"/>
  </r>
  <r>
    <s v="O107297"/>
    <x v="752"/>
    <x v="8"/>
    <x v="0"/>
    <x v="4"/>
    <x v="1"/>
    <n v="4"/>
    <n v="2149154"/>
    <d v="2026-03-20T00:00:00"/>
    <n v="3"/>
    <n v="20"/>
    <n v="2026"/>
    <x v="5"/>
    <s v="Q1"/>
    <x v="4"/>
  </r>
  <r>
    <s v="O101520"/>
    <x v="60"/>
    <x v="6"/>
    <x v="3"/>
    <x v="3"/>
    <x v="3"/>
    <n v="9"/>
    <n v="2148746"/>
    <d v="2025-03-04T00:00:00"/>
    <n v="3"/>
    <n v="4"/>
    <n v="2025"/>
    <x v="5"/>
    <s v="Q1"/>
    <x v="3"/>
  </r>
  <r>
    <s v="O110351"/>
    <x v="346"/>
    <x v="1"/>
    <x v="2"/>
    <x v="4"/>
    <x v="0"/>
    <n v="9"/>
    <n v="2148467"/>
    <d v="2026-09-21T00:00:00"/>
    <n v="9"/>
    <n v="21"/>
    <n v="2026"/>
    <x v="1"/>
    <m/>
    <x v="4"/>
  </r>
  <r>
    <s v="O100263"/>
    <x v="594"/>
    <x v="2"/>
    <x v="0"/>
    <x v="3"/>
    <x v="0"/>
    <n v="4"/>
    <n v="2147230"/>
    <d v="2025-01-16T00:00:00"/>
    <n v="1"/>
    <n v="16"/>
    <n v="2025"/>
    <x v="6"/>
    <s v="Q1"/>
    <x v="3"/>
  </r>
  <r>
    <s v="O106321"/>
    <x v="230"/>
    <x v="6"/>
    <x v="2"/>
    <x v="0"/>
    <x v="0"/>
    <n v="6"/>
    <n v="2147169"/>
    <d v="2026-01-19T00:00:00"/>
    <n v="1"/>
    <n v="19"/>
    <n v="2026"/>
    <x v="6"/>
    <s v="Q1"/>
    <x v="0"/>
  </r>
  <r>
    <s v="O103408"/>
    <x v="409"/>
    <x v="9"/>
    <x v="3"/>
    <x v="1"/>
    <x v="1"/>
    <n v="9"/>
    <n v="2146784"/>
    <d v="2025-07-26T00:00:00"/>
    <n v="7"/>
    <n v="26"/>
    <n v="2025"/>
    <x v="10"/>
    <s v="Q3"/>
    <x v="1"/>
  </r>
  <r>
    <s v="O101048"/>
    <x v="359"/>
    <x v="9"/>
    <x v="0"/>
    <x v="0"/>
    <x v="3"/>
    <n v="6"/>
    <n v="2146048"/>
    <d v="2025-05-03T00:00:00"/>
    <n v="5"/>
    <n v="3"/>
    <n v="2025"/>
    <x v="3"/>
    <s v="Q2"/>
    <x v="0"/>
  </r>
  <r>
    <s v="O108377"/>
    <x v="534"/>
    <x v="8"/>
    <x v="0"/>
    <x v="1"/>
    <x v="3"/>
    <n v="5"/>
    <n v="2145994"/>
    <d v="2026-05-24T00:00:00"/>
    <n v="5"/>
    <n v="24"/>
    <n v="2026"/>
    <x v="3"/>
    <s v="Q2"/>
    <x v="1"/>
  </r>
  <r>
    <s v="O110213"/>
    <x v="387"/>
    <x v="8"/>
    <x v="0"/>
    <x v="4"/>
    <x v="3"/>
    <n v="4"/>
    <n v="2145858"/>
    <d v="2026-09-13T00:00:00"/>
    <n v="9"/>
    <n v="13"/>
    <n v="2026"/>
    <x v="1"/>
    <s v="Q3"/>
    <x v="4"/>
  </r>
  <r>
    <s v="O102697"/>
    <x v="1"/>
    <x v="5"/>
    <x v="2"/>
    <x v="2"/>
    <x v="0"/>
    <n v="7"/>
    <n v="2145789"/>
    <d v="2025-06-13T00:00:00"/>
    <n v="6"/>
    <n v="13"/>
    <n v="2025"/>
    <x v="2"/>
    <s v="Q2"/>
    <x v="2"/>
  </r>
  <r>
    <s v="O105575"/>
    <x v="54"/>
    <x v="1"/>
    <x v="2"/>
    <x v="1"/>
    <x v="0"/>
    <n v="6"/>
    <n v="2145607"/>
    <d v="2025-05-12T00:00:00"/>
    <n v="5"/>
    <n v="12"/>
    <n v="2025"/>
    <x v="3"/>
    <s v="Q2"/>
    <x v="1"/>
  </r>
  <r>
    <s v="O107296"/>
    <x v="710"/>
    <x v="4"/>
    <x v="3"/>
    <x v="3"/>
    <x v="1"/>
    <n v="10"/>
    <n v="2142739"/>
    <d v="2026-03-20T00:00:00"/>
    <n v="3"/>
    <n v="20"/>
    <n v="2026"/>
    <x v="5"/>
    <s v="Q1"/>
    <x v="3"/>
  </r>
  <r>
    <s v="O101567"/>
    <x v="454"/>
    <x v="10"/>
    <x v="2"/>
    <x v="1"/>
    <x v="1"/>
    <n v="8"/>
    <n v="2141564"/>
    <d v="2025-06-04T00:00:00"/>
    <n v="6"/>
    <n v="4"/>
    <n v="2025"/>
    <x v="2"/>
    <s v="Q2"/>
    <x v="1"/>
  </r>
  <r>
    <s v="O110221"/>
    <x v="576"/>
    <x v="1"/>
    <x v="2"/>
    <x v="2"/>
    <x v="2"/>
    <n v="9"/>
    <n v="2141212"/>
    <d v="2026-09-13T00:00:00"/>
    <n v="9"/>
    <n v="13"/>
    <n v="2026"/>
    <x v="1"/>
    <s v="Q3"/>
    <x v="2"/>
  </r>
  <r>
    <s v="O111384"/>
    <x v="282"/>
    <x v="6"/>
    <x v="2"/>
    <x v="3"/>
    <x v="3"/>
    <n v="6"/>
    <n v="2140667"/>
    <d v="2026-11-23T00:00:00"/>
    <n v="11"/>
    <n v="23"/>
    <n v="2026"/>
    <x v="0"/>
    <s v="Q4"/>
    <x v="3"/>
  </r>
  <r>
    <s v="O110296"/>
    <x v="552"/>
    <x v="5"/>
    <x v="3"/>
    <x v="4"/>
    <x v="2"/>
    <n v="10"/>
    <n v="2140558"/>
    <d v="2026-09-18T00:00:00"/>
    <n v="9"/>
    <n v="18"/>
    <n v="2026"/>
    <x v="1"/>
    <s v="Q3"/>
    <x v="4"/>
  </r>
  <r>
    <s v="O104400"/>
    <x v="109"/>
    <x v="5"/>
    <x v="0"/>
    <x v="3"/>
    <x v="0"/>
    <n v="6"/>
    <n v="2139713"/>
    <d v="2025-09-25T00:00:00"/>
    <n v="9"/>
    <n v="25"/>
    <n v="2025"/>
    <x v="1"/>
    <s v="Q3"/>
    <x v="3"/>
  </r>
  <r>
    <s v="O105982"/>
    <x v="275"/>
    <x v="4"/>
    <x v="0"/>
    <x v="1"/>
    <x v="1"/>
    <n v="6"/>
    <n v="2139372"/>
    <d v="2025-12-30T00:00:00"/>
    <n v="12"/>
    <n v="30"/>
    <n v="2025"/>
    <x v="7"/>
    <s v="Q4"/>
    <x v="1"/>
  </r>
  <r>
    <s v="O105840"/>
    <x v="682"/>
    <x v="10"/>
    <x v="2"/>
    <x v="3"/>
    <x v="3"/>
    <n v="8"/>
    <n v="2139202"/>
    <d v="2025-12-21T00:00:00"/>
    <n v="12"/>
    <n v="21"/>
    <n v="2025"/>
    <x v="7"/>
    <s v="Q4"/>
    <x v="3"/>
  </r>
  <r>
    <s v="O111901"/>
    <x v="649"/>
    <x v="4"/>
    <x v="0"/>
    <x v="0"/>
    <x v="0"/>
    <n v="6"/>
    <n v="2138544"/>
    <d v="2026-12-24T00:00:00"/>
    <n v="12"/>
    <n v="24"/>
    <n v="2026"/>
    <x v="7"/>
    <s v="Q4"/>
    <x v="0"/>
  </r>
  <r>
    <s v="O103889"/>
    <x v="392"/>
    <x v="6"/>
    <x v="2"/>
    <x v="0"/>
    <x v="0"/>
    <n v="9"/>
    <n v="2138249"/>
    <d v="2025-08-25T00:00:00"/>
    <n v="8"/>
    <n v="25"/>
    <n v="2025"/>
    <x v="8"/>
    <s v="Q3"/>
    <x v="0"/>
  </r>
  <r>
    <s v="O104639"/>
    <x v="306"/>
    <x v="0"/>
    <x v="4"/>
    <x v="4"/>
    <x v="1"/>
    <n v="10"/>
    <n v="2137738"/>
    <d v="2025-09-10T00:00:00"/>
    <n v="9"/>
    <n v="10"/>
    <n v="2025"/>
    <x v="1"/>
    <s v="Q3"/>
    <x v="4"/>
  </r>
  <r>
    <s v="O110571"/>
    <x v="527"/>
    <x v="3"/>
    <x v="2"/>
    <x v="1"/>
    <x v="1"/>
    <n v="6"/>
    <n v="2137419"/>
    <d v="2026-05-10T00:00:00"/>
    <n v="5"/>
    <n v="10"/>
    <n v="2026"/>
    <x v="3"/>
    <m/>
    <x v="1"/>
  </r>
  <r>
    <s v="O110880"/>
    <x v="492"/>
    <x v="9"/>
    <x v="3"/>
    <x v="1"/>
    <x v="1"/>
    <n v="10"/>
    <n v="2137028"/>
    <d v="2026-10-23T00:00:00"/>
    <n v="10"/>
    <n v="23"/>
    <n v="2026"/>
    <x v="9"/>
    <s v="Q4"/>
    <x v="1"/>
  </r>
  <r>
    <s v="O104066"/>
    <x v="460"/>
    <x v="2"/>
    <x v="0"/>
    <x v="3"/>
    <x v="0"/>
    <n v="6"/>
    <n v="2135845"/>
    <d v="2025-04-09T00:00:00"/>
    <n v="4"/>
    <n v="9"/>
    <n v="2025"/>
    <x v="11"/>
    <s v="Q2"/>
    <x v="3"/>
  </r>
  <r>
    <s v="O107944"/>
    <x v="359"/>
    <x v="8"/>
    <x v="0"/>
    <x v="0"/>
    <x v="2"/>
    <n v="4"/>
    <n v="2135361"/>
    <d v="2026-04-28T00:00:00"/>
    <n v="4"/>
    <n v="28"/>
    <n v="2026"/>
    <x v="11"/>
    <s v="Q2"/>
    <x v="0"/>
  </r>
  <r>
    <s v="O107761"/>
    <x v="59"/>
    <x v="2"/>
    <x v="2"/>
    <x v="3"/>
    <x v="0"/>
    <n v="7"/>
    <n v="2135165"/>
    <d v="2026-04-17T00:00:00"/>
    <n v="4"/>
    <n v="17"/>
    <n v="2026"/>
    <x v="11"/>
    <s v="Q2"/>
    <x v="3"/>
  </r>
  <r>
    <s v="O103992"/>
    <x v="43"/>
    <x v="0"/>
    <x v="0"/>
    <x v="4"/>
    <x v="0"/>
    <n v="4"/>
    <n v="2133960"/>
    <d v="2025-08-31T00:00:00"/>
    <n v="8"/>
    <n v="31"/>
    <n v="2025"/>
    <x v="8"/>
    <s v="Q3"/>
    <x v="4"/>
  </r>
  <r>
    <s v="O111051"/>
    <x v="753"/>
    <x v="5"/>
    <x v="0"/>
    <x v="2"/>
    <x v="2"/>
    <n v="4"/>
    <n v="2133905"/>
    <d v="2026-03-11T00:00:00"/>
    <n v="3"/>
    <n v="11"/>
    <n v="2026"/>
    <x v="5"/>
    <s v="Q1"/>
    <x v="2"/>
  </r>
  <r>
    <s v="O104420"/>
    <x v="267"/>
    <x v="3"/>
    <x v="0"/>
    <x v="1"/>
    <x v="2"/>
    <n v="5"/>
    <n v="2133065"/>
    <d v="2025-09-26T00:00:00"/>
    <n v="9"/>
    <n v="26"/>
    <n v="2025"/>
    <x v="1"/>
    <s v="Q3"/>
    <x v="1"/>
  </r>
  <r>
    <s v="O100129"/>
    <x v="259"/>
    <x v="10"/>
    <x v="0"/>
    <x v="1"/>
    <x v="0"/>
    <n v="5"/>
    <n v="2133017"/>
    <d v="2025-08-01T00:00:00"/>
    <n v="8"/>
    <n v="1"/>
    <n v="2025"/>
    <x v="8"/>
    <s v="Q3"/>
    <x v="1"/>
  </r>
  <r>
    <s v="O106635"/>
    <x v="0"/>
    <x v="5"/>
    <x v="2"/>
    <x v="0"/>
    <x v="3"/>
    <n v="8"/>
    <n v="2131868"/>
    <d v="2026-08-02T00:00:00"/>
    <n v="8"/>
    <n v="2"/>
    <n v="2026"/>
    <x v="8"/>
    <s v="Q3"/>
    <x v="0"/>
  </r>
  <r>
    <s v="O110714"/>
    <x v="64"/>
    <x v="2"/>
    <x v="4"/>
    <x v="2"/>
    <x v="3"/>
    <n v="10"/>
    <n v="2131644"/>
    <d v="2026-10-13T00:00:00"/>
    <n v="10"/>
    <n v="13"/>
    <n v="2026"/>
    <x v="9"/>
    <s v="Q4"/>
    <x v="2"/>
  </r>
  <r>
    <s v="O107215"/>
    <x v="692"/>
    <x v="10"/>
    <x v="0"/>
    <x v="2"/>
    <x v="0"/>
    <n v="4"/>
    <n v="2131006"/>
    <d v="2026-03-15T00:00:00"/>
    <n v="3"/>
    <n v="15"/>
    <n v="2026"/>
    <x v="5"/>
    <s v="Q1"/>
    <x v="2"/>
  </r>
  <r>
    <s v="O107087"/>
    <x v="10"/>
    <x v="10"/>
    <x v="2"/>
    <x v="3"/>
    <x v="1"/>
    <n v="9"/>
    <n v="2130801"/>
    <d v="2026-07-03T00:00:00"/>
    <n v="7"/>
    <n v="3"/>
    <n v="2026"/>
    <x v="10"/>
    <s v="Q3"/>
    <x v="3"/>
  </r>
  <r>
    <s v="O105888"/>
    <x v="160"/>
    <x v="1"/>
    <x v="3"/>
    <x v="3"/>
    <x v="3"/>
    <n v="9"/>
    <n v="2130634"/>
    <d v="2025-12-24T00:00:00"/>
    <n v="12"/>
    <n v="24"/>
    <n v="2025"/>
    <x v="7"/>
    <s v="Q4"/>
    <x v="3"/>
  </r>
  <r>
    <s v="O109220"/>
    <x v="646"/>
    <x v="1"/>
    <x v="0"/>
    <x v="0"/>
    <x v="3"/>
    <n v="4"/>
    <n v="2130534"/>
    <d v="2026-07-15T00:00:00"/>
    <n v="7"/>
    <n v="15"/>
    <n v="2026"/>
    <x v="10"/>
    <s v="Q3"/>
    <x v="0"/>
  </r>
  <r>
    <s v="O102793"/>
    <x v="192"/>
    <x v="0"/>
    <x v="2"/>
    <x v="1"/>
    <x v="0"/>
    <n v="6"/>
    <n v="2130364"/>
    <d v="2025-06-19T00:00:00"/>
    <n v="6"/>
    <n v="19"/>
    <n v="2025"/>
    <x v="2"/>
    <s v="Q2"/>
    <x v="1"/>
  </r>
  <r>
    <s v="O109206"/>
    <x v="709"/>
    <x v="6"/>
    <x v="0"/>
    <x v="2"/>
    <x v="2"/>
    <n v="4"/>
    <n v="2130037"/>
    <d v="2026-07-14T00:00:00"/>
    <n v="7"/>
    <n v="14"/>
    <n v="2026"/>
    <x v="10"/>
    <s v="Q3"/>
    <x v="2"/>
  </r>
  <r>
    <s v="O102116"/>
    <x v="323"/>
    <x v="2"/>
    <x v="0"/>
    <x v="4"/>
    <x v="1"/>
    <n v="6"/>
    <n v="2130014"/>
    <d v="2025-09-05T00:00:00"/>
    <n v="9"/>
    <n v="5"/>
    <n v="2025"/>
    <x v="1"/>
    <s v="Q3"/>
    <x v="4"/>
  </r>
  <r>
    <s v="O100328"/>
    <x v="600"/>
    <x v="0"/>
    <x v="2"/>
    <x v="4"/>
    <x v="1"/>
    <n v="6"/>
    <n v="2129470"/>
    <d v="2025-01-20T00:00:00"/>
    <n v="1"/>
    <n v="20"/>
    <n v="2025"/>
    <x v="6"/>
    <s v="Q1"/>
    <x v="4"/>
  </r>
  <r>
    <s v="O110564"/>
    <x v="621"/>
    <x v="0"/>
    <x v="0"/>
    <x v="2"/>
    <x v="1"/>
    <n v="5"/>
    <n v="2128230"/>
    <d v="2026-04-10T00:00:00"/>
    <n v="4"/>
    <n v="10"/>
    <n v="2026"/>
    <x v="11"/>
    <s v="Q2"/>
    <x v="2"/>
  </r>
  <r>
    <s v="O108314"/>
    <x v="622"/>
    <x v="0"/>
    <x v="2"/>
    <x v="2"/>
    <x v="2"/>
    <n v="8"/>
    <n v="2128095"/>
    <d v="2026-05-21T00:00:00"/>
    <n v="5"/>
    <n v="21"/>
    <n v="2026"/>
    <x v="3"/>
    <s v="Q2"/>
    <x v="2"/>
  </r>
  <r>
    <s v="O107766"/>
    <x v="601"/>
    <x v="8"/>
    <x v="2"/>
    <x v="4"/>
    <x v="1"/>
    <n v="9"/>
    <n v="2127437"/>
    <d v="2026-04-17T00:00:00"/>
    <n v="4"/>
    <n v="17"/>
    <n v="2026"/>
    <x v="11"/>
    <s v="Q2"/>
    <x v="4"/>
  </r>
  <r>
    <s v="O102940"/>
    <x v="334"/>
    <x v="1"/>
    <x v="0"/>
    <x v="0"/>
    <x v="3"/>
    <n v="6"/>
    <n v="2127176"/>
    <d v="2025-06-28T00:00:00"/>
    <n v="6"/>
    <n v="28"/>
    <n v="2025"/>
    <x v="2"/>
    <s v="Q2"/>
    <x v="0"/>
  </r>
  <r>
    <s v="O101576"/>
    <x v="46"/>
    <x v="6"/>
    <x v="0"/>
    <x v="0"/>
    <x v="3"/>
    <n v="5"/>
    <n v="2126686"/>
    <d v="2025-06-04T00:00:00"/>
    <n v="6"/>
    <n v="4"/>
    <n v="2025"/>
    <x v="2"/>
    <s v="Q2"/>
    <x v="0"/>
  </r>
  <r>
    <s v="O104165"/>
    <x v="273"/>
    <x v="6"/>
    <x v="2"/>
    <x v="4"/>
    <x v="3"/>
    <n v="8"/>
    <n v="2126070"/>
    <d v="2025-10-09T00:00:00"/>
    <n v="10"/>
    <n v="9"/>
    <n v="2025"/>
    <x v="9"/>
    <s v="Q4"/>
    <x v="4"/>
  </r>
  <r>
    <s v="O107833"/>
    <x v="238"/>
    <x v="0"/>
    <x v="0"/>
    <x v="3"/>
    <x v="2"/>
    <n v="4"/>
    <n v="2125215"/>
    <d v="2026-04-21T00:00:00"/>
    <n v="4"/>
    <n v="21"/>
    <n v="2026"/>
    <x v="11"/>
    <s v="Q2"/>
    <x v="3"/>
  </r>
  <r>
    <s v="O110017"/>
    <x v="339"/>
    <x v="9"/>
    <x v="0"/>
    <x v="0"/>
    <x v="0"/>
    <n v="4"/>
    <n v="2125027"/>
    <d v="2026-01-09T00:00:00"/>
    <n v="1"/>
    <n v="9"/>
    <n v="2026"/>
    <x v="6"/>
    <s v="Q1"/>
    <x v="0"/>
  </r>
  <r>
    <s v="O110013"/>
    <x v="744"/>
    <x v="3"/>
    <x v="3"/>
    <x v="2"/>
    <x v="1"/>
    <n v="8"/>
    <n v="2124400"/>
    <d v="2026-01-09T00:00:00"/>
    <n v="1"/>
    <n v="9"/>
    <n v="2026"/>
    <x v="6"/>
    <m/>
    <x v="2"/>
  </r>
  <r>
    <s v="O100050"/>
    <x v="745"/>
    <x v="8"/>
    <x v="0"/>
    <x v="2"/>
    <x v="2"/>
    <n v="4"/>
    <n v="2124214"/>
    <d v="2025-03-01T00:00:00"/>
    <n v="3"/>
    <n v="1"/>
    <n v="2025"/>
    <x v="5"/>
    <s v="Q1"/>
    <x v="2"/>
  </r>
  <r>
    <s v="O105287"/>
    <x v="542"/>
    <x v="1"/>
    <x v="3"/>
    <x v="1"/>
    <x v="1"/>
    <n v="8"/>
    <n v="2123507"/>
    <d v="2025-11-18T00:00:00"/>
    <n v="11"/>
    <n v="18"/>
    <n v="2025"/>
    <x v="0"/>
    <s v="Q4"/>
    <x v="1"/>
  </r>
  <r>
    <s v="O103020"/>
    <x v="710"/>
    <x v="10"/>
    <x v="4"/>
    <x v="1"/>
    <x v="3"/>
    <n v="10"/>
    <n v="2122731"/>
    <d v="2025-03-07T00:00:00"/>
    <n v="3"/>
    <n v="7"/>
    <n v="2025"/>
    <x v="5"/>
    <s v="Q1"/>
    <x v="1"/>
  </r>
  <r>
    <s v="O104896"/>
    <x v="506"/>
    <x v="2"/>
    <x v="0"/>
    <x v="1"/>
    <x v="0"/>
    <n v="6"/>
    <n v="2122580"/>
    <d v="2025-10-25T00:00:00"/>
    <n v="10"/>
    <n v="25"/>
    <n v="2025"/>
    <x v="9"/>
    <s v="Q4"/>
    <x v="1"/>
  </r>
  <r>
    <s v="O111773"/>
    <x v="669"/>
    <x v="0"/>
    <x v="0"/>
    <x v="0"/>
    <x v="3"/>
    <n v="5"/>
    <n v="2122557"/>
    <d v="2026-12-17T00:00:00"/>
    <n v="12"/>
    <n v="17"/>
    <n v="2026"/>
    <x v="7"/>
    <s v="Q4"/>
    <x v="0"/>
  </r>
  <r>
    <s v="O100431"/>
    <x v="223"/>
    <x v="9"/>
    <x v="0"/>
    <x v="3"/>
    <x v="1"/>
    <n v="5"/>
    <n v="2122086"/>
    <d v="2025-01-27T00:00:00"/>
    <n v="1"/>
    <n v="27"/>
    <n v="2025"/>
    <x v="6"/>
    <s v="Q1"/>
    <x v="3"/>
  </r>
  <r>
    <s v="O109000"/>
    <x v="143"/>
    <x v="8"/>
    <x v="3"/>
    <x v="1"/>
    <x v="3"/>
    <n v="10"/>
    <n v="2121876"/>
    <d v="2026-01-07T00:00:00"/>
    <n v="1"/>
    <n v="7"/>
    <n v="2026"/>
    <x v="6"/>
    <s v="Q1"/>
    <x v="1"/>
  </r>
  <r>
    <s v="O111609"/>
    <x v="617"/>
    <x v="9"/>
    <x v="0"/>
    <x v="1"/>
    <x v="3"/>
    <n v="5"/>
    <n v="2121252"/>
    <d v="2026-07-12T00:00:00"/>
    <n v="7"/>
    <n v="12"/>
    <n v="2026"/>
    <x v="10"/>
    <s v="Q3"/>
    <x v="1"/>
  </r>
  <r>
    <s v="O100545"/>
    <x v="754"/>
    <x v="10"/>
    <x v="2"/>
    <x v="1"/>
    <x v="2"/>
    <n v="8"/>
    <n v="2119917"/>
    <d v="2025-03-02T00:00:00"/>
    <n v="3"/>
    <n v="2"/>
    <n v="2025"/>
    <x v="5"/>
    <s v="Q1"/>
    <x v="1"/>
  </r>
  <r>
    <s v="O106850"/>
    <x v="353"/>
    <x v="10"/>
    <x v="0"/>
    <x v="2"/>
    <x v="2"/>
    <n v="4"/>
    <n v="2119544"/>
    <d v="2026-02-21T00:00:00"/>
    <n v="2"/>
    <n v="21"/>
    <n v="2026"/>
    <x v="4"/>
    <s v="Q1"/>
    <x v="2"/>
  </r>
  <r>
    <s v="O102483"/>
    <x v="14"/>
    <x v="8"/>
    <x v="3"/>
    <x v="2"/>
    <x v="0"/>
    <n v="8"/>
    <n v="2118565"/>
    <d v="2025-05-31T00:00:00"/>
    <n v="5"/>
    <n v="31"/>
    <n v="2025"/>
    <x v="3"/>
    <s v="Q2"/>
    <x v="2"/>
  </r>
  <r>
    <s v="O108273"/>
    <x v="268"/>
    <x v="3"/>
    <x v="0"/>
    <x v="2"/>
    <x v="2"/>
    <n v="6"/>
    <n v="2118027"/>
    <d v="2026-05-18T00:00:00"/>
    <n v="5"/>
    <n v="18"/>
    <n v="2026"/>
    <x v="3"/>
    <s v="Q2"/>
    <x v="2"/>
  </r>
  <r>
    <s v="O105515"/>
    <x v="671"/>
    <x v="4"/>
    <x v="0"/>
    <x v="3"/>
    <x v="2"/>
    <n v="5"/>
    <n v="2117849"/>
    <d v="2025-02-12T00:00:00"/>
    <n v="2"/>
    <n v="12"/>
    <n v="2025"/>
    <x v="4"/>
    <s v="Q1"/>
    <x v="3"/>
  </r>
  <r>
    <s v="O102202"/>
    <x v="555"/>
    <x v="8"/>
    <x v="0"/>
    <x v="2"/>
    <x v="0"/>
    <n v="4"/>
    <n v="2117609"/>
    <d v="2025-05-14T00:00:00"/>
    <n v="5"/>
    <n v="14"/>
    <n v="2025"/>
    <x v="3"/>
    <s v="Q2"/>
    <x v="2"/>
  </r>
  <r>
    <s v="O101391"/>
    <x v="735"/>
    <x v="10"/>
    <x v="0"/>
    <x v="3"/>
    <x v="3"/>
    <n v="6"/>
    <n v="2115904"/>
    <d v="2025-03-26T00:00:00"/>
    <n v="3"/>
    <n v="26"/>
    <n v="2025"/>
    <x v="5"/>
    <s v="Q1"/>
    <x v="3"/>
  </r>
  <r>
    <s v="O110813"/>
    <x v="688"/>
    <x v="3"/>
    <x v="0"/>
    <x v="2"/>
    <x v="1"/>
    <n v="4"/>
    <n v="2114741"/>
    <d v="2026-10-19T00:00:00"/>
    <n v="10"/>
    <n v="19"/>
    <n v="2026"/>
    <x v="9"/>
    <s v="Q4"/>
    <x v="2"/>
  </r>
  <r>
    <s v="O107281"/>
    <x v="559"/>
    <x v="9"/>
    <x v="2"/>
    <x v="1"/>
    <x v="2"/>
    <n v="6"/>
    <n v="2114479"/>
    <d v="2026-03-19T00:00:00"/>
    <n v="3"/>
    <n v="19"/>
    <n v="2026"/>
    <x v="5"/>
    <m/>
    <x v="1"/>
  </r>
  <r>
    <s v="O111067"/>
    <x v="179"/>
    <x v="0"/>
    <x v="0"/>
    <x v="1"/>
    <x v="0"/>
    <n v="6"/>
    <n v="2114429"/>
    <d v="2026-04-11T00:00:00"/>
    <n v="4"/>
    <n v="11"/>
    <n v="2026"/>
    <x v="11"/>
    <s v="Q2"/>
    <x v="1"/>
  </r>
  <r>
    <s v="O107562"/>
    <x v="209"/>
    <x v="8"/>
    <x v="2"/>
    <x v="0"/>
    <x v="2"/>
    <n v="6"/>
    <n v="2114001"/>
    <d v="2026-05-04T00:00:00"/>
    <n v="5"/>
    <n v="4"/>
    <n v="2026"/>
    <x v="3"/>
    <s v="Q2"/>
    <x v="0"/>
  </r>
  <r>
    <s v="O100753"/>
    <x v="3"/>
    <x v="3"/>
    <x v="2"/>
    <x v="4"/>
    <x v="2"/>
    <n v="9"/>
    <n v="2113790"/>
    <d v="2025-02-15T00:00:00"/>
    <n v="2"/>
    <n v="15"/>
    <n v="2025"/>
    <x v="4"/>
    <s v="Q1"/>
    <x v="4"/>
  </r>
  <r>
    <s v="O105374"/>
    <x v="500"/>
    <x v="0"/>
    <x v="4"/>
    <x v="3"/>
    <x v="2"/>
    <n v="10"/>
    <n v="2113652"/>
    <d v="2025-11-23T00:00:00"/>
    <n v="11"/>
    <n v="23"/>
    <n v="2025"/>
    <x v="0"/>
    <s v="Q4"/>
    <x v="3"/>
  </r>
  <r>
    <s v="O108005"/>
    <x v="298"/>
    <x v="0"/>
    <x v="2"/>
    <x v="3"/>
    <x v="3"/>
    <n v="7"/>
    <n v="2111974"/>
    <d v="2026-02-05T00:00:00"/>
    <n v="2"/>
    <n v="5"/>
    <n v="2026"/>
    <x v="4"/>
    <s v="Q1"/>
    <x v="3"/>
  </r>
  <r>
    <s v="O100945"/>
    <x v="614"/>
    <x v="9"/>
    <x v="0"/>
    <x v="1"/>
    <x v="2"/>
    <n v="5"/>
    <n v="2111696"/>
    <d v="2025-02-27T00:00:00"/>
    <n v="2"/>
    <n v="27"/>
    <n v="2025"/>
    <x v="4"/>
    <s v="Q1"/>
    <x v="1"/>
  </r>
  <r>
    <s v="O107220"/>
    <x v="582"/>
    <x v="1"/>
    <x v="3"/>
    <x v="4"/>
    <x v="2"/>
    <n v="9"/>
    <n v="2111253"/>
    <d v="2026-03-15T00:00:00"/>
    <n v="3"/>
    <n v="15"/>
    <n v="2026"/>
    <x v="5"/>
    <s v="Q1"/>
    <x v="4"/>
  </r>
  <r>
    <s v="O101143"/>
    <x v="251"/>
    <x v="9"/>
    <x v="2"/>
    <x v="0"/>
    <x v="2"/>
    <n v="6"/>
    <n v="2110855"/>
    <d v="2025-11-03T00:00:00"/>
    <n v="11"/>
    <n v="3"/>
    <n v="2025"/>
    <x v="0"/>
    <s v="Q4"/>
    <x v="0"/>
  </r>
  <r>
    <s v="O106849"/>
    <x v="58"/>
    <x v="9"/>
    <x v="2"/>
    <x v="0"/>
    <x v="2"/>
    <n v="8"/>
    <n v="2109433"/>
    <d v="2026-02-21T00:00:00"/>
    <n v="2"/>
    <n v="21"/>
    <n v="2026"/>
    <x v="4"/>
    <s v="Q1"/>
    <x v="0"/>
  </r>
  <r>
    <s v="O100470"/>
    <x v="441"/>
    <x v="8"/>
    <x v="3"/>
    <x v="4"/>
    <x v="2"/>
    <n v="9"/>
    <n v="2109266"/>
    <d v="2025-01-29T00:00:00"/>
    <n v="1"/>
    <n v="29"/>
    <n v="2025"/>
    <x v="6"/>
    <s v="Q1"/>
    <x v="4"/>
  </r>
  <r>
    <s v="O110500"/>
    <x v="13"/>
    <x v="9"/>
    <x v="0"/>
    <x v="4"/>
    <x v="0"/>
    <n v="4"/>
    <n v="2107587"/>
    <d v="2026-09-30T00:00:00"/>
    <n v="9"/>
    <n v="30"/>
    <n v="2026"/>
    <x v="1"/>
    <s v="Q3"/>
    <x v="4"/>
  </r>
  <r>
    <s v="O111484"/>
    <x v="276"/>
    <x v="6"/>
    <x v="2"/>
    <x v="0"/>
    <x v="2"/>
    <n v="6"/>
    <n v="2106987"/>
    <d v="2026-11-29T00:00:00"/>
    <n v="11"/>
    <n v="29"/>
    <n v="2026"/>
    <x v="0"/>
    <s v="Q4"/>
    <x v="0"/>
  </r>
  <r>
    <s v="O110626"/>
    <x v="452"/>
    <x v="6"/>
    <x v="2"/>
    <x v="4"/>
    <x v="0"/>
    <n v="7"/>
    <n v="2106610"/>
    <d v="2026-08-10T00:00:00"/>
    <n v="8"/>
    <n v="10"/>
    <n v="2026"/>
    <x v="8"/>
    <s v="Q3"/>
    <x v="4"/>
  </r>
  <r>
    <s v="O102576"/>
    <x v="6"/>
    <x v="6"/>
    <x v="2"/>
    <x v="4"/>
    <x v="3"/>
    <n v="7"/>
    <n v="2106285"/>
    <d v="2025-06-06T00:00:00"/>
    <n v="6"/>
    <n v="6"/>
    <n v="2025"/>
    <x v="2"/>
    <s v="Q2"/>
    <x v="4"/>
  </r>
  <r>
    <s v="O100021"/>
    <x v="642"/>
    <x v="6"/>
    <x v="2"/>
    <x v="2"/>
    <x v="2"/>
    <n v="6"/>
    <n v="2105851"/>
    <d v="2025-02-01T00:00:00"/>
    <n v="2"/>
    <n v="1"/>
    <n v="2025"/>
    <x v="4"/>
    <s v="Q1"/>
    <x v="2"/>
  </r>
  <r>
    <s v="O100140"/>
    <x v="654"/>
    <x v="0"/>
    <x v="3"/>
    <x v="3"/>
    <x v="2"/>
    <n v="10"/>
    <n v="2104093"/>
    <d v="2025-09-01T00:00:00"/>
    <n v="9"/>
    <n v="1"/>
    <n v="2025"/>
    <x v="1"/>
    <s v="Q3"/>
    <x v="3"/>
  </r>
  <r>
    <s v="O107987"/>
    <x v="305"/>
    <x v="8"/>
    <x v="4"/>
    <x v="3"/>
    <x v="1"/>
    <n v="10"/>
    <n v="2103318"/>
    <d v="2026-01-05T00:00:00"/>
    <n v="1"/>
    <n v="5"/>
    <n v="2026"/>
    <x v="6"/>
    <s v="Q1"/>
    <x v="3"/>
  </r>
  <r>
    <s v="O104270"/>
    <x v="432"/>
    <x v="1"/>
    <x v="3"/>
    <x v="1"/>
    <x v="0"/>
    <n v="10"/>
    <n v="2103168"/>
    <d v="2025-09-17T00:00:00"/>
    <n v="9"/>
    <n v="17"/>
    <n v="2025"/>
    <x v="1"/>
    <s v="Q3"/>
    <x v="1"/>
  </r>
  <r>
    <s v="O107101"/>
    <x v="379"/>
    <x v="0"/>
    <x v="0"/>
    <x v="2"/>
    <x v="2"/>
    <n v="6"/>
    <n v="2103090"/>
    <d v="2026-08-03T00:00:00"/>
    <n v="8"/>
    <n v="3"/>
    <n v="2026"/>
    <x v="8"/>
    <s v="Q3"/>
    <x v="2"/>
  </r>
  <r>
    <s v="O107061"/>
    <x v="553"/>
    <x v="1"/>
    <x v="3"/>
    <x v="3"/>
    <x v="1"/>
    <n v="8"/>
    <n v="2102961"/>
    <d v="2026-05-03T00:00:00"/>
    <n v="5"/>
    <n v="3"/>
    <n v="2026"/>
    <x v="3"/>
    <s v="Q2"/>
    <x v="3"/>
  </r>
  <r>
    <s v="O109943"/>
    <x v="57"/>
    <x v="9"/>
    <x v="0"/>
    <x v="10"/>
    <x v="0"/>
    <n v="6"/>
    <n v="2102885"/>
    <d v="2026-08-28T00:00:00"/>
    <n v="8"/>
    <n v="28"/>
    <n v="2026"/>
    <x v="8"/>
    <s v="Q3"/>
    <x v="1"/>
  </r>
  <r>
    <s v="O110645"/>
    <x v="81"/>
    <x v="0"/>
    <x v="0"/>
    <x v="3"/>
    <x v="1"/>
    <n v="4"/>
    <n v="2101820"/>
    <d v="2026-09-10T00:00:00"/>
    <n v="9"/>
    <n v="10"/>
    <n v="2026"/>
    <x v="1"/>
    <s v="Q3"/>
    <x v="3"/>
  </r>
  <r>
    <s v="O111065"/>
    <x v="412"/>
    <x v="0"/>
    <x v="0"/>
    <x v="0"/>
    <x v="2"/>
    <n v="5"/>
    <n v="2101799"/>
    <d v="2026-04-11T00:00:00"/>
    <n v="4"/>
    <n v="11"/>
    <n v="2026"/>
    <x v="11"/>
    <s v="Q2"/>
    <x v="0"/>
  </r>
  <r>
    <s v="O110719"/>
    <x v="100"/>
    <x v="8"/>
    <x v="0"/>
    <x v="4"/>
    <x v="1"/>
    <n v="4"/>
    <n v="2100954"/>
    <d v="2026-10-14T00:00:00"/>
    <n v="10"/>
    <n v="14"/>
    <n v="2026"/>
    <x v="9"/>
    <s v="Q4"/>
    <x v="4"/>
  </r>
  <r>
    <s v="O110740"/>
    <x v="114"/>
    <x v="2"/>
    <x v="0"/>
    <x v="4"/>
    <x v="0"/>
    <n v="4"/>
    <n v="2100219"/>
    <d v="2026-10-15T00:00:00"/>
    <n v="10"/>
    <n v="15"/>
    <n v="2026"/>
    <x v="9"/>
    <s v="Q4"/>
    <x v="4"/>
  </r>
  <r>
    <s v="O102538"/>
    <x v="556"/>
    <x v="5"/>
    <x v="0"/>
    <x v="2"/>
    <x v="2"/>
    <n v="6"/>
    <n v="2099362"/>
    <d v="2025-04-06T00:00:00"/>
    <n v="4"/>
    <n v="6"/>
    <n v="2025"/>
    <x v="11"/>
    <s v="Q2"/>
    <x v="2"/>
  </r>
  <r>
    <s v="O102256"/>
    <x v="223"/>
    <x v="9"/>
    <x v="2"/>
    <x v="1"/>
    <x v="2"/>
    <n v="6"/>
    <n v="2098225"/>
    <d v="2025-05-18T00:00:00"/>
    <n v="5"/>
    <n v="18"/>
    <n v="2025"/>
    <x v="3"/>
    <s v="Q2"/>
    <x v="1"/>
  </r>
  <r>
    <s v="O110651"/>
    <x v="703"/>
    <x v="9"/>
    <x v="3"/>
    <x v="0"/>
    <x v="2"/>
    <n v="10"/>
    <n v="2097714"/>
    <d v="2026-10-10T00:00:00"/>
    <n v="10"/>
    <n v="10"/>
    <n v="2026"/>
    <x v="9"/>
    <s v="Q4"/>
    <x v="0"/>
  </r>
  <r>
    <s v="O110949"/>
    <x v="519"/>
    <x v="1"/>
    <x v="0"/>
    <x v="1"/>
    <x v="0"/>
    <n v="5"/>
    <n v="2097567"/>
    <d v="2026-10-28T00:00:00"/>
    <n v="10"/>
    <n v="28"/>
    <n v="2026"/>
    <x v="9"/>
    <s v="Q4"/>
    <x v="1"/>
  </r>
  <r>
    <s v="O104472"/>
    <x v="130"/>
    <x v="9"/>
    <x v="3"/>
    <x v="4"/>
    <x v="1"/>
    <n v="9"/>
    <n v="2097356"/>
    <d v="2025-09-29T00:00:00"/>
    <n v="9"/>
    <n v="29"/>
    <n v="2025"/>
    <x v="1"/>
    <s v="Q3"/>
    <x v="4"/>
  </r>
  <r>
    <s v="O101327"/>
    <x v="515"/>
    <x v="10"/>
    <x v="0"/>
    <x v="3"/>
    <x v="0"/>
    <n v="4"/>
    <n v="2096752"/>
    <d v="2025-03-22T00:00:00"/>
    <n v="3"/>
    <n v="22"/>
    <n v="2025"/>
    <x v="5"/>
    <s v="Q1"/>
    <x v="3"/>
  </r>
  <r>
    <s v="O108018"/>
    <x v="471"/>
    <x v="4"/>
    <x v="2"/>
    <x v="0"/>
    <x v="3"/>
    <n v="6"/>
    <n v="2096655"/>
    <d v="2026-03-05T00:00:00"/>
    <n v="3"/>
    <n v="5"/>
    <n v="2026"/>
    <x v="5"/>
    <s v="Q1"/>
    <x v="0"/>
  </r>
  <r>
    <s v="O111876"/>
    <x v="516"/>
    <x v="3"/>
    <x v="3"/>
    <x v="3"/>
    <x v="1"/>
    <n v="9"/>
    <n v="2096251"/>
    <d v="2026-12-23T00:00:00"/>
    <n v="12"/>
    <n v="23"/>
    <n v="2026"/>
    <x v="7"/>
    <s v="Q4"/>
    <x v="3"/>
  </r>
  <r>
    <s v="O100245"/>
    <x v="325"/>
    <x v="4"/>
    <x v="0"/>
    <x v="0"/>
    <x v="2"/>
    <n v="5"/>
    <n v="2095802"/>
    <d v="2025-01-15T00:00:00"/>
    <n v="1"/>
    <n v="15"/>
    <n v="2025"/>
    <x v="6"/>
    <s v="Q1"/>
    <x v="0"/>
  </r>
  <r>
    <s v="O103329"/>
    <x v="196"/>
    <x v="6"/>
    <x v="0"/>
    <x v="4"/>
    <x v="0"/>
    <n v="5"/>
    <n v="2095104"/>
    <d v="2025-07-22T00:00:00"/>
    <n v="7"/>
    <n v="22"/>
    <n v="2025"/>
    <x v="10"/>
    <s v="Q3"/>
    <x v="4"/>
  </r>
  <r>
    <s v="O110629"/>
    <x v="27"/>
    <x v="2"/>
    <x v="0"/>
    <x v="2"/>
    <x v="2"/>
    <n v="4"/>
    <n v="2095058"/>
    <d v="2026-08-10T00:00:00"/>
    <n v="8"/>
    <n v="10"/>
    <n v="2026"/>
    <x v="8"/>
    <s v="Q3"/>
    <x v="2"/>
  </r>
  <r>
    <s v="O108809"/>
    <x v="25"/>
    <x v="3"/>
    <x v="0"/>
    <x v="1"/>
    <x v="1"/>
    <n v="4"/>
    <n v="2093443"/>
    <d v="2026-06-20T00:00:00"/>
    <n v="6"/>
    <n v="20"/>
    <n v="2026"/>
    <x v="2"/>
    <s v="Q2"/>
    <x v="1"/>
  </r>
  <r>
    <s v="O105843"/>
    <x v="554"/>
    <x v="9"/>
    <x v="0"/>
    <x v="0"/>
    <x v="1"/>
    <n v="5"/>
    <n v="2092059"/>
    <d v="2025-12-21T00:00:00"/>
    <n v="12"/>
    <n v="21"/>
    <n v="2025"/>
    <x v="7"/>
    <s v="Q4"/>
    <x v="0"/>
  </r>
  <r>
    <s v="O106228"/>
    <x v="166"/>
    <x v="2"/>
    <x v="3"/>
    <x v="2"/>
    <x v="0"/>
    <n v="8"/>
    <n v="2092023"/>
    <d v="2026-01-14T00:00:00"/>
    <n v="1"/>
    <n v="14"/>
    <n v="2026"/>
    <x v="6"/>
    <s v="Q1"/>
    <x v="2"/>
  </r>
  <r>
    <s v="O103135"/>
    <x v="625"/>
    <x v="2"/>
    <x v="0"/>
    <x v="1"/>
    <x v="2"/>
    <n v="5"/>
    <n v="2091138"/>
    <d v="2025-10-07T00:00:00"/>
    <n v="10"/>
    <n v="7"/>
    <n v="2025"/>
    <x v="9"/>
    <s v="Q4"/>
    <x v="1"/>
  </r>
  <r>
    <s v="O101471"/>
    <x v="12"/>
    <x v="10"/>
    <x v="2"/>
    <x v="4"/>
    <x v="0"/>
    <n v="8"/>
    <n v="2090754"/>
    <d v="2025-03-31T00:00:00"/>
    <n v="3"/>
    <n v="31"/>
    <n v="2025"/>
    <x v="5"/>
    <s v="Q1"/>
    <x v="4"/>
  </r>
  <r>
    <s v="O103416"/>
    <x v="755"/>
    <x v="5"/>
    <x v="2"/>
    <x v="1"/>
    <x v="1"/>
    <n v="8"/>
    <n v="2090671"/>
    <d v="2025-07-27T00:00:00"/>
    <n v="7"/>
    <n v="27"/>
    <n v="2025"/>
    <x v="10"/>
    <s v="Q3"/>
    <x v="1"/>
  </r>
  <r>
    <s v="O109530"/>
    <x v="637"/>
    <x v="6"/>
    <x v="3"/>
    <x v="4"/>
    <x v="3"/>
    <n v="8"/>
    <n v="2089788"/>
    <d v="2026-02-08T00:00:00"/>
    <n v="2"/>
    <n v="8"/>
    <n v="2026"/>
    <x v="4"/>
    <s v="Q1"/>
    <x v="4"/>
  </r>
  <r>
    <s v="O105882"/>
    <x v="756"/>
    <x v="5"/>
    <x v="2"/>
    <x v="2"/>
    <x v="2"/>
    <n v="9"/>
    <n v="2089553"/>
    <d v="2025-12-24T00:00:00"/>
    <n v="12"/>
    <n v="24"/>
    <n v="2025"/>
    <x v="7"/>
    <s v="Q4"/>
    <x v="2"/>
  </r>
  <r>
    <s v="O109528"/>
    <x v="567"/>
    <x v="0"/>
    <x v="0"/>
    <x v="0"/>
    <x v="0"/>
    <n v="4"/>
    <n v="2089388"/>
    <d v="2026-02-08T00:00:00"/>
    <n v="2"/>
    <n v="8"/>
    <n v="2026"/>
    <x v="4"/>
    <s v="Q1"/>
    <x v="0"/>
  </r>
  <r>
    <s v="O108446"/>
    <x v="705"/>
    <x v="8"/>
    <x v="2"/>
    <x v="3"/>
    <x v="3"/>
    <n v="7"/>
    <n v="2089157"/>
    <d v="2026-05-29T00:00:00"/>
    <n v="5"/>
    <n v="29"/>
    <n v="2026"/>
    <x v="3"/>
    <s v="Q2"/>
    <x v="3"/>
  </r>
  <r>
    <s v="O103181"/>
    <x v="174"/>
    <x v="3"/>
    <x v="0"/>
    <x v="4"/>
    <x v="1"/>
    <n v="6"/>
    <n v="2088680"/>
    <d v="2025-07-13T00:00:00"/>
    <n v="7"/>
    <n v="13"/>
    <n v="2025"/>
    <x v="10"/>
    <s v="Q3"/>
    <x v="4"/>
  </r>
  <r>
    <s v="O104010"/>
    <x v="245"/>
    <x v="5"/>
    <x v="0"/>
    <x v="1"/>
    <x v="2"/>
    <n v="6"/>
    <n v="2088601"/>
    <d v="2025-01-09T00:00:00"/>
    <n v="1"/>
    <n v="9"/>
    <n v="2025"/>
    <x v="6"/>
    <s v="Q1"/>
    <x v="1"/>
  </r>
  <r>
    <s v="O104413"/>
    <x v="582"/>
    <x v="1"/>
    <x v="2"/>
    <x v="2"/>
    <x v="3"/>
    <n v="6"/>
    <n v="2087824"/>
    <d v="2025-09-26T00:00:00"/>
    <n v="9"/>
    <n v="26"/>
    <n v="2025"/>
    <x v="1"/>
    <s v="Q3"/>
    <x v="2"/>
  </r>
  <r>
    <s v="O108432"/>
    <x v="26"/>
    <x v="5"/>
    <x v="2"/>
    <x v="0"/>
    <x v="3"/>
    <n v="8"/>
    <n v="2087546"/>
    <d v="2026-05-28T00:00:00"/>
    <n v="5"/>
    <n v="28"/>
    <n v="2026"/>
    <x v="3"/>
    <s v="Q2"/>
    <x v="0"/>
  </r>
  <r>
    <s v="O107843"/>
    <x v="67"/>
    <x v="5"/>
    <x v="0"/>
    <x v="4"/>
    <x v="1"/>
    <n v="5"/>
    <n v="2086807"/>
    <d v="2026-04-22T00:00:00"/>
    <n v="4"/>
    <n v="22"/>
    <n v="2026"/>
    <x v="11"/>
    <s v="Q2"/>
    <x v="4"/>
  </r>
  <r>
    <s v="O103729"/>
    <x v="559"/>
    <x v="0"/>
    <x v="0"/>
    <x v="1"/>
    <x v="1"/>
    <n v="6"/>
    <n v="2085734"/>
    <d v="2025-08-15T00:00:00"/>
    <n v="8"/>
    <n v="15"/>
    <n v="2025"/>
    <x v="8"/>
    <m/>
    <x v="1"/>
  </r>
  <r>
    <s v="O110644"/>
    <x v="50"/>
    <x v="10"/>
    <x v="3"/>
    <x v="2"/>
    <x v="3"/>
    <n v="10"/>
    <n v="2085000"/>
    <d v="2026-09-10T00:00:00"/>
    <n v="9"/>
    <n v="10"/>
    <n v="2026"/>
    <x v="1"/>
    <s v="Q3"/>
    <x v="2"/>
  </r>
  <r>
    <s v="O107444"/>
    <x v="231"/>
    <x v="10"/>
    <x v="2"/>
    <x v="1"/>
    <x v="3"/>
    <n v="6"/>
    <n v="2084624"/>
    <d v="2026-03-29T00:00:00"/>
    <n v="3"/>
    <n v="29"/>
    <n v="2026"/>
    <x v="5"/>
    <s v="Q1"/>
    <x v="1"/>
  </r>
  <r>
    <s v="O111115"/>
    <x v="478"/>
    <x v="9"/>
    <x v="2"/>
    <x v="0"/>
    <x v="1"/>
    <n v="8"/>
    <n v="2084381"/>
    <d v="2026-07-11T00:00:00"/>
    <n v="7"/>
    <n v="11"/>
    <n v="2026"/>
    <x v="10"/>
    <s v="Q3"/>
    <x v="0"/>
  </r>
  <r>
    <s v="O103374"/>
    <x v="242"/>
    <x v="8"/>
    <x v="2"/>
    <x v="0"/>
    <x v="3"/>
    <n v="7"/>
    <n v="2084039"/>
    <d v="2025-07-24T00:00:00"/>
    <n v="7"/>
    <n v="24"/>
    <n v="2025"/>
    <x v="10"/>
    <s v="Q3"/>
    <x v="0"/>
  </r>
  <r>
    <s v="O111869"/>
    <x v="507"/>
    <x v="8"/>
    <x v="2"/>
    <x v="2"/>
    <x v="0"/>
    <n v="6"/>
    <n v="2083239"/>
    <d v="2026-12-23T00:00:00"/>
    <n v="12"/>
    <n v="23"/>
    <n v="2026"/>
    <x v="7"/>
    <s v="Q4"/>
    <x v="2"/>
  </r>
  <r>
    <s v="O109701"/>
    <x v="415"/>
    <x v="9"/>
    <x v="4"/>
    <x v="0"/>
    <x v="1"/>
    <n v="10"/>
    <n v="2082983"/>
    <d v="2026-08-13T00:00:00"/>
    <n v="8"/>
    <n v="13"/>
    <n v="2026"/>
    <x v="8"/>
    <s v="Q3"/>
    <x v="0"/>
  </r>
  <r>
    <s v="O104128"/>
    <x v="757"/>
    <x v="10"/>
    <x v="3"/>
    <x v="1"/>
    <x v="0"/>
    <n v="9"/>
    <n v="2082696"/>
    <d v="2025-08-09T00:00:00"/>
    <n v="8"/>
    <n v="9"/>
    <n v="2025"/>
    <x v="8"/>
    <s v="Q3"/>
    <x v="1"/>
  </r>
  <r>
    <s v="O100500"/>
    <x v="146"/>
    <x v="6"/>
    <x v="3"/>
    <x v="0"/>
    <x v="0"/>
    <n v="8"/>
    <n v="2081572"/>
    <d v="2025-01-31T00:00:00"/>
    <n v="1"/>
    <n v="31"/>
    <n v="2025"/>
    <x v="6"/>
    <s v="Q1"/>
    <x v="0"/>
  </r>
  <r>
    <s v="O100113"/>
    <x v="758"/>
    <x v="5"/>
    <x v="3"/>
    <x v="2"/>
    <x v="2"/>
    <n v="8"/>
    <n v="2081379"/>
    <d v="2025-07-01T00:00:00"/>
    <n v="7"/>
    <n v="1"/>
    <n v="2025"/>
    <x v="10"/>
    <s v="Q3"/>
    <x v="2"/>
  </r>
  <r>
    <s v="O111539"/>
    <x v="698"/>
    <x v="8"/>
    <x v="2"/>
    <x v="1"/>
    <x v="3"/>
    <n v="9"/>
    <n v="2080615"/>
    <d v="2026-02-12T00:00:00"/>
    <n v="2"/>
    <n v="12"/>
    <n v="2026"/>
    <x v="4"/>
    <s v="Q1"/>
    <x v="1"/>
  </r>
  <r>
    <s v="O103005"/>
    <x v="532"/>
    <x v="6"/>
    <x v="2"/>
    <x v="0"/>
    <x v="1"/>
    <n v="8"/>
    <n v="2080477"/>
    <d v="2025-02-07T00:00:00"/>
    <n v="2"/>
    <n v="7"/>
    <n v="2025"/>
    <x v="4"/>
    <s v="Q1"/>
    <x v="0"/>
  </r>
  <r>
    <s v="O101219"/>
    <x v="626"/>
    <x v="10"/>
    <x v="2"/>
    <x v="4"/>
    <x v="0"/>
    <n v="9"/>
    <n v="2079798"/>
    <d v="2025-03-15T00:00:00"/>
    <n v="3"/>
    <n v="15"/>
    <n v="2025"/>
    <x v="5"/>
    <s v="Q1"/>
    <x v="4"/>
  </r>
  <r>
    <s v="O109870"/>
    <x v="522"/>
    <x v="8"/>
    <x v="0"/>
    <x v="0"/>
    <x v="3"/>
    <n v="6"/>
    <n v="2078668"/>
    <d v="2026-08-23T00:00:00"/>
    <n v="8"/>
    <n v="23"/>
    <n v="2026"/>
    <x v="8"/>
    <s v="Q3"/>
    <x v="0"/>
  </r>
  <r>
    <s v="O105070"/>
    <x v="519"/>
    <x v="2"/>
    <x v="0"/>
    <x v="3"/>
    <x v="0"/>
    <n v="4"/>
    <n v="2077703"/>
    <d v="2025-04-11T00:00:00"/>
    <n v="4"/>
    <n v="11"/>
    <n v="2025"/>
    <x v="11"/>
    <s v="Q2"/>
    <x v="3"/>
  </r>
  <r>
    <s v="O106558"/>
    <x v="191"/>
    <x v="10"/>
    <x v="0"/>
    <x v="0"/>
    <x v="0"/>
    <n v="4"/>
    <n v="2076458"/>
    <d v="2026-03-02T00:00:00"/>
    <n v="3"/>
    <n v="2"/>
    <n v="2026"/>
    <x v="5"/>
    <s v="Q1"/>
    <x v="0"/>
  </r>
  <r>
    <s v="O109371"/>
    <x v="408"/>
    <x v="9"/>
    <x v="4"/>
    <x v="2"/>
    <x v="3"/>
    <n v="10"/>
    <n v="2075466"/>
    <d v="2026-07-24T00:00:00"/>
    <n v="7"/>
    <n v="24"/>
    <n v="2026"/>
    <x v="10"/>
    <s v="Q3"/>
    <x v="2"/>
  </r>
  <r>
    <s v="O107014"/>
    <x v="759"/>
    <x v="2"/>
    <x v="0"/>
    <x v="0"/>
    <x v="2"/>
    <n v="5"/>
    <n v="2075314"/>
    <d v="2026-03-03T00:00:00"/>
    <n v="3"/>
    <n v="3"/>
    <n v="2026"/>
    <x v="5"/>
    <s v="Q1"/>
    <x v="0"/>
  </r>
  <r>
    <s v="O110553"/>
    <x v="462"/>
    <x v="5"/>
    <x v="2"/>
    <x v="4"/>
    <x v="3"/>
    <n v="7"/>
    <n v="2074677"/>
    <d v="2026-04-10T00:00:00"/>
    <n v="4"/>
    <n v="10"/>
    <n v="2026"/>
    <x v="11"/>
    <s v="Q2"/>
    <x v="4"/>
  </r>
  <r>
    <s v="O103686"/>
    <x v="183"/>
    <x v="5"/>
    <x v="2"/>
    <x v="0"/>
    <x v="2"/>
    <n v="6"/>
    <n v="2073900"/>
    <d v="2025-12-08T00:00:00"/>
    <n v="12"/>
    <n v="8"/>
    <n v="2025"/>
    <x v="7"/>
    <s v="Q4"/>
    <x v="0"/>
  </r>
  <r>
    <s v="O100029"/>
    <x v="760"/>
    <x v="2"/>
    <x v="2"/>
    <x v="0"/>
    <x v="1"/>
    <n v="9"/>
    <n v="2073879"/>
    <d v="2025-02-01T00:00:00"/>
    <n v="2"/>
    <n v="1"/>
    <n v="2025"/>
    <x v="4"/>
    <s v="Q1"/>
    <x v="0"/>
  </r>
  <r>
    <s v="O107746"/>
    <x v="491"/>
    <x v="1"/>
    <x v="2"/>
    <x v="3"/>
    <x v="3"/>
    <n v="6"/>
    <n v="2072901"/>
    <d v="2026-04-16T00:00:00"/>
    <n v="4"/>
    <n v="16"/>
    <n v="2026"/>
    <x v="11"/>
    <m/>
    <x v="3"/>
  </r>
  <r>
    <s v="O101716"/>
    <x v="450"/>
    <x v="4"/>
    <x v="3"/>
    <x v="3"/>
    <x v="3"/>
    <n v="9"/>
    <n v="2071709"/>
    <d v="2025-04-15T00:00:00"/>
    <n v="4"/>
    <n v="15"/>
    <n v="2025"/>
    <x v="11"/>
    <s v="Q2"/>
    <x v="3"/>
  </r>
  <r>
    <s v="O102986"/>
    <x v="551"/>
    <x v="3"/>
    <x v="3"/>
    <x v="0"/>
    <x v="3"/>
    <n v="9"/>
    <n v="2069799"/>
    <d v="2025-01-07T00:00:00"/>
    <n v="1"/>
    <n v="7"/>
    <n v="2025"/>
    <x v="6"/>
    <s v="Q1"/>
    <x v="0"/>
  </r>
  <r>
    <s v="O108856"/>
    <x v="619"/>
    <x v="0"/>
    <x v="0"/>
    <x v="0"/>
    <x v="3"/>
    <n v="6"/>
    <n v="2068099"/>
    <d v="2026-06-22T00:00:00"/>
    <n v="6"/>
    <n v="22"/>
    <n v="2026"/>
    <x v="2"/>
    <s v="Q2"/>
    <x v="0"/>
  </r>
  <r>
    <s v="O107841"/>
    <x v="656"/>
    <x v="10"/>
    <x v="2"/>
    <x v="4"/>
    <x v="1"/>
    <n v="6"/>
    <n v="2068077"/>
    <d v="2026-04-22T00:00:00"/>
    <n v="4"/>
    <n v="22"/>
    <n v="2026"/>
    <x v="11"/>
    <s v="Q2"/>
    <x v="4"/>
  </r>
  <r>
    <s v="O110948"/>
    <x v="452"/>
    <x v="0"/>
    <x v="3"/>
    <x v="3"/>
    <x v="1"/>
    <n v="10"/>
    <n v="2068030"/>
    <d v="2026-10-28T00:00:00"/>
    <n v="10"/>
    <n v="28"/>
    <n v="2026"/>
    <x v="9"/>
    <s v="Q4"/>
    <x v="3"/>
  </r>
  <r>
    <s v="O102875"/>
    <x v="34"/>
    <x v="1"/>
    <x v="4"/>
    <x v="2"/>
    <x v="1"/>
    <n v="10"/>
    <n v="2067551"/>
    <d v="2025-06-24T00:00:00"/>
    <n v="6"/>
    <n v="24"/>
    <n v="2025"/>
    <x v="2"/>
    <s v="Q2"/>
    <x v="2"/>
  </r>
  <r>
    <s v="O105219"/>
    <x v="220"/>
    <x v="5"/>
    <x v="0"/>
    <x v="3"/>
    <x v="1"/>
    <n v="6"/>
    <n v="2066723"/>
    <d v="2025-11-14T00:00:00"/>
    <n v="11"/>
    <n v="14"/>
    <n v="2025"/>
    <x v="0"/>
    <s v="Q4"/>
    <x v="3"/>
  </r>
  <r>
    <s v="O109341"/>
    <x v="500"/>
    <x v="1"/>
    <x v="2"/>
    <x v="3"/>
    <x v="2"/>
    <n v="9"/>
    <n v="2066576"/>
    <d v="2026-07-22T00:00:00"/>
    <n v="7"/>
    <n v="22"/>
    <n v="2026"/>
    <x v="10"/>
    <s v="Q3"/>
    <x v="3"/>
  </r>
  <r>
    <s v="O100318"/>
    <x v="147"/>
    <x v="0"/>
    <x v="0"/>
    <x v="4"/>
    <x v="1"/>
    <n v="4"/>
    <n v="2066100"/>
    <d v="2025-01-20T00:00:00"/>
    <n v="1"/>
    <n v="20"/>
    <n v="2025"/>
    <x v="6"/>
    <s v="Q1"/>
    <x v="4"/>
  </r>
  <r>
    <s v="O106857"/>
    <x v="756"/>
    <x v="9"/>
    <x v="2"/>
    <x v="4"/>
    <x v="0"/>
    <n v="6"/>
    <n v="2065925"/>
    <d v="2026-02-21T00:00:00"/>
    <n v="2"/>
    <n v="21"/>
    <n v="2026"/>
    <x v="4"/>
    <s v="Q1"/>
    <x v="4"/>
  </r>
  <r>
    <s v="O109650"/>
    <x v="406"/>
    <x v="5"/>
    <x v="0"/>
    <x v="2"/>
    <x v="0"/>
    <n v="6"/>
    <n v="2065546"/>
    <d v="2026-10-08T00:00:00"/>
    <n v="10"/>
    <n v="8"/>
    <n v="2026"/>
    <x v="9"/>
    <s v="Q4"/>
    <x v="2"/>
  </r>
  <r>
    <s v="O109295"/>
    <x v="668"/>
    <x v="3"/>
    <x v="3"/>
    <x v="2"/>
    <x v="0"/>
    <n v="9"/>
    <n v="2065336"/>
    <d v="2026-07-19T00:00:00"/>
    <n v="7"/>
    <n v="19"/>
    <n v="2026"/>
    <x v="10"/>
    <s v="Q3"/>
    <x v="2"/>
  </r>
  <r>
    <s v="O100723"/>
    <x v="355"/>
    <x v="6"/>
    <x v="0"/>
    <x v="0"/>
    <x v="1"/>
    <n v="6"/>
    <n v="2065213"/>
    <d v="2025-02-13T00:00:00"/>
    <n v="2"/>
    <n v="13"/>
    <n v="2025"/>
    <x v="4"/>
    <s v="Q1"/>
    <x v="0"/>
  </r>
  <r>
    <s v="O100425"/>
    <x v="414"/>
    <x v="3"/>
    <x v="0"/>
    <x v="4"/>
    <x v="3"/>
    <n v="4"/>
    <n v="2065009"/>
    <d v="2025-01-26T00:00:00"/>
    <n v="1"/>
    <n v="26"/>
    <n v="2025"/>
    <x v="6"/>
    <s v="Q1"/>
    <x v="4"/>
  </r>
  <r>
    <s v="O104200"/>
    <x v="651"/>
    <x v="8"/>
    <x v="2"/>
    <x v="2"/>
    <x v="0"/>
    <n v="6"/>
    <n v="2064882"/>
    <d v="2025-09-13T00:00:00"/>
    <n v="9"/>
    <n v="13"/>
    <n v="2025"/>
    <x v="1"/>
    <s v="Q3"/>
    <x v="2"/>
  </r>
  <r>
    <s v="O103968"/>
    <x v="761"/>
    <x v="8"/>
    <x v="0"/>
    <x v="2"/>
    <x v="3"/>
    <n v="5"/>
    <n v="2064825"/>
    <d v="2025-08-30T00:00:00"/>
    <n v="8"/>
    <n v="30"/>
    <n v="2025"/>
    <x v="8"/>
    <s v="Q3"/>
    <x v="2"/>
  </r>
  <r>
    <s v="O108371"/>
    <x v="115"/>
    <x v="6"/>
    <x v="0"/>
    <x v="1"/>
    <x v="0"/>
    <n v="4"/>
    <n v="2063937"/>
    <d v="2026-05-24T00:00:00"/>
    <n v="5"/>
    <n v="24"/>
    <n v="2026"/>
    <x v="3"/>
    <s v="Q2"/>
    <x v="1"/>
  </r>
  <r>
    <s v="O107568"/>
    <x v="567"/>
    <x v="8"/>
    <x v="0"/>
    <x v="2"/>
    <x v="0"/>
    <n v="5"/>
    <n v="2063832"/>
    <d v="2026-05-04T00:00:00"/>
    <n v="5"/>
    <n v="4"/>
    <n v="2026"/>
    <x v="3"/>
    <s v="Q2"/>
    <x v="2"/>
  </r>
  <r>
    <s v="O107477"/>
    <x v="144"/>
    <x v="3"/>
    <x v="2"/>
    <x v="2"/>
    <x v="3"/>
    <n v="7"/>
    <n v="2063626"/>
    <d v="2026-03-31T00:00:00"/>
    <n v="3"/>
    <n v="31"/>
    <n v="2026"/>
    <x v="5"/>
    <s v="Q1"/>
    <x v="2"/>
  </r>
  <r>
    <s v="O104202"/>
    <x v="721"/>
    <x v="0"/>
    <x v="0"/>
    <x v="3"/>
    <x v="0"/>
    <n v="4"/>
    <n v="2062267"/>
    <d v="2025-09-13T00:00:00"/>
    <n v="9"/>
    <n v="13"/>
    <n v="2025"/>
    <x v="1"/>
    <s v="Q3"/>
    <x v="3"/>
  </r>
  <r>
    <s v="O107496"/>
    <x v="355"/>
    <x v="9"/>
    <x v="0"/>
    <x v="2"/>
    <x v="1"/>
    <n v="4"/>
    <n v="2062238"/>
    <d v="2026-01-04T00:00:00"/>
    <n v="1"/>
    <n v="4"/>
    <n v="2026"/>
    <x v="6"/>
    <s v="Q1"/>
    <x v="2"/>
  </r>
  <r>
    <s v="O109916"/>
    <x v="692"/>
    <x v="5"/>
    <x v="3"/>
    <x v="3"/>
    <x v="3"/>
    <n v="10"/>
    <n v="2061591"/>
    <d v="2026-08-26T00:00:00"/>
    <n v="8"/>
    <n v="26"/>
    <n v="2026"/>
    <x v="8"/>
    <s v="Q3"/>
    <x v="3"/>
  </r>
  <r>
    <s v="O105669"/>
    <x v="762"/>
    <x v="2"/>
    <x v="0"/>
    <x v="2"/>
    <x v="2"/>
    <n v="5"/>
    <n v="2061513"/>
    <d v="2025-11-12T00:00:00"/>
    <n v="11"/>
    <n v="12"/>
    <n v="2025"/>
    <x v="0"/>
    <s v="Q4"/>
    <x v="2"/>
  </r>
  <r>
    <s v="O111387"/>
    <x v="235"/>
    <x v="1"/>
    <x v="0"/>
    <x v="0"/>
    <x v="2"/>
    <n v="4"/>
    <n v="2060019"/>
    <d v="2026-11-23T00:00:00"/>
    <n v="11"/>
    <n v="23"/>
    <n v="2026"/>
    <x v="0"/>
    <s v="Q4"/>
    <x v="0"/>
  </r>
  <r>
    <s v="O109889"/>
    <x v="763"/>
    <x v="10"/>
    <x v="0"/>
    <x v="3"/>
    <x v="1"/>
    <n v="5"/>
    <n v="2059716"/>
    <d v="2026-08-24T00:00:00"/>
    <n v="8"/>
    <n v="24"/>
    <n v="2026"/>
    <x v="8"/>
    <s v="Q3"/>
    <x v="3"/>
  </r>
  <r>
    <s v="O108395"/>
    <x v="280"/>
    <x v="6"/>
    <x v="4"/>
    <x v="3"/>
    <x v="1"/>
    <n v="10"/>
    <n v="2059582"/>
    <d v="2026-05-25T00:00:00"/>
    <n v="5"/>
    <n v="25"/>
    <n v="2026"/>
    <x v="3"/>
    <s v="Q2"/>
    <x v="3"/>
  </r>
  <r>
    <s v="O103491"/>
    <x v="646"/>
    <x v="2"/>
    <x v="0"/>
    <x v="2"/>
    <x v="0"/>
    <n v="4"/>
    <n v="2059235"/>
    <d v="2025-01-08T00:00:00"/>
    <n v="1"/>
    <n v="8"/>
    <n v="2025"/>
    <x v="6"/>
    <s v="Q1"/>
    <x v="2"/>
  </r>
  <r>
    <s v="O111623"/>
    <x v="764"/>
    <x v="2"/>
    <x v="0"/>
    <x v="3"/>
    <x v="3"/>
    <n v="6"/>
    <n v="2058857"/>
    <d v="2026-08-12T00:00:00"/>
    <n v="8"/>
    <n v="12"/>
    <n v="2026"/>
    <x v="8"/>
    <s v="Q3"/>
    <x v="3"/>
  </r>
  <r>
    <s v="O110423"/>
    <x v="581"/>
    <x v="3"/>
    <x v="2"/>
    <x v="1"/>
    <x v="0"/>
    <n v="6"/>
    <n v="2058440"/>
    <d v="2026-09-26T00:00:00"/>
    <n v="9"/>
    <n v="26"/>
    <n v="2026"/>
    <x v="1"/>
    <s v="Q3"/>
    <x v="1"/>
  </r>
  <r>
    <s v="O101457"/>
    <x v="748"/>
    <x v="5"/>
    <x v="2"/>
    <x v="1"/>
    <x v="0"/>
    <n v="6"/>
    <n v="2057892"/>
    <d v="2025-03-30T00:00:00"/>
    <n v="3"/>
    <n v="30"/>
    <n v="2025"/>
    <x v="5"/>
    <s v="Q1"/>
    <x v="1"/>
  </r>
  <r>
    <s v="O100423"/>
    <x v="574"/>
    <x v="0"/>
    <x v="0"/>
    <x v="3"/>
    <x v="2"/>
    <n v="6"/>
    <n v="2056806"/>
    <d v="2025-01-26T00:00:00"/>
    <n v="1"/>
    <n v="26"/>
    <n v="2025"/>
    <x v="6"/>
    <s v="Q1"/>
    <x v="3"/>
  </r>
  <r>
    <s v="O106177"/>
    <x v="259"/>
    <x v="1"/>
    <x v="2"/>
    <x v="3"/>
    <x v="2"/>
    <n v="8"/>
    <n v="2056720"/>
    <d v="2026-11-01T00:00:00"/>
    <n v="11"/>
    <n v="1"/>
    <n v="2026"/>
    <x v="0"/>
    <s v="Q4"/>
    <x v="3"/>
  </r>
  <r>
    <s v="O109959"/>
    <x v="581"/>
    <x v="10"/>
    <x v="2"/>
    <x v="2"/>
    <x v="3"/>
    <n v="7"/>
    <n v="2056704"/>
    <d v="2026-08-28T00:00:00"/>
    <n v="8"/>
    <n v="28"/>
    <n v="2026"/>
    <x v="8"/>
    <s v="Q3"/>
    <x v="2"/>
  </r>
  <r>
    <s v="O109876"/>
    <x v="65"/>
    <x v="5"/>
    <x v="0"/>
    <x v="4"/>
    <x v="1"/>
    <n v="4"/>
    <n v="2055155"/>
    <d v="2026-08-23T00:00:00"/>
    <n v="8"/>
    <n v="23"/>
    <n v="2026"/>
    <x v="8"/>
    <s v="Q3"/>
    <x v="4"/>
  </r>
  <r>
    <s v="O110997"/>
    <x v="765"/>
    <x v="9"/>
    <x v="3"/>
    <x v="3"/>
    <x v="3"/>
    <n v="8"/>
    <n v="2054885"/>
    <d v="2026-10-31T00:00:00"/>
    <n v="10"/>
    <n v="31"/>
    <n v="2026"/>
    <x v="9"/>
    <s v="Q4"/>
    <x v="3"/>
  </r>
  <r>
    <s v="O106109"/>
    <x v="240"/>
    <x v="2"/>
    <x v="0"/>
    <x v="4"/>
    <x v="2"/>
    <n v="4"/>
    <n v="2054605"/>
    <d v="2026-07-01T00:00:00"/>
    <n v="7"/>
    <n v="1"/>
    <n v="2026"/>
    <x v="10"/>
    <s v="Q3"/>
    <x v="4"/>
  </r>
  <r>
    <s v="O105161"/>
    <x v="641"/>
    <x v="6"/>
    <x v="2"/>
    <x v="3"/>
    <x v="3"/>
    <n v="9"/>
    <n v="2054324"/>
    <d v="2025-10-11T00:00:00"/>
    <n v="10"/>
    <n v="11"/>
    <n v="2025"/>
    <x v="9"/>
    <s v="Q4"/>
    <x v="3"/>
  </r>
  <r>
    <s v="O106203"/>
    <x v="204"/>
    <x v="4"/>
    <x v="3"/>
    <x v="3"/>
    <x v="3"/>
    <n v="8"/>
    <n v="2054310"/>
    <d v="2026-12-01T00:00:00"/>
    <n v="12"/>
    <n v="1"/>
    <n v="2026"/>
    <x v="7"/>
    <s v="Q4"/>
    <x v="3"/>
  </r>
  <r>
    <s v="O109014"/>
    <x v="761"/>
    <x v="4"/>
    <x v="0"/>
    <x v="0"/>
    <x v="0"/>
    <n v="4"/>
    <n v="2053373"/>
    <d v="2026-02-07T00:00:00"/>
    <n v="2"/>
    <n v="7"/>
    <n v="2026"/>
    <x v="4"/>
    <s v="Q1"/>
    <x v="0"/>
  </r>
  <r>
    <s v="O111421"/>
    <x v="471"/>
    <x v="1"/>
    <x v="4"/>
    <x v="0"/>
    <x v="0"/>
    <n v="10"/>
    <n v="2053307"/>
    <d v="2026-11-25T00:00:00"/>
    <n v="11"/>
    <n v="25"/>
    <n v="2026"/>
    <x v="0"/>
    <s v="Q4"/>
    <x v="0"/>
  </r>
  <r>
    <s v="O110816"/>
    <x v="192"/>
    <x v="8"/>
    <x v="2"/>
    <x v="0"/>
    <x v="1"/>
    <n v="7"/>
    <n v="2051641"/>
    <d v="2026-10-20T00:00:00"/>
    <n v="10"/>
    <n v="20"/>
    <n v="2026"/>
    <x v="9"/>
    <s v="Q4"/>
    <x v="0"/>
  </r>
  <r>
    <s v="O106374"/>
    <x v="546"/>
    <x v="10"/>
    <x v="3"/>
    <x v="4"/>
    <x v="3"/>
    <n v="10"/>
    <n v="2051292"/>
    <d v="2026-01-23T00:00:00"/>
    <n v="1"/>
    <n v="23"/>
    <n v="2026"/>
    <x v="6"/>
    <s v="Q1"/>
    <x v="4"/>
  </r>
  <r>
    <s v="O110393"/>
    <x v="538"/>
    <x v="5"/>
    <x v="2"/>
    <x v="3"/>
    <x v="0"/>
    <n v="9"/>
    <n v="2050905"/>
    <d v="2026-09-24T00:00:00"/>
    <n v="9"/>
    <n v="24"/>
    <n v="2026"/>
    <x v="1"/>
    <m/>
    <x v="3"/>
  </r>
  <r>
    <s v="O109462"/>
    <x v="639"/>
    <x v="2"/>
    <x v="0"/>
    <x v="1"/>
    <x v="1"/>
    <n v="6"/>
    <n v="2050647"/>
    <d v="2026-07-29T00:00:00"/>
    <n v="7"/>
    <n v="29"/>
    <n v="2026"/>
    <x v="10"/>
    <s v="Q3"/>
    <x v="1"/>
  </r>
  <r>
    <s v="O103296"/>
    <x v="536"/>
    <x v="10"/>
    <x v="0"/>
    <x v="3"/>
    <x v="1"/>
    <n v="4"/>
    <n v="2050334"/>
    <d v="2025-07-20T00:00:00"/>
    <n v="7"/>
    <n v="20"/>
    <n v="2025"/>
    <x v="10"/>
    <s v="Q3"/>
    <x v="3"/>
  </r>
  <r>
    <s v="O103205"/>
    <x v="23"/>
    <x v="0"/>
    <x v="2"/>
    <x v="1"/>
    <x v="2"/>
    <n v="7"/>
    <n v="2049420"/>
    <d v="2025-07-14T00:00:00"/>
    <n v="7"/>
    <n v="14"/>
    <n v="2025"/>
    <x v="10"/>
    <s v="Q3"/>
    <x v="1"/>
  </r>
  <r>
    <s v="O106881"/>
    <x v="766"/>
    <x v="1"/>
    <x v="4"/>
    <x v="1"/>
    <x v="2"/>
    <n v="10"/>
    <n v="2048643"/>
    <d v="2026-02-22T00:00:00"/>
    <n v="2"/>
    <n v="22"/>
    <n v="2026"/>
    <x v="4"/>
    <s v="Q1"/>
    <x v="1"/>
  </r>
  <r>
    <s v="O111360"/>
    <x v="19"/>
    <x v="8"/>
    <x v="2"/>
    <x v="2"/>
    <x v="3"/>
    <n v="6"/>
    <n v="2047948"/>
    <d v="2026-11-22T00:00:00"/>
    <n v="11"/>
    <n v="22"/>
    <n v="2026"/>
    <x v="0"/>
    <s v="Q4"/>
    <x v="2"/>
  </r>
  <r>
    <s v="O104025"/>
    <x v="77"/>
    <x v="1"/>
    <x v="2"/>
    <x v="4"/>
    <x v="1"/>
    <n v="9"/>
    <n v="2047661"/>
    <d v="2025-02-09T00:00:00"/>
    <n v="2"/>
    <n v="9"/>
    <n v="2025"/>
    <x v="4"/>
    <s v="Q1"/>
    <x v="4"/>
  </r>
  <r>
    <s v="O105344"/>
    <x v="442"/>
    <x v="4"/>
    <x v="0"/>
    <x v="3"/>
    <x v="2"/>
    <n v="5"/>
    <n v="2047466"/>
    <d v="2025-11-21T00:00:00"/>
    <n v="11"/>
    <n v="21"/>
    <n v="2025"/>
    <x v="0"/>
    <s v="Q4"/>
    <x v="3"/>
  </r>
  <r>
    <s v="O110755"/>
    <x v="382"/>
    <x v="4"/>
    <x v="0"/>
    <x v="4"/>
    <x v="1"/>
    <n v="5"/>
    <n v="2047446"/>
    <d v="2026-10-16T00:00:00"/>
    <n v="10"/>
    <n v="16"/>
    <n v="2026"/>
    <x v="9"/>
    <s v="Q4"/>
    <x v="4"/>
  </r>
  <r>
    <s v="O108182"/>
    <x v="558"/>
    <x v="1"/>
    <x v="0"/>
    <x v="2"/>
    <x v="0"/>
    <n v="6"/>
    <n v="2047184"/>
    <d v="2026-05-13T00:00:00"/>
    <n v="5"/>
    <n v="13"/>
    <n v="2026"/>
    <x v="3"/>
    <s v="Q2"/>
    <x v="2"/>
  </r>
  <r>
    <s v="O104704"/>
    <x v="119"/>
    <x v="0"/>
    <x v="2"/>
    <x v="1"/>
    <x v="2"/>
    <n v="6"/>
    <n v="2047162"/>
    <d v="2025-10-13T00:00:00"/>
    <n v="10"/>
    <n v="13"/>
    <n v="2025"/>
    <x v="9"/>
    <s v="Q4"/>
    <x v="1"/>
  </r>
  <r>
    <s v="O111782"/>
    <x v="701"/>
    <x v="4"/>
    <x v="2"/>
    <x v="1"/>
    <x v="3"/>
    <n v="6"/>
    <n v="2047066"/>
    <d v="2026-12-17T00:00:00"/>
    <n v="12"/>
    <n v="17"/>
    <n v="2026"/>
    <x v="7"/>
    <s v="Q4"/>
    <x v="1"/>
  </r>
  <r>
    <s v="O103060"/>
    <x v="168"/>
    <x v="5"/>
    <x v="3"/>
    <x v="3"/>
    <x v="2"/>
    <n v="8"/>
    <n v="2046906"/>
    <d v="2025-05-07T00:00:00"/>
    <n v="5"/>
    <n v="7"/>
    <n v="2025"/>
    <x v="3"/>
    <s v="Q2"/>
    <x v="3"/>
  </r>
  <r>
    <s v="O110679"/>
    <x v="23"/>
    <x v="4"/>
    <x v="0"/>
    <x v="2"/>
    <x v="0"/>
    <n v="6"/>
    <n v="2046259"/>
    <d v="2026-11-10T00:00:00"/>
    <n v="11"/>
    <n v="10"/>
    <n v="2026"/>
    <x v="0"/>
    <s v="Q4"/>
    <x v="2"/>
  </r>
  <r>
    <s v="O106834"/>
    <x v="544"/>
    <x v="5"/>
    <x v="3"/>
    <x v="1"/>
    <x v="3"/>
    <n v="8"/>
    <n v="2046108"/>
    <d v="2026-02-20T00:00:00"/>
    <n v="2"/>
    <n v="20"/>
    <n v="2026"/>
    <x v="4"/>
    <s v="Q1"/>
    <x v="1"/>
  </r>
  <r>
    <s v="O102851"/>
    <x v="336"/>
    <x v="5"/>
    <x v="2"/>
    <x v="4"/>
    <x v="1"/>
    <n v="6"/>
    <n v="2045435"/>
    <d v="2025-06-23T00:00:00"/>
    <n v="6"/>
    <n v="23"/>
    <n v="2025"/>
    <x v="2"/>
    <s v="Q2"/>
    <x v="4"/>
  </r>
  <r>
    <s v="O109603"/>
    <x v="767"/>
    <x v="4"/>
    <x v="0"/>
    <x v="4"/>
    <x v="0"/>
    <n v="4"/>
    <n v="2045343"/>
    <d v="2026-07-08T00:00:00"/>
    <n v="7"/>
    <n v="8"/>
    <n v="2026"/>
    <x v="10"/>
    <s v="Q3"/>
    <x v="4"/>
  </r>
  <r>
    <s v="O105793"/>
    <x v="751"/>
    <x v="10"/>
    <x v="3"/>
    <x v="4"/>
    <x v="2"/>
    <n v="8"/>
    <n v="2045058"/>
    <d v="2025-12-18T00:00:00"/>
    <n v="12"/>
    <n v="18"/>
    <n v="2025"/>
    <x v="7"/>
    <s v="Q4"/>
    <x v="4"/>
  </r>
  <r>
    <s v="O100149"/>
    <x v="628"/>
    <x v="10"/>
    <x v="0"/>
    <x v="3"/>
    <x v="2"/>
    <n v="6"/>
    <n v="2044907"/>
    <d v="2025-09-01T00:00:00"/>
    <n v="9"/>
    <n v="1"/>
    <n v="2025"/>
    <x v="1"/>
    <s v="Q3"/>
    <x v="3"/>
  </r>
  <r>
    <s v="O106925"/>
    <x v="546"/>
    <x v="1"/>
    <x v="2"/>
    <x v="0"/>
    <x v="0"/>
    <n v="6"/>
    <n v="2044821"/>
    <d v="2026-02-25T00:00:00"/>
    <n v="2"/>
    <n v="25"/>
    <n v="2026"/>
    <x v="4"/>
    <s v="Q1"/>
    <x v="0"/>
  </r>
  <r>
    <s v="O101883"/>
    <x v="83"/>
    <x v="10"/>
    <x v="2"/>
    <x v="3"/>
    <x v="0"/>
    <n v="7"/>
    <n v="2044598"/>
    <d v="2025-04-25T00:00:00"/>
    <n v="4"/>
    <n v="25"/>
    <n v="2025"/>
    <x v="11"/>
    <s v="Q2"/>
    <x v="3"/>
  </r>
  <r>
    <s v="O110670"/>
    <x v="13"/>
    <x v="1"/>
    <x v="0"/>
    <x v="3"/>
    <x v="1"/>
    <n v="4"/>
    <n v="2044404"/>
    <d v="2026-11-10T00:00:00"/>
    <n v="11"/>
    <n v="10"/>
    <n v="2026"/>
    <x v="0"/>
    <s v="Q4"/>
    <x v="3"/>
  </r>
  <r>
    <s v="O110409"/>
    <x v="295"/>
    <x v="9"/>
    <x v="2"/>
    <x v="1"/>
    <x v="0"/>
    <n v="7"/>
    <n v="2044340"/>
    <d v="2026-09-25T00:00:00"/>
    <n v="9"/>
    <n v="25"/>
    <n v="2026"/>
    <x v="1"/>
    <s v="Q3"/>
    <x v="1"/>
  </r>
  <r>
    <s v="O102032"/>
    <x v="218"/>
    <x v="2"/>
    <x v="2"/>
    <x v="0"/>
    <x v="3"/>
    <n v="8"/>
    <n v="2043762"/>
    <d v="2025-04-05T00:00:00"/>
    <n v="4"/>
    <n v="5"/>
    <n v="2025"/>
    <x v="11"/>
    <s v="Q2"/>
    <x v="0"/>
  </r>
  <r>
    <s v="O101073"/>
    <x v="103"/>
    <x v="4"/>
    <x v="0"/>
    <x v="0"/>
    <x v="3"/>
    <n v="5"/>
    <n v="2043484"/>
    <d v="2025-07-03T00:00:00"/>
    <n v="7"/>
    <n v="3"/>
    <n v="2025"/>
    <x v="10"/>
    <s v="Q3"/>
    <x v="0"/>
  </r>
  <r>
    <s v="O100208"/>
    <x v="107"/>
    <x v="6"/>
    <x v="2"/>
    <x v="0"/>
    <x v="2"/>
    <n v="7"/>
    <n v="2043465"/>
    <d v="2025-01-13T00:00:00"/>
    <n v="1"/>
    <n v="13"/>
    <n v="2025"/>
    <x v="6"/>
    <s v="Q1"/>
    <x v="0"/>
  </r>
  <r>
    <s v="O100374"/>
    <x v="49"/>
    <x v="10"/>
    <x v="2"/>
    <x v="3"/>
    <x v="0"/>
    <n v="6"/>
    <n v="2043239"/>
    <d v="2025-01-23T00:00:00"/>
    <n v="1"/>
    <n v="23"/>
    <n v="2025"/>
    <x v="6"/>
    <s v="Q1"/>
    <x v="3"/>
  </r>
  <r>
    <s v="O108750"/>
    <x v="497"/>
    <x v="1"/>
    <x v="0"/>
    <x v="4"/>
    <x v="0"/>
    <n v="5"/>
    <n v="2042563"/>
    <d v="2026-06-16T00:00:00"/>
    <n v="6"/>
    <n v="16"/>
    <n v="2026"/>
    <x v="2"/>
    <s v="Q2"/>
    <x v="4"/>
  </r>
  <r>
    <s v="O111452"/>
    <x v="731"/>
    <x v="4"/>
    <x v="2"/>
    <x v="0"/>
    <x v="0"/>
    <n v="7"/>
    <n v="2042534"/>
    <d v="2026-11-27T00:00:00"/>
    <n v="11"/>
    <n v="27"/>
    <n v="2026"/>
    <x v="0"/>
    <s v="Q4"/>
    <x v="0"/>
  </r>
  <r>
    <s v="O108686"/>
    <x v="510"/>
    <x v="4"/>
    <x v="2"/>
    <x v="0"/>
    <x v="1"/>
    <n v="6"/>
    <n v="2041985"/>
    <d v="2026-12-06T00:00:00"/>
    <n v="12"/>
    <n v="6"/>
    <n v="2026"/>
    <x v="7"/>
    <s v="Q4"/>
    <x v="0"/>
  </r>
  <r>
    <s v="O103445"/>
    <x v="445"/>
    <x v="4"/>
    <x v="3"/>
    <x v="4"/>
    <x v="2"/>
    <n v="8"/>
    <n v="2041863"/>
    <d v="2025-07-29T00:00:00"/>
    <n v="7"/>
    <n v="29"/>
    <n v="2025"/>
    <x v="10"/>
    <s v="Q3"/>
    <x v="4"/>
  </r>
  <r>
    <s v="O110562"/>
    <x v="130"/>
    <x v="9"/>
    <x v="3"/>
    <x v="4"/>
    <x v="1"/>
    <n v="10"/>
    <n v="2041462"/>
    <d v="2026-04-10T00:00:00"/>
    <n v="4"/>
    <n v="10"/>
    <n v="2026"/>
    <x v="11"/>
    <s v="Q2"/>
    <x v="4"/>
  </r>
  <r>
    <s v="O110789"/>
    <x v="282"/>
    <x v="9"/>
    <x v="4"/>
    <x v="1"/>
    <x v="2"/>
    <n v="10"/>
    <n v="2041164"/>
    <d v="2026-10-18T00:00:00"/>
    <n v="10"/>
    <n v="18"/>
    <n v="2026"/>
    <x v="9"/>
    <s v="Q4"/>
    <x v="1"/>
  </r>
  <r>
    <s v="O101229"/>
    <x v="348"/>
    <x v="9"/>
    <x v="3"/>
    <x v="4"/>
    <x v="2"/>
    <n v="9"/>
    <n v="2040746"/>
    <d v="2025-03-16T00:00:00"/>
    <n v="3"/>
    <n v="16"/>
    <n v="2025"/>
    <x v="5"/>
    <s v="Q1"/>
    <x v="4"/>
  </r>
  <r>
    <s v="O110496"/>
    <x v="543"/>
    <x v="10"/>
    <x v="0"/>
    <x v="0"/>
    <x v="1"/>
    <n v="5"/>
    <n v="2040710"/>
    <d v="2026-09-30T00:00:00"/>
    <n v="9"/>
    <n v="30"/>
    <n v="2026"/>
    <x v="1"/>
    <s v="Q3"/>
    <x v="0"/>
  </r>
  <r>
    <s v="O103888"/>
    <x v="568"/>
    <x v="0"/>
    <x v="2"/>
    <x v="2"/>
    <x v="1"/>
    <n v="7"/>
    <n v="2038864"/>
    <d v="2025-08-25T00:00:00"/>
    <n v="8"/>
    <n v="25"/>
    <n v="2025"/>
    <x v="8"/>
    <s v="Q3"/>
    <x v="2"/>
  </r>
  <r>
    <s v="O103724"/>
    <x v="610"/>
    <x v="0"/>
    <x v="0"/>
    <x v="5"/>
    <x v="1"/>
    <n v="6"/>
    <n v="2038713"/>
    <d v="2025-08-15T00:00:00"/>
    <n v="8"/>
    <n v="15"/>
    <n v="2025"/>
    <x v="8"/>
    <s v="Q3"/>
    <x v="5"/>
  </r>
  <r>
    <s v="O110158"/>
    <x v="693"/>
    <x v="0"/>
    <x v="0"/>
    <x v="1"/>
    <x v="1"/>
    <n v="5"/>
    <n v="2038682"/>
    <d v="2026-10-09T00:00:00"/>
    <n v="10"/>
    <n v="9"/>
    <n v="2026"/>
    <x v="9"/>
    <s v="Q4"/>
    <x v="1"/>
  </r>
  <r>
    <s v="O109137"/>
    <x v="766"/>
    <x v="5"/>
    <x v="2"/>
    <x v="3"/>
    <x v="1"/>
    <n v="8"/>
    <n v="2037882"/>
    <d v="2026-10-07T00:00:00"/>
    <n v="10"/>
    <n v="7"/>
    <n v="2026"/>
    <x v="9"/>
    <s v="Q4"/>
    <x v="3"/>
  </r>
  <r>
    <s v="O108775"/>
    <x v="614"/>
    <x v="4"/>
    <x v="3"/>
    <x v="2"/>
    <x v="0"/>
    <n v="8"/>
    <n v="2037171"/>
    <d v="2026-06-18T00:00:00"/>
    <n v="6"/>
    <n v="18"/>
    <n v="2026"/>
    <x v="2"/>
    <s v="Q2"/>
    <x v="2"/>
  </r>
  <r>
    <s v="O111055"/>
    <x v="264"/>
    <x v="6"/>
    <x v="3"/>
    <x v="0"/>
    <x v="2"/>
    <n v="8"/>
    <n v="2037103"/>
    <d v="2026-03-11T00:00:00"/>
    <n v="3"/>
    <n v="11"/>
    <n v="2026"/>
    <x v="5"/>
    <s v="Q1"/>
    <x v="0"/>
  </r>
  <r>
    <s v="O109176"/>
    <x v="180"/>
    <x v="9"/>
    <x v="0"/>
    <x v="1"/>
    <x v="3"/>
    <n v="4"/>
    <n v="2036837"/>
    <d v="2026-12-07T00:00:00"/>
    <n v="12"/>
    <n v="7"/>
    <n v="2026"/>
    <x v="7"/>
    <s v="Q4"/>
    <x v="1"/>
  </r>
  <r>
    <s v="O104592"/>
    <x v="120"/>
    <x v="4"/>
    <x v="0"/>
    <x v="3"/>
    <x v="0"/>
    <n v="5"/>
    <n v="2036802"/>
    <d v="2025-06-10T00:00:00"/>
    <n v="6"/>
    <n v="10"/>
    <n v="2025"/>
    <x v="2"/>
    <s v="Q2"/>
    <x v="3"/>
  </r>
  <r>
    <s v="O103646"/>
    <x v="289"/>
    <x v="4"/>
    <x v="0"/>
    <x v="3"/>
    <x v="2"/>
    <n v="5"/>
    <n v="2035232"/>
    <d v="2025-10-08T00:00:00"/>
    <n v="10"/>
    <n v="8"/>
    <n v="2025"/>
    <x v="9"/>
    <s v="Q4"/>
    <x v="3"/>
  </r>
  <r>
    <s v="O108920"/>
    <x v="342"/>
    <x v="5"/>
    <x v="2"/>
    <x v="1"/>
    <x v="0"/>
    <n v="9"/>
    <n v="2033879"/>
    <d v="2026-06-26T00:00:00"/>
    <n v="6"/>
    <n v="26"/>
    <n v="2026"/>
    <x v="2"/>
    <s v="Q2"/>
    <x v="1"/>
  </r>
  <r>
    <s v="O109029"/>
    <x v="633"/>
    <x v="3"/>
    <x v="3"/>
    <x v="1"/>
    <x v="2"/>
    <n v="8"/>
    <n v="2033622"/>
    <d v="2026-03-07T00:00:00"/>
    <n v="3"/>
    <n v="7"/>
    <n v="2026"/>
    <x v="5"/>
    <s v="Q1"/>
    <x v="1"/>
  </r>
  <r>
    <s v="O109886"/>
    <x v="230"/>
    <x v="10"/>
    <x v="2"/>
    <x v="2"/>
    <x v="3"/>
    <n v="7"/>
    <n v="2032850"/>
    <d v="2026-08-24T00:00:00"/>
    <n v="8"/>
    <n v="24"/>
    <n v="2026"/>
    <x v="8"/>
    <s v="Q3"/>
    <x v="2"/>
  </r>
  <r>
    <s v="O103979"/>
    <x v="241"/>
    <x v="0"/>
    <x v="0"/>
    <x v="3"/>
    <x v="2"/>
    <n v="6"/>
    <n v="2032840"/>
    <d v="2025-08-30T00:00:00"/>
    <n v="8"/>
    <n v="30"/>
    <n v="2025"/>
    <x v="8"/>
    <s v="Q3"/>
    <x v="3"/>
  </r>
  <r>
    <s v="O105673"/>
    <x v="345"/>
    <x v="3"/>
    <x v="2"/>
    <x v="0"/>
    <x v="2"/>
    <n v="7"/>
    <n v="2032524"/>
    <d v="2025-11-12T00:00:00"/>
    <n v="11"/>
    <n v="12"/>
    <n v="2025"/>
    <x v="0"/>
    <s v="Q4"/>
    <x v="0"/>
  </r>
  <r>
    <s v="O107612"/>
    <x v="482"/>
    <x v="5"/>
    <x v="0"/>
    <x v="2"/>
    <x v="3"/>
    <n v="5"/>
    <n v="2032174"/>
    <d v="2026-08-04T00:00:00"/>
    <n v="8"/>
    <n v="4"/>
    <n v="2026"/>
    <x v="8"/>
    <s v="Q3"/>
    <x v="2"/>
  </r>
  <r>
    <s v="O103236"/>
    <x v="567"/>
    <x v="9"/>
    <x v="0"/>
    <x v="0"/>
    <x v="0"/>
    <n v="6"/>
    <n v="2031785"/>
    <d v="2025-07-16T00:00:00"/>
    <n v="7"/>
    <n v="16"/>
    <n v="2025"/>
    <x v="10"/>
    <s v="Q3"/>
    <x v="0"/>
  </r>
  <r>
    <s v="O106481"/>
    <x v="353"/>
    <x v="8"/>
    <x v="2"/>
    <x v="3"/>
    <x v="1"/>
    <n v="8"/>
    <n v="2030799"/>
    <d v="2026-01-29T00:00:00"/>
    <n v="1"/>
    <n v="29"/>
    <n v="2026"/>
    <x v="6"/>
    <s v="Q1"/>
    <x v="3"/>
  </r>
  <r>
    <s v="O104496"/>
    <x v="634"/>
    <x v="9"/>
    <x v="2"/>
    <x v="1"/>
    <x v="2"/>
    <n v="6"/>
    <n v="2029821"/>
    <d v="2025-01-10T00:00:00"/>
    <n v="1"/>
    <n v="10"/>
    <n v="2025"/>
    <x v="6"/>
    <s v="Q1"/>
    <x v="1"/>
  </r>
  <r>
    <s v="O104834"/>
    <x v="37"/>
    <x v="2"/>
    <x v="0"/>
    <x v="4"/>
    <x v="0"/>
    <n v="5"/>
    <n v="2029448"/>
    <d v="2025-10-21T00:00:00"/>
    <n v="10"/>
    <n v="21"/>
    <n v="2025"/>
    <x v="9"/>
    <s v="Q4"/>
    <x v="4"/>
  </r>
  <r>
    <s v="O107012"/>
    <x v="344"/>
    <x v="6"/>
    <x v="4"/>
    <x v="3"/>
    <x v="3"/>
    <n v="10"/>
    <n v="2029021"/>
    <d v="2026-02-03T00:00:00"/>
    <n v="2"/>
    <n v="3"/>
    <n v="2026"/>
    <x v="4"/>
    <s v="Q1"/>
    <x v="3"/>
  </r>
  <r>
    <s v="O104892"/>
    <x v="46"/>
    <x v="1"/>
    <x v="0"/>
    <x v="1"/>
    <x v="1"/>
    <n v="6"/>
    <n v="2028766"/>
    <d v="2025-10-25T00:00:00"/>
    <n v="10"/>
    <n v="25"/>
    <n v="2025"/>
    <x v="9"/>
    <s v="Q4"/>
    <x v="1"/>
  </r>
  <r>
    <s v="O103027"/>
    <x v="478"/>
    <x v="10"/>
    <x v="3"/>
    <x v="0"/>
    <x v="1"/>
    <n v="10"/>
    <n v="2028098"/>
    <d v="2025-03-07T00:00:00"/>
    <n v="3"/>
    <n v="7"/>
    <n v="2025"/>
    <x v="5"/>
    <s v="Q1"/>
    <x v="0"/>
  </r>
  <r>
    <s v="O104856"/>
    <x v="239"/>
    <x v="0"/>
    <x v="0"/>
    <x v="3"/>
    <x v="3"/>
    <n v="6"/>
    <n v="2027048"/>
    <d v="2025-10-22T00:00:00"/>
    <n v="10"/>
    <n v="22"/>
    <n v="2025"/>
    <x v="9"/>
    <s v="Q4"/>
    <x v="3"/>
  </r>
  <r>
    <s v="O104023"/>
    <x v="86"/>
    <x v="10"/>
    <x v="2"/>
    <x v="3"/>
    <x v="2"/>
    <n v="6"/>
    <n v="2026828"/>
    <d v="2025-02-09T00:00:00"/>
    <n v="2"/>
    <n v="9"/>
    <n v="2025"/>
    <x v="4"/>
    <s v="Q1"/>
    <x v="3"/>
  </r>
  <r>
    <s v="O100621"/>
    <x v="221"/>
    <x v="6"/>
    <x v="0"/>
    <x v="2"/>
    <x v="0"/>
    <n v="6"/>
    <n v="2026585"/>
    <d v="2025-07-02T00:00:00"/>
    <n v="7"/>
    <n v="2"/>
    <n v="2025"/>
    <x v="10"/>
    <s v="Q3"/>
    <x v="2"/>
  </r>
  <r>
    <s v="O107107"/>
    <x v="768"/>
    <x v="0"/>
    <x v="0"/>
    <x v="1"/>
    <x v="0"/>
    <n v="5"/>
    <n v="2025821"/>
    <d v="2026-08-03T00:00:00"/>
    <n v="8"/>
    <n v="3"/>
    <n v="2026"/>
    <x v="8"/>
    <s v="Q3"/>
    <x v="1"/>
  </r>
  <r>
    <s v="O102588"/>
    <x v="117"/>
    <x v="1"/>
    <x v="2"/>
    <x v="0"/>
    <x v="1"/>
    <n v="7"/>
    <n v="2025660"/>
    <d v="2025-07-06T00:00:00"/>
    <n v="7"/>
    <n v="6"/>
    <n v="2025"/>
    <x v="10"/>
    <s v="Q3"/>
    <x v="0"/>
  </r>
  <r>
    <s v="O102991"/>
    <x v="30"/>
    <x v="6"/>
    <x v="0"/>
    <x v="0"/>
    <x v="0"/>
    <n v="5"/>
    <n v="2024830"/>
    <d v="2025-01-07T00:00:00"/>
    <n v="1"/>
    <n v="7"/>
    <n v="2025"/>
    <x v="6"/>
    <s v="Q1"/>
    <x v="0"/>
  </r>
  <r>
    <s v="O103476"/>
    <x v="498"/>
    <x v="2"/>
    <x v="4"/>
    <x v="1"/>
    <x v="1"/>
    <n v="9"/>
    <n v="2024742"/>
    <d v="2025-07-31T00:00:00"/>
    <n v="7"/>
    <n v="31"/>
    <n v="2025"/>
    <x v="10"/>
    <s v="Q3"/>
    <x v="1"/>
  </r>
  <r>
    <s v="O104707"/>
    <x v="558"/>
    <x v="3"/>
    <x v="4"/>
    <x v="3"/>
    <x v="0"/>
    <n v="9"/>
    <n v="2024092"/>
    <d v="2025-10-13T00:00:00"/>
    <n v="10"/>
    <n v="13"/>
    <n v="2025"/>
    <x v="9"/>
    <s v="Q4"/>
    <x v="3"/>
  </r>
  <r>
    <s v="O100093"/>
    <x v="766"/>
    <x v="0"/>
    <x v="4"/>
    <x v="1"/>
    <x v="2"/>
    <n v="9"/>
    <n v="2022781"/>
    <d v="2025-06-01T00:00:00"/>
    <n v="6"/>
    <n v="1"/>
    <n v="2025"/>
    <x v="2"/>
    <s v="Q2"/>
    <x v="1"/>
  </r>
  <r>
    <s v="O107295"/>
    <x v="306"/>
    <x v="9"/>
    <x v="0"/>
    <x v="1"/>
    <x v="3"/>
    <n v="4"/>
    <n v="2022649"/>
    <d v="2026-03-20T00:00:00"/>
    <n v="3"/>
    <n v="20"/>
    <n v="2026"/>
    <x v="5"/>
    <s v="Q1"/>
    <x v="1"/>
  </r>
  <r>
    <s v="O110837"/>
    <x v="150"/>
    <x v="6"/>
    <x v="2"/>
    <x v="3"/>
    <x v="3"/>
    <n v="7"/>
    <n v="2022645"/>
    <d v="2026-10-21T00:00:00"/>
    <n v="10"/>
    <n v="21"/>
    <n v="2026"/>
    <x v="9"/>
    <s v="Q4"/>
    <x v="3"/>
  </r>
  <r>
    <s v="O102378"/>
    <x v="711"/>
    <x v="5"/>
    <x v="4"/>
    <x v="0"/>
    <x v="1"/>
    <n v="9"/>
    <n v="2022423"/>
    <d v="2025-05-25T00:00:00"/>
    <n v="5"/>
    <n v="25"/>
    <n v="2025"/>
    <x v="3"/>
    <s v="Q2"/>
    <x v="0"/>
  </r>
  <r>
    <s v="O111746"/>
    <x v="135"/>
    <x v="1"/>
    <x v="0"/>
    <x v="0"/>
    <x v="1"/>
    <n v="4"/>
    <n v="2022351"/>
    <d v="2026-12-15T00:00:00"/>
    <n v="12"/>
    <n v="15"/>
    <n v="2026"/>
    <x v="7"/>
    <s v="Q4"/>
    <x v="0"/>
  </r>
  <r>
    <s v="O105389"/>
    <x v="533"/>
    <x v="9"/>
    <x v="2"/>
    <x v="3"/>
    <x v="3"/>
    <n v="7"/>
    <n v="2020482"/>
    <d v="2025-11-24T00:00:00"/>
    <n v="11"/>
    <n v="24"/>
    <n v="2025"/>
    <x v="0"/>
    <s v="Q4"/>
    <x v="3"/>
  </r>
  <r>
    <s v="O103447"/>
    <x v="261"/>
    <x v="8"/>
    <x v="4"/>
    <x v="2"/>
    <x v="2"/>
    <n v="10"/>
    <n v="2019726"/>
    <d v="2025-07-29T00:00:00"/>
    <n v="7"/>
    <n v="29"/>
    <n v="2025"/>
    <x v="10"/>
    <s v="Q3"/>
    <x v="2"/>
  </r>
  <r>
    <s v="O100876"/>
    <x v="426"/>
    <x v="4"/>
    <x v="0"/>
    <x v="3"/>
    <x v="1"/>
    <n v="5"/>
    <n v="2019154"/>
    <d v="2025-02-23T00:00:00"/>
    <n v="2"/>
    <n v="23"/>
    <n v="2025"/>
    <x v="4"/>
    <s v="Q1"/>
    <x v="3"/>
  </r>
  <r>
    <s v="O106943"/>
    <x v="769"/>
    <x v="8"/>
    <x v="2"/>
    <x v="2"/>
    <x v="2"/>
    <n v="6"/>
    <n v="2018139"/>
    <d v="2026-02-26T00:00:00"/>
    <n v="2"/>
    <n v="26"/>
    <n v="2026"/>
    <x v="4"/>
    <s v="Q1"/>
    <x v="2"/>
  </r>
  <r>
    <s v="O111932"/>
    <x v="78"/>
    <x v="10"/>
    <x v="2"/>
    <x v="2"/>
    <x v="2"/>
    <n v="6"/>
    <n v="2017689"/>
    <d v="2026-12-26T00:00:00"/>
    <n v="12"/>
    <n v="26"/>
    <n v="2026"/>
    <x v="7"/>
    <s v="Q4"/>
    <x v="2"/>
  </r>
  <r>
    <s v="O106390"/>
    <x v="486"/>
    <x v="8"/>
    <x v="2"/>
    <x v="3"/>
    <x v="3"/>
    <n v="7"/>
    <n v="2017129"/>
    <d v="2026-01-24T00:00:00"/>
    <n v="1"/>
    <n v="24"/>
    <n v="2026"/>
    <x v="6"/>
    <s v="Q1"/>
    <x v="3"/>
  </r>
  <r>
    <s v="O102907"/>
    <x v="13"/>
    <x v="1"/>
    <x v="3"/>
    <x v="1"/>
    <x v="0"/>
    <n v="8"/>
    <n v="2016722"/>
    <d v="2025-06-26T00:00:00"/>
    <n v="6"/>
    <n v="26"/>
    <n v="2025"/>
    <x v="2"/>
    <s v="Q2"/>
    <x v="1"/>
  </r>
  <r>
    <s v="O101848"/>
    <x v="345"/>
    <x v="9"/>
    <x v="0"/>
    <x v="1"/>
    <x v="0"/>
    <n v="4"/>
    <n v="2016382"/>
    <d v="2025-04-23T00:00:00"/>
    <n v="4"/>
    <n v="23"/>
    <n v="2025"/>
    <x v="11"/>
    <s v="Q2"/>
    <x v="1"/>
  </r>
  <r>
    <s v="O105901"/>
    <x v="742"/>
    <x v="1"/>
    <x v="2"/>
    <x v="0"/>
    <x v="0"/>
    <n v="6"/>
    <n v="2015922"/>
    <d v="2025-12-25T00:00:00"/>
    <n v="12"/>
    <n v="25"/>
    <n v="2025"/>
    <x v="7"/>
    <s v="Q4"/>
    <x v="0"/>
  </r>
  <r>
    <s v="O104075"/>
    <x v="527"/>
    <x v="4"/>
    <x v="2"/>
    <x v="1"/>
    <x v="3"/>
    <n v="7"/>
    <n v="2015686"/>
    <d v="2025-05-09T00:00:00"/>
    <n v="5"/>
    <n v="9"/>
    <n v="2025"/>
    <x v="3"/>
    <m/>
    <x v="1"/>
  </r>
  <r>
    <s v="O111784"/>
    <x v="261"/>
    <x v="2"/>
    <x v="4"/>
    <x v="4"/>
    <x v="0"/>
    <n v="10"/>
    <n v="2015064"/>
    <d v="2026-12-17T00:00:00"/>
    <n v="12"/>
    <n v="17"/>
    <n v="2026"/>
    <x v="7"/>
    <s v="Q4"/>
    <x v="4"/>
  </r>
  <r>
    <s v="O106395"/>
    <x v="452"/>
    <x v="5"/>
    <x v="3"/>
    <x v="2"/>
    <x v="1"/>
    <n v="8"/>
    <n v="2014489"/>
    <d v="2026-01-24T00:00:00"/>
    <n v="1"/>
    <n v="24"/>
    <n v="2026"/>
    <x v="6"/>
    <s v="Q1"/>
    <x v="2"/>
  </r>
  <r>
    <s v="O101173"/>
    <x v="308"/>
    <x v="6"/>
    <x v="2"/>
    <x v="2"/>
    <x v="1"/>
    <n v="8"/>
    <n v="2013851"/>
    <d v="2025-03-13T00:00:00"/>
    <n v="3"/>
    <n v="13"/>
    <n v="2025"/>
    <x v="5"/>
    <s v="Q1"/>
    <x v="2"/>
  </r>
  <r>
    <s v="O103338"/>
    <x v="338"/>
    <x v="9"/>
    <x v="4"/>
    <x v="2"/>
    <x v="2"/>
    <n v="9"/>
    <n v="2010161"/>
    <d v="2025-07-22T00:00:00"/>
    <n v="7"/>
    <n v="22"/>
    <n v="2025"/>
    <x v="10"/>
    <s v="Q3"/>
    <x v="2"/>
  </r>
  <r>
    <s v="O103527"/>
    <x v="457"/>
    <x v="10"/>
    <x v="3"/>
    <x v="3"/>
    <x v="0"/>
    <n v="10"/>
    <n v="2009841"/>
    <d v="2025-03-08T00:00:00"/>
    <n v="3"/>
    <n v="8"/>
    <n v="2025"/>
    <x v="5"/>
    <s v="Q1"/>
    <x v="3"/>
  </r>
  <r>
    <s v="O108639"/>
    <x v="118"/>
    <x v="6"/>
    <x v="2"/>
    <x v="1"/>
    <x v="3"/>
    <n v="7"/>
    <n v="2008416"/>
    <d v="2026-09-06T00:00:00"/>
    <n v="9"/>
    <n v="6"/>
    <n v="2026"/>
    <x v="1"/>
    <s v="Q3"/>
    <x v="1"/>
  </r>
  <r>
    <s v="O110315"/>
    <x v="748"/>
    <x v="8"/>
    <x v="4"/>
    <x v="1"/>
    <x v="3"/>
    <n v="9"/>
    <n v="2007946"/>
    <d v="2026-09-19T00:00:00"/>
    <n v="9"/>
    <n v="19"/>
    <n v="2026"/>
    <x v="1"/>
    <s v="Q3"/>
    <x v="1"/>
  </r>
  <r>
    <s v="O100333"/>
    <x v="291"/>
    <x v="3"/>
    <x v="0"/>
    <x v="4"/>
    <x v="1"/>
    <n v="4"/>
    <n v="2007934"/>
    <d v="2025-01-21T00:00:00"/>
    <n v="1"/>
    <n v="21"/>
    <n v="2025"/>
    <x v="6"/>
    <s v="Q1"/>
    <x v="4"/>
  </r>
  <r>
    <s v="O107218"/>
    <x v="770"/>
    <x v="10"/>
    <x v="4"/>
    <x v="2"/>
    <x v="1"/>
    <n v="9"/>
    <n v="2007902"/>
    <d v="2026-03-15T00:00:00"/>
    <n v="3"/>
    <n v="15"/>
    <n v="2026"/>
    <x v="5"/>
    <s v="Q1"/>
    <x v="2"/>
  </r>
  <r>
    <s v="O103336"/>
    <x v="68"/>
    <x v="3"/>
    <x v="4"/>
    <x v="1"/>
    <x v="2"/>
    <n v="9"/>
    <n v="2006892"/>
    <d v="2025-07-22T00:00:00"/>
    <n v="7"/>
    <n v="22"/>
    <n v="2025"/>
    <x v="10"/>
    <s v="Q3"/>
    <x v="1"/>
  </r>
  <r>
    <s v="O101050"/>
    <x v="8"/>
    <x v="3"/>
    <x v="0"/>
    <x v="0"/>
    <x v="1"/>
    <n v="5"/>
    <n v="2006788"/>
    <d v="2025-05-03T00:00:00"/>
    <n v="5"/>
    <n v="3"/>
    <n v="2025"/>
    <x v="3"/>
    <s v="Q2"/>
    <x v="0"/>
  </r>
  <r>
    <s v="O103503"/>
    <x v="642"/>
    <x v="1"/>
    <x v="3"/>
    <x v="2"/>
    <x v="2"/>
    <n v="8"/>
    <n v="2006533"/>
    <d v="2025-01-08T00:00:00"/>
    <n v="1"/>
    <n v="8"/>
    <n v="2025"/>
    <x v="6"/>
    <s v="Q1"/>
    <x v="2"/>
  </r>
  <r>
    <s v="O111718"/>
    <x v="359"/>
    <x v="0"/>
    <x v="4"/>
    <x v="2"/>
    <x v="0"/>
    <n v="10"/>
    <n v="2006518"/>
    <d v="2026-12-13T00:00:00"/>
    <n v="12"/>
    <n v="13"/>
    <n v="2026"/>
    <x v="7"/>
    <s v="Q4"/>
    <x v="2"/>
  </r>
  <r>
    <s v="O105446"/>
    <x v="51"/>
    <x v="5"/>
    <x v="0"/>
    <x v="2"/>
    <x v="2"/>
    <n v="5"/>
    <n v="2006453"/>
    <d v="2025-11-27T00:00:00"/>
    <n v="11"/>
    <n v="27"/>
    <n v="2025"/>
    <x v="0"/>
    <m/>
    <x v="2"/>
  </r>
  <r>
    <s v="O107769"/>
    <x v="742"/>
    <x v="9"/>
    <x v="0"/>
    <x v="3"/>
    <x v="0"/>
    <n v="5"/>
    <n v="2006433"/>
    <d v="2026-04-17T00:00:00"/>
    <n v="4"/>
    <n v="17"/>
    <n v="2026"/>
    <x v="11"/>
    <s v="Q2"/>
    <x v="3"/>
  </r>
  <r>
    <s v="O106494"/>
    <x v="188"/>
    <x v="9"/>
    <x v="0"/>
    <x v="4"/>
    <x v="2"/>
    <n v="4"/>
    <n v="2006017"/>
    <d v="2026-01-30T00:00:00"/>
    <n v="1"/>
    <n v="30"/>
    <n v="2026"/>
    <x v="6"/>
    <s v="Q1"/>
    <x v="4"/>
  </r>
  <r>
    <s v="O105081"/>
    <x v="255"/>
    <x v="4"/>
    <x v="0"/>
    <x v="4"/>
    <x v="1"/>
    <n v="4"/>
    <n v="2005952"/>
    <d v="2025-05-11T00:00:00"/>
    <n v="5"/>
    <n v="11"/>
    <n v="2025"/>
    <x v="3"/>
    <s v="Q2"/>
    <x v="4"/>
  </r>
  <r>
    <s v="O100243"/>
    <x v="108"/>
    <x v="3"/>
    <x v="3"/>
    <x v="1"/>
    <x v="1"/>
    <n v="10"/>
    <n v="2004310"/>
    <d v="2025-01-15T00:00:00"/>
    <n v="1"/>
    <n v="15"/>
    <n v="2025"/>
    <x v="6"/>
    <s v="Q1"/>
    <x v="1"/>
  </r>
  <r>
    <s v="O110673"/>
    <x v="556"/>
    <x v="4"/>
    <x v="0"/>
    <x v="0"/>
    <x v="3"/>
    <n v="5"/>
    <n v="2004000"/>
    <d v="2026-11-10T00:00:00"/>
    <n v="11"/>
    <n v="10"/>
    <n v="2026"/>
    <x v="0"/>
    <s v="Q4"/>
    <x v="0"/>
  </r>
  <r>
    <s v="O108183"/>
    <x v="223"/>
    <x v="0"/>
    <x v="0"/>
    <x v="4"/>
    <x v="3"/>
    <n v="4"/>
    <n v="2003995"/>
    <d v="2026-05-13T00:00:00"/>
    <n v="5"/>
    <n v="13"/>
    <n v="2026"/>
    <x v="3"/>
    <s v="Q2"/>
    <x v="4"/>
  </r>
  <r>
    <s v="O106742"/>
    <x v="567"/>
    <x v="4"/>
    <x v="0"/>
    <x v="3"/>
    <x v="0"/>
    <n v="4"/>
    <n v="2003165"/>
    <d v="2026-02-14T00:00:00"/>
    <n v="2"/>
    <n v="14"/>
    <n v="2026"/>
    <x v="4"/>
    <s v="Q1"/>
    <x v="3"/>
  </r>
  <r>
    <s v="O103214"/>
    <x v="759"/>
    <x v="10"/>
    <x v="4"/>
    <x v="4"/>
    <x v="0"/>
    <n v="9"/>
    <n v="2001868"/>
    <d v="2025-07-15T00:00:00"/>
    <n v="7"/>
    <n v="15"/>
    <n v="2025"/>
    <x v="10"/>
    <s v="Q3"/>
    <x v="4"/>
  </r>
  <r>
    <s v="O105261"/>
    <x v="666"/>
    <x v="1"/>
    <x v="0"/>
    <x v="4"/>
    <x v="1"/>
    <n v="4"/>
    <n v="2001600"/>
    <d v="2025-11-16T00:00:00"/>
    <n v="11"/>
    <n v="16"/>
    <n v="2025"/>
    <x v="0"/>
    <m/>
    <x v="4"/>
  </r>
  <r>
    <s v="O102505"/>
    <x v="213"/>
    <x v="4"/>
    <x v="0"/>
    <x v="9"/>
    <x v="1"/>
    <n v="5"/>
    <n v="2000409"/>
    <d v="2025-02-06T00:00:00"/>
    <n v="2"/>
    <n v="6"/>
    <n v="2025"/>
    <x v="4"/>
    <m/>
    <x v="0"/>
  </r>
  <r>
    <s v="O100006"/>
    <x v="100"/>
    <x v="8"/>
    <x v="0"/>
    <x v="2"/>
    <x v="0"/>
    <n v="5"/>
    <n v="1999576"/>
    <d v="2025-01-01T00:00:00"/>
    <n v="1"/>
    <n v="1"/>
    <n v="2025"/>
    <x v="6"/>
    <s v="Q1"/>
    <x v="2"/>
  </r>
  <r>
    <s v="O101724"/>
    <x v="315"/>
    <x v="3"/>
    <x v="0"/>
    <x v="3"/>
    <x v="1"/>
    <n v="4"/>
    <n v="1998868"/>
    <d v="2025-04-15T00:00:00"/>
    <n v="4"/>
    <n v="15"/>
    <n v="2025"/>
    <x v="11"/>
    <s v="Q2"/>
    <x v="3"/>
  </r>
  <r>
    <s v="O111638"/>
    <x v="190"/>
    <x v="6"/>
    <x v="2"/>
    <x v="1"/>
    <x v="3"/>
    <n v="6"/>
    <n v="1998299"/>
    <d v="2026-09-12T00:00:00"/>
    <n v="9"/>
    <n v="12"/>
    <n v="2026"/>
    <x v="1"/>
    <s v="Q3"/>
    <x v="1"/>
  </r>
  <r>
    <s v="O111761"/>
    <x v="488"/>
    <x v="2"/>
    <x v="4"/>
    <x v="3"/>
    <x v="2"/>
    <n v="10"/>
    <n v="1998085"/>
    <d v="2026-12-16T00:00:00"/>
    <n v="12"/>
    <n v="16"/>
    <n v="2026"/>
    <x v="7"/>
    <s v="Q4"/>
    <x v="3"/>
  </r>
  <r>
    <s v="O110471"/>
    <x v="414"/>
    <x v="5"/>
    <x v="2"/>
    <x v="4"/>
    <x v="1"/>
    <n v="8"/>
    <n v="1997853"/>
    <d v="2026-09-29T00:00:00"/>
    <n v="9"/>
    <n v="29"/>
    <n v="2026"/>
    <x v="1"/>
    <s v="Q3"/>
    <x v="4"/>
  </r>
  <r>
    <s v="O111146"/>
    <x v="271"/>
    <x v="6"/>
    <x v="2"/>
    <x v="4"/>
    <x v="3"/>
    <n v="6"/>
    <n v="1997748"/>
    <d v="2026-09-11T00:00:00"/>
    <n v="9"/>
    <n v="11"/>
    <n v="2026"/>
    <x v="1"/>
    <s v="Q3"/>
    <x v="4"/>
  </r>
  <r>
    <s v="O106444"/>
    <x v="310"/>
    <x v="5"/>
    <x v="0"/>
    <x v="0"/>
    <x v="2"/>
    <n v="4"/>
    <n v="1997618"/>
    <d v="2026-01-27T00:00:00"/>
    <n v="1"/>
    <n v="27"/>
    <n v="2026"/>
    <x v="6"/>
    <s v="Q1"/>
    <x v="0"/>
  </r>
  <r>
    <s v="O108979"/>
    <x v="667"/>
    <x v="3"/>
    <x v="2"/>
    <x v="3"/>
    <x v="0"/>
    <n v="6"/>
    <n v="1996586"/>
    <d v="2026-06-30T00:00:00"/>
    <n v="6"/>
    <n v="30"/>
    <n v="2026"/>
    <x v="2"/>
    <s v="Q2"/>
    <x v="3"/>
  </r>
  <r>
    <s v="O100813"/>
    <x v="345"/>
    <x v="3"/>
    <x v="0"/>
    <x v="3"/>
    <x v="2"/>
    <n v="4"/>
    <n v="1996229"/>
    <d v="2025-02-19T00:00:00"/>
    <n v="2"/>
    <n v="19"/>
    <n v="2025"/>
    <x v="4"/>
    <s v="Q1"/>
    <x v="3"/>
  </r>
  <r>
    <s v="O100230"/>
    <x v="246"/>
    <x v="4"/>
    <x v="2"/>
    <x v="2"/>
    <x v="2"/>
    <n v="6"/>
    <n v="1994209"/>
    <d v="2025-01-14T00:00:00"/>
    <n v="1"/>
    <n v="14"/>
    <n v="2025"/>
    <x v="6"/>
    <s v="Q1"/>
    <x v="2"/>
  </r>
  <r>
    <s v="O100186"/>
    <x v="33"/>
    <x v="2"/>
    <x v="2"/>
    <x v="0"/>
    <x v="2"/>
    <n v="8"/>
    <n v="1993398"/>
    <d v="2025-12-01T00:00:00"/>
    <n v="12"/>
    <n v="1"/>
    <n v="2025"/>
    <x v="7"/>
    <s v="Q4"/>
    <x v="0"/>
  </r>
  <r>
    <s v="O105367"/>
    <x v="575"/>
    <x v="9"/>
    <x v="2"/>
    <x v="3"/>
    <x v="1"/>
    <n v="6"/>
    <n v="1992851"/>
    <d v="2025-11-23T00:00:00"/>
    <n v="11"/>
    <n v="23"/>
    <n v="2025"/>
    <x v="0"/>
    <s v="Q4"/>
    <x v="3"/>
  </r>
  <r>
    <s v="O109059"/>
    <x v="771"/>
    <x v="9"/>
    <x v="0"/>
    <x v="1"/>
    <x v="3"/>
    <n v="4"/>
    <n v="1990023"/>
    <d v="2026-05-07T00:00:00"/>
    <n v="5"/>
    <n v="7"/>
    <n v="2026"/>
    <x v="3"/>
    <s v="Q2"/>
    <x v="1"/>
  </r>
  <r>
    <s v="O106889"/>
    <x v="364"/>
    <x v="6"/>
    <x v="0"/>
    <x v="4"/>
    <x v="1"/>
    <n v="4"/>
    <n v="1989917"/>
    <d v="2026-02-23T00:00:00"/>
    <n v="2"/>
    <n v="23"/>
    <n v="2026"/>
    <x v="4"/>
    <s v="Q1"/>
    <x v="4"/>
  </r>
  <r>
    <s v="O102541"/>
    <x v="320"/>
    <x v="9"/>
    <x v="2"/>
    <x v="1"/>
    <x v="3"/>
    <n v="8"/>
    <n v="1989767"/>
    <d v="2025-04-06T00:00:00"/>
    <n v="4"/>
    <n v="6"/>
    <n v="2025"/>
    <x v="11"/>
    <s v="Q2"/>
    <x v="1"/>
  </r>
  <r>
    <s v="O108582"/>
    <x v="450"/>
    <x v="3"/>
    <x v="4"/>
    <x v="1"/>
    <x v="0"/>
    <n v="10"/>
    <n v="1989727"/>
    <d v="2026-06-06T00:00:00"/>
    <n v="6"/>
    <n v="6"/>
    <n v="2026"/>
    <x v="2"/>
    <s v="Q2"/>
    <x v="1"/>
  </r>
  <r>
    <s v="O101674"/>
    <x v="6"/>
    <x v="3"/>
    <x v="4"/>
    <x v="2"/>
    <x v="0"/>
    <n v="10"/>
    <n v="1989151"/>
    <d v="2025-12-04T00:00:00"/>
    <n v="12"/>
    <n v="4"/>
    <n v="2025"/>
    <x v="7"/>
    <s v="Q4"/>
    <x v="2"/>
  </r>
  <r>
    <s v="O106777"/>
    <x v="688"/>
    <x v="6"/>
    <x v="4"/>
    <x v="3"/>
    <x v="0"/>
    <n v="9"/>
    <n v="1988499"/>
    <d v="2026-02-16T00:00:00"/>
    <n v="2"/>
    <n v="16"/>
    <n v="2026"/>
    <x v="4"/>
    <s v="Q1"/>
    <x v="3"/>
  </r>
  <r>
    <s v="O101165"/>
    <x v="146"/>
    <x v="5"/>
    <x v="0"/>
    <x v="1"/>
    <x v="0"/>
    <n v="5"/>
    <n v="1987856"/>
    <d v="2025-12-03T00:00:00"/>
    <n v="12"/>
    <n v="3"/>
    <n v="2025"/>
    <x v="7"/>
    <s v="Q4"/>
    <x v="1"/>
  </r>
  <r>
    <s v="O106064"/>
    <x v="302"/>
    <x v="1"/>
    <x v="2"/>
    <x v="0"/>
    <x v="0"/>
    <n v="8"/>
    <n v="1987334"/>
    <d v="2026-04-01T00:00:00"/>
    <n v="4"/>
    <n v="1"/>
    <n v="2026"/>
    <x v="11"/>
    <s v="Q2"/>
    <x v="0"/>
  </r>
  <r>
    <s v="O105170"/>
    <x v="613"/>
    <x v="4"/>
    <x v="4"/>
    <x v="3"/>
    <x v="3"/>
    <n v="10"/>
    <n v="1987312"/>
    <d v="2025-11-11T00:00:00"/>
    <n v="11"/>
    <n v="11"/>
    <n v="2025"/>
    <x v="0"/>
    <s v="Q4"/>
    <x v="3"/>
  </r>
  <r>
    <s v="O104473"/>
    <x v="293"/>
    <x v="0"/>
    <x v="0"/>
    <x v="0"/>
    <x v="2"/>
    <n v="4"/>
    <n v="1986077"/>
    <d v="2025-09-29T00:00:00"/>
    <n v="9"/>
    <n v="29"/>
    <n v="2025"/>
    <x v="1"/>
    <s v="Q3"/>
    <x v="0"/>
  </r>
  <r>
    <s v="O104866"/>
    <x v="560"/>
    <x v="1"/>
    <x v="2"/>
    <x v="1"/>
    <x v="2"/>
    <n v="6"/>
    <n v="1985755"/>
    <d v="2025-10-23T00:00:00"/>
    <n v="10"/>
    <n v="23"/>
    <n v="2025"/>
    <x v="9"/>
    <s v="Q4"/>
    <x v="1"/>
  </r>
  <r>
    <s v="O111349"/>
    <x v="11"/>
    <x v="0"/>
    <x v="0"/>
    <x v="0"/>
    <x v="1"/>
    <n v="4"/>
    <n v="1985099"/>
    <d v="2026-11-21T00:00:00"/>
    <n v="11"/>
    <n v="21"/>
    <n v="2026"/>
    <x v="0"/>
    <s v="Q4"/>
    <x v="0"/>
  </r>
  <r>
    <s v="O108105"/>
    <x v="160"/>
    <x v="3"/>
    <x v="4"/>
    <x v="2"/>
    <x v="3"/>
    <n v="9"/>
    <n v="1984038"/>
    <d v="2026-08-05T00:00:00"/>
    <n v="8"/>
    <n v="5"/>
    <n v="2026"/>
    <x v="8"/>
    <s v="Q3"/>
    <x v="2"/>
  </r>
  <r>
    <s v="O101918"/>
    <x v="463"/>
    <x v="2"/>
    <x v="2"/>
    <x v="4"/>
    <x v="1"/>
    <n v="6"/>
    <n v="1983858"/>
    <d v="2025-04-27T00:00:00"/>
    <n v="4"/>
    <n v="27"/>
    <n v="2025"/>
    <x v="11"/>
    <s v="Q2"/>
    <x v="4"/>
  </r>
  <r>
    <s v="O106829"/>
    <x v="33"/>
    <x v="8"/>
    <x v="2"/>
    <x v="3"/>
    <x v="2"/>
    <n v="8"/>
    <n v="1983605"/>
    <d v="2026-02-19T00:00:00"/>
    <n v="2"/>
    <n v="19"/>
    <n v="2026"/>
    <x v="4"/>
    <s v="Q1"/>
    <x v="3"/>
  </r>
  <r>
    <s v="O111958"/>
    <x v="611"/>
    <x v="1"/>
    <x v="3"/>
    <x v="2"/>
    <x v="1"/>
    <n v="9"/>
    <n v="1982542"/>
    <d v="2026-12-28T00:00:00"/>
    <n v="12"/>
    <n v="28"/>
    <n v="2026"/>
    <x v="7"/>
    <s v="Q4"/>
    <x v="2"/>
  </r>
  <r>
    <s v="O109550"/>
    <x v="122"/>
    <x v="5"/>
    <x v="3"/>
    <x v="2"/>
    <x v="1"/>
    <n v="10"/>
    <n v="1982336"/>
    <d v="2026-04-08T00:00:00"/>
    <n v="4"/>
    <n v="8"/>
    <n v="2026"/>
    <x v="11"/>
    <s v="Q2"/>
    <x v="2"/>
  </r>
  <r>
    <s v="O104956"/>
    <x v="665"/>
    <x v="6"/>
    <x v="4"/>
    <x v="3"/>
    <x v="3"/>
    <n v="9"/>
    <n v="1982091"/>
    <d v="2025-10-29T00:00:00"/>
    <n v="10"/>
    <n v="29"/>
    <n v="2025"/>
    <x v="9"/>
    <s v="Q4"/>
    <x v="3"/>
  </r>
  <r>
    <s v="O100962"/>
    <x v="304"/>
    <x v="10"/>
    <x v="2"/>
    <x v="3"/>
    <x v="3"/>
    <n v="8"/>
    <n v="1981725"/>
    <d v="2025-02-28T00:00:00"/>
    <n v="2"/>
    <n v="28"/>
    <n v="2025"/>
    <x v="4"/>
    <s v="Q1"/>
    <x v="3"/>
  </r>
  <r>
    <s v="O108094"/>
    <x v="544"/>
    <x v="8"/>
    <x v="3"/>
    <x v="4"/>
    <x v="3"/>
    <n v="8"/>
    <n v="1980214"/>
    <d v="2026-07-05T00:00:00"/>
    <n v="7"/>
    <n v="5"/>
    <n v="2026"/>
    <x v="10"/>
    <s v="Q3"/>
    <x v="4"/>
  </r>
  <r>
    <s v="O103453"/>
    <x v="772"/>
    <x v="9"/>
    <x v="2"/>
    <x v="4"/>
    <x v="3"/>
    <n v="6"/>
    <n v="1979659"/>
    <d v="2025-07-29T00:00:00"/>
    <n v="7"/>
    <n v="29"/>
    <n v="2025"/>
    <x v="10"/>
    <s v="Q3"/>
    <x v="4"/>
  </r>
  <r>
    <s v="O107588"/>
    <x v="762"/>
    <x v="4"/>
    <x v="4"/>
    <x v="1"/>
    <x v="3"/>
    <n v="10"/>
    <n v="1979215"/>
    <d v="2026-06-04T00:00:00"/>
    <n v="6"/>
    <n v="4"/>
    <n v="2026"/>
    <x v="2"/>
    <s v="Q2"/>
    <x v="1"/>
  </r>
  <r>
    <s v="O107977"/>
    <x v="512"/>
    <x v="0"/>
    <x v="3"/>
    <x v="0"/>
    <x v="2"/>
    <n v="9"/>
    <n v="1979105"/>
    <d v="2026-04-30T00:00:00"/>
    <n v="4"/>
    <n v="30"/>
    <n v="2026"/>
    <x v="11"/>
    <s v="Q2"/>
    <x v="0"/>
  </r>
  <r>
    <s v="O109734"/>
    <x v="631"/>
    <x v="8"/>
    <x v="4"/>
    <x v="4"/>
    <x v="2"/>
    <n v="10"/>
    <n v="1978951"/>
    <d v="2026-08-15T00:00:00"/>
    <n v="8"/>
    <n v="15"/>
    <n v="2026"/>
    <x v="8"/>
    <s v="Q3"/>
    <x v="4"/>
  </r>
  <r>
    <s v="O110534"/>
    <x v="279"/>
    <x v="9"/>
    <x v="0"/>
    <x v="0"/>
    <x v="2"/>
    <n v="5"/>
    <n v="1978849"/>
    <d v="2026-02-10T00:00:00"/>
    <n v="2"/>
    <n v="10"/>
    <n v="2026"/>
    <x v="4"/>
    <s v="Q1"/>
    <x v="0"/>
  </r>
  <r>
    <s v="O107041"/>
    <x v="379"/>
    <x v="5"/>
    <x v="4"/>
    <x v="0"/>
    <x v="0"/>
    <n v="9"/>
    <n v="1978544"/>
    <d v="2026-04-03T00:00:00"/>
    <n v="4"/>
    <n v="3"/>
    <n v="2026"/>
    <x v="11"/>
    <s v="Q2"/>
    <x v="0"/>
  </r>
  <r>
    <s v="O108155"/>
    <x v="573"/>
    <x v="10"/>
    <x v="4"/>
    <x v="4"/>
    <x v="2"/>
    <n v="10"/>
    <n v="1977945"/>
    <d v="2026-11-05T00:00:00"/>
    <n v="11"/>
    <n v="5"/>
    <n v="2026"/>
    <x v="0"/>
    <s v="Q4"/>
    <x v="4"/>
  </r>
  <r>
    <s v="O101985"/>
    <x v="134"/>
    <x v="4"/>
    <x v="0"/>
    <x v="3"/>
    <x v="0"/>
    <n v="5"/>
    <n v="1977728"/>
    <d v="2025-01-05T00:00:00"/>
    <n v="1"/>
    <n v="5"/>
    <n v="2025"/>
    <x v="6"/>
    <s v="Q1"/>
    <x v="3"/>
  </r>
  <r>
    <s v="O110783"/>
    <x v="133"/>
    <x v="2"/>
    <x v="3"/>
    <x v="2"/>
    <x v="3"/>
    <n v="10"/>
    <n v="1977485"/>
    <d v="2026-10-18T00:00:00"/>
    <n v="10"/>
    <n v="18"/>
    <n v="2026"/>
    <x v="9"/>
    <s v="Q4"/>
    <x v="2"/>
  </r>
  <r>
    <s v="O106320"/>
    <x v="168"/>
    <x v="9"/>
    <x v="0"/>
    <x v="4"/>
    <x v="0"/>
    <n v="5"/>
    <n v="1977454"/>
    <d v="2026-01-19T00:00:00"/>
    <n v="1"/>
    <n v="19"/>
    <n v="2026"/>
    <x v="6"/>
    <s v="Q1"/>
    <x v="4"/>
  </r>
  <r>
    <s v="O104977"/>
    <x v="440"/>
    <x v="2"/>
    <x v="0"/>
    <x v="1"/>
    <x v="2"/>
    <n v="4"/>
    <n v="1976998"/>
    <d v="2025-10-30T00:00:00"/>
    <n v="10"/>
    <n v="30"/>
    <n v="2025"/>
    <x v="9"/>
    <s v="Q4"/>
    <x v="1"/>
  </r>
  <r>
    <s v="O101440"/>
    <x v="689"/>
    <x v="10"/>
    <x v="2"/>
    <x v="4"/>
    <x v="2"/>
    <n v="8"/>
    <n v="1976954"/>
    <d v="2025-03-29T00:00:00"/>
    <n v="3"/>
    <n v="29"/>
    <n v="2025"/>
    <x v="5"/>
    <s v="Q1"/>
    <x v="4"/>
  </r>
  <r>
    <s v="O100218"/>
    <x v="281"/>
    <x v="9"/>
    <x v="4"/>
    <x v="0"/>
    <x v="0"/>
    <n v="10"/>
    <n v="1976251"/>
    <d v="2025-01-14T00:00:00"/>
    <n v="1"/>
    <n v="14"/>
    <n v="2025"/>
    <x v="6"/>
    <s v="Q1"/>
    <x v="0"/>
  </r>
  <r>
    <s v="O103577"/>
    <x v="245"/>
    <x v="6"/>
    <x v="0"/>
    <x v="3"/>
    <x v="2"/>
    <n v="4"/>
    <n v="1975813"/>
    <d v="2025-06-08T00:00:00"/>
    <n v="6"/>
    <n v="8"/>
    <n v="2025"/>
    <x v="2"/>
    <s v="Q2"/>
    <x v="3"/>
  </r>
  <r>
    <s v="O100999"/>
    <x v="151"/>
    <x v="8"/>
    <x v="3"/>
    <x v="2"/>
    <x v="0"/>
    <n v="8"/>
    <n v="1975566"/>
    <d v="2025-02-03T00:00:00"/>
    <n v="2"/>
    <n v="3"/>
    <n v="2025"/>
    <x v="4"/>
    <s v="Q1"/>
    <x v="2"/>
  </r>
  <r>
    <s v="O100365"/>
    <x v="773"/>
    <x v="8"/>
    <x v="3"/>
    <x v="2"/>
    <x v="0"/>
    <n v="8"/>
    <n v="1975172"/>
    <d v="2025-01-23T00:00:00"/>
    <n v="1"/>
    <n v="23"/>
    <n v="2025"/>
    <x v="6"/>
    <s v="Q1"/>
    <x v="2"/>
  </r>
  <r>
    <s v="O107402"/>
    <x v="769"/>
    <x v="6"/>
    <x v="4"/>
    <x v="2"/>
    <x v="3"/>
    <n v="9"/>
    <n v="1974783"/>
    <d v="2026-03-26T00:00:00"/>
    <n v="3"/>
    <n v="26"/>
    <n v="2026"/>
    <x v="5"/>
    <s v="Q1"/>
    <x v="2"/>
  </r>
  <r>
    <s v="O106600"/>
    <x v="107"/>
    <x v="10"/>
    <x v="2"/>
    <x v="0"/>
    <x v="1"/>
    <n v="7"/>
    <n v="1973641"/>
    <d v="2026-05-02T00:00:00"/>
    <n v="5"/>
    <n v="2"/>
    <n v="2026"/>
    <x v="3"/>
    <s v="Q2"/>
    <x v="0"/>
  </r>
  <r>
    <s v="O107820"/>
    <x v="663"/>
    <x v="10"/>
    <x v="2"/>
    <x v="1"/>
    <x v="2"/>
    <n v="8"/>
    <n v="1973026"/>
    <d v="2026-04-21T00:00:00"/>
    <n v="4"/>
    <n v="21"/>
    <n v="2026"/>
    <x v="11"/>
    <s v="Q2"/>
    <x v="1"/>
  </r>
  <r>
    <s v="O100850"/>
    <x v="181"/>
    <x v="2"/>
    <x v="2"/>
    <x v="4"/>
    <x v="2"/>
    <n v="8"/>
    <n v="1972733"/>
    <d v="2025-02-21T00:00:00"/>
    <n v="2"/>
    <n v="21"/>
    <n v="2025"/>
    <x v="4"/>
    <s v="Q1"/>
    <x v="4"/>
  </r>
  <r>
    <s v="O100666"/>
    <x v="275"/>
    <x v="5"/>
    <x v="0"/>
    <x v="0"/>
    <x v="2"/>
    <n v="4"/>
    <n v="1972290"/>
    <d v="2025-10-02T00:00:00"/>
    <n v="10"/>
    <n v="2"/>
    <n v="2025"/>
    <x v="9"/>
    <s v="Q4"/>
    <x v="0"/>
  </r>
  <r>
    <s v="O109672"/>
    <x v="195"/>
    <x v="9"/>
    <x v="4"/>
    <x v="0"/>
    <x v="1"/>
    <n v="9"/>
    <n v="1971163"/>
    <d v="2026-11-08T00:00:00"/>
    <n v="11"/>
    <n v="8"/>
    <n v="2026"/>
    <x v="0"/>
    <s v="Q4"/>
    <x v="0"/>
  </r>
  <r>
    <s v="O106191"/>
    <x v="134"/>
    <x v="4"/>
    <x v="4"/>
    <x v="3"/>
    <x v="2"/>
    <n v="9"/>
    <n v="1970696"/>
    <d v="2026-12-01T00:00:00"/>
    <n v="12"/>
    <n v="1"/>
    <n v="2026"/>
    <x v="7"/>
    <s v="Q4"/>
    <x v="3"/>
  </r>
  <r>
    <s v="O103651"/>
    <x v="34"/>
    <x v="4"/>
    <x v="4"/>
    <x v="0"/>
    <x v="3"/>
    <n v="9"/>
    <n v="1970431"/>
    <d v="2025-10-08T00:00:00"/>
    <n v="10"/>
    <n v="8"/>
    <n v="2025"/>
    <x v="9"/>
    <s v="Q4"/>
    <x v="0"/>
  </r>
  <r>
    <s v="O109644"/>
    <x v="745"/>
    <x v="2"/>
    <x v="0"/>
    <x v="3"/>
    <x v="3"/>
    <n v="4"/>
    <n v="1970081"/>
    <d v="2026-09-08T00:00:00"/>
    <n v="9"/>
    <n v="8"/>
    <n v="2026"/>
    <x v="1"/>
    <s v="Q3"/>
    <x v="3"/>
  </r>
  <r>
    <s v="O100481"/>
    <x v="453"/>
    <x v="1"/>
    <x v="2"/>
    <x v="1"/>
    <x v="0"/>
    <n v="6"/>
    <n v="1968889"/>
    <d v="2025-01-30T00:00:00"/>
    <n v="1"/>
    <n v="30"/>
    <n v="2025"/>
    <x v="6"/>
    <s v="Q1"/>
    <x v="1"/>
  </r>
  <r>
    <s v="O110986"/>
    <x v="309"/>
    <x v="1"/>
    <x v="0"/>
    <x v="2"/>
    <x v="2"/>
    <n v="4"/>
    <n v="1968368"/>
    <d v="2026-10-30T00:00:00"/>
    <n v="10"/>
    <n v="30"/>
    <n v="2026"/>
    <x v="9"/>
    <m/>
    <x v="2"/>
  </r>
  <r>
    <s v="O106473"/>
    <x v="706"/>
    <x v="1"/>
    <x v="2"/>
    <x v="2"/>
    <x v="3"/>
    <n v="6"/>
    <n v="1967273"/>
    <d v="2026-01-29T00:00:00"/>
    <n v="1"/>
    <n v="29"/>
    <n v="2026"/>
    <x v="6"/>
    <s v="Q1"/>
    <x v="2"/>
  </r>
  <r>
    <s v="O105910"/>
    <x v="109"/>
    <x v="2"/>
    <x v="0"/>
    <x v="3"/>
    <x v="0"/>
    <n v="5"/>
    <n v="1966956"/>
    <d v="2025-12-26T00:00:00"/>
    <n v="12"/>
    <n v="26"/>
    <n v="2025"/>
    <x v="7"/>
    <s v="Q4"/>
    <x v="3"/>
  </r>
  <r>
    <s v="O104540"/>
    <x v="126"/>
    <x v="5"/>
    <x v="0"/>
    <x v="2"/>
    <x v="2"/>
    <n v="4"/>
    <n v="1966505"/>
    <d v="2025-03-10T00:00:00"/>
    <n v="3"/>
    <n v="10"/>
    <n v="2025"/>
    <x v="5"/>
    <s v="Q1"/>
    <x v="2"/>
  </r>
  <r>
    <s v="O106182"/>
    <x v="774"/>
    <x v="4"/>
    <x v="0"/>
    <x v="3"/>
    <x v="0"/>
    <n v="4"/>
    <n v="1965735"/>
    <d v="2026-11-01T00:00:00"/>
    <n v="11"/>
    <n v="1"/>
    <n v="2026"/>
    <x v="0"/>
    <s v="Q4"/>
    <x v="3"/>
  </r>
  <r>
    <s v="O107440"/>
    <x v="645"/>
    <x v="4"/>
    <x v="0"/>
    <x v="0"/>
    <x v="1"/>
    <n v="4"/>
    <n v="1965509"/>
    <d v="2026-03-28T00:00:00"/>
    <n v="3"/>
    <n v="28"/>
    <n v="2026"/>
    <x v="5"/>
    <s v="Q1"/>
    <x v="0"/>
  </r>
  <r>
    <s v="O111271"/>
    <x v="676"/>
    <x v="10"/>
    <x v="0"/>
    <x v="3"/>
    <x v="3"/>
    <n v="5"/>
    <n v="1965261"/>
    <d v="2026-11-16T00:00:00"/>
    <n v="11"/>
    <n v="16"/>
    <n v="2026"/>
    <x v="0"/>
    <s v="Q4"/>
    <x v="3"/>
  </r>
  <r>
    <s v="O106748"/>
    <x v="408"/>
    <x v="4"/>
    <x v="0"/>
    <x v="3"/>
    <x v="0"/>
    <n v="5"/>
    <n v="1964275"/>
    <d v="2026-02-14T00:00:00"/>
    <n v="2"/>
    <n v="14"/>
    <n v="2026"/>
    <x v="4"/>
    <s v="Q1"/>
    <x v="3"/>
  </r>
  <r>
    <s v="O101053"/>
    <x v="109"/>
    <x v="9"/>
    <x v="3"/>
    <x v="4"/>
    <x v="2"/>
    <n v="10"/>
    <n v="1961691"/>
    <d v="2025-05-03T00:00:00"/>
    <n v="5"/>
    <n v="3"/>
    <n v="2025"/>
    <x v="3"/>
    <s v="Q2"/>
    <x v="4"/>
  </r>
  <r>
    <s v="O100978"/>
    <x v="85"/>
    <x v="9"/>
    <x v="0"/>
    <x v="3"/>
    <x v="1"/>
    <n v="5"/>
    <n v="1961553"/>
    <d v="2025-01-03T00:00:00"/>
    <n v="1"/>
    <n v="3"/>
    <n v="2025"/>
    <x v="6"/>
    <s v="Q1"/>
    <x v="3"/>
  </r>
  <r>
    <s v="O104429"/>
    <x v="75"/>
    <x v="8"/>
    <x v="0"/>
    <x v="2"/>
    <x v="2"/>
    <n v="4"/>
    <n v="1960687"/>
    <d v="2025-09-27T00:00:00"/>
    <n v="9"/>
    <n v="27"/>
    <n v="2025"/>
    <x v="1"/>
    <m/>
    <x v="2"/>
  </r>
  <r>
    <s v="O110341"/>
    <x v="476"/>
    <x v="3"/>
    <x v="0"/>
    <x v="0"/>
    <x v="0"/>
    <n v="5"/>
    <n v="1960677"/>
    <d v="2026-09-21T00:00:00"/>
    <n v="9"/>
    <n v="21"/>
    <n v="2026"/>
    <x v="1"/>
    <s v="Q3"/>
    <x v="0"/>
  </r>
  <r>
    <s v="O111037"/>
    <x v="515"/>
    <x v="1"/>
    <x v="2"/>
    <x v="4"/>
    <x v="1"/>
    <n v="7"/>
    <n v="1958059"/>
    <d v="2026-02-11T00:00:00"/>
    <n v="2"/>
    <n v="11"/>
    <n v="2026"/>
    <x v="4"/>
    <s v="Q1"/>
    <x v="4"/>
  </r>
  <r>
    <s v="O101383"/>
    <x v="200"/>
    <x v="4"/>
    <x v="3"/>
    <x v="2"/>
    <x v="0"/>
    <n v="10"/>
    <n v="1957620"/>
    <d v="2025-03-25T00:00:00"/>
    <n v="3"/>
    <n v="25"/>
    <n v="2025"/>
    <x v="5"/>
    <s v="Q1"/>
    <x v="2"/>
  </r>
  <r>
    <s v="O108325"/>
    <x v="14"/>
    <x v="10"/>
    <x v="0"/>
    <x v="4"/>
    <x v="3"/>
    <n v="4"/>
    <n v="1956722"/>
    <d v="2026-05-21T00:00:00"/>
    <n v="5"/>
    <n v="21"/>
    <n v="2026"/>
    <x v="3"/>
    <s v="Q2"/>
    <x v="4"/>
  </r>
  <r>
    <s v="O101302"/>
    <x v="257"/>
    <x v="6"/>
    <x v="3"/>
    <x v="1"/>
    <x v="0"/>
    <n v="10"/>
    <n v="1955431"/>
    <d v="2025-03-21T00:00:00"/>
    <n v="3"/>
    <n v="21"/>
    <n v="2025"/>
    <x v="5"/>
    <s v="Q1"/>
    <x v="1"/>
  </r>
  <r>
    <s v="O102563"/>
    <x v="775"/>
    <x v="4"/>
    <x v="0"/>
    <x v="2"/>
    <x v="0"/>
    <n v="4"/>
    <n v="1954896"/>
    <d v="2025-05-06T00:00:00"/>
    <n v="5"/>
    <n v="6"/>
    <n v="2025"/>
    <x v="3"/>
    <s v="Q2"/>
    <x v="2"/>
  </r>
  <r>
    <s v="O106901"/>
    <x v="364"/>
    <x v="8"/>
    <x v="0"/>
    <x v="4"/>
    <x v="3"/>
    <n v="5"/>
    <n v="1953933"/>
    <d v="2026-02-24T00:00:00"/>
    <n v="2"/>
    <n v="24"/>
    <n v="2026"/>
    <x v="4"/>
    <s v="Q1"/>
    <x v="4"/>
  </r>
  <r>
    <s v="O107873"/>
    <x v="313"/>
    <x v="8"/>
    <x v="3"/>
    <x v="3"/>
    <x v="1"/>
    <n v="8"/>
    <n v="1953871"/>
    <d v="2026-04-24T00:00:00"/>
    <n v="4"/>
    <n v="24"/>
    <n v="2026"/>
    <x v="11"/>
    <s v="Q2"/>
    <x v="3"/>
  </r>
  <r>
    <s v="O108584"/>
    <x v="449"/>
    <x v="6"/>
    <x v="0"/>
    <x v="0"/>
    <x v="2"/>
    <n v="5"/>
    <n v="1953584"/>
    <d v="2026-06-06T00:00:00"/>
    <n v="6"/>
    <n v="6"/>
    <n v="2026"/>
    <x v="2"/>
    <s v="Q2"/>
    <x v="0"/>
  </r>
  <r>
    <s v="O105640"/>
    <x v="179"/>
    <x v="3"/>
    <x v="0"/>
    <x v="3"/>
    <x v="3"/>
    <n v="4"/>
    <n v="1953116"/>
    <d v="2025-09-12T00:00:00"/>
    <n v="9"/>
    <n v="12"/>
    <n v="2025"/>
    <x v="1"/>
    <s v="Q3"/>
    <x v="3"/>
  </r>
  <r>
    <s v="O105726"/>
    <x v="666"/>
    <x v="8"/>
    <x v="2"/>
    <x v="3"/>
    <x v="2"/>
    <n v="7"/>
    <n v="1953008"/>
    <d v="2025-12-14T00:00:00"/>
    <n v="12"/>
    <n v="14"/>
    <n v="2025"/>
    <x v="7"/>
    <m/>
    <x v="3"/>
  </r>
  <r>
    <s v="O111793"/>
    <x v="239"/>
    <x v="4"/>
    <x v="3"/>
    <x v="3"/>
    <x v="3"/>
    <n v="10"/>
    <n v="1951967"/>
    <d v="2026-12-18T00:00:00"/>
    <n v="12"/>
    <n v="18"/>
    <n v="2026"/>
    <x v="7"/>
    <s v="Q4"/>
    <x v="3"/>
  </r>
  <r>
    <s v="O101806"/>
    <x v="613"/>
    <x v="8"/>
    <x v="4"/>
    <x v="1"/>
    <x v="0"/>
    <n v="10"/>
    <n v="1951809"/>
    <d v="2025-04-20T00:00:00"/>
    <n v="4"/>
    <n v="20"/>
    <n v="2025"/>
    <x v="11"/>
    <s v="Q2"/>
    <x v="1"/>
  </r>
  <r>
    <s v="O102390"/>
    <x v="31"/>
    <x v="3"/>
    <x v="2"/>
    <x v="4"/>
    <x v="3"/>
    <n v="8"/>
    <n v="1951084"/>
    <d v="2025-05-26T00:00:00"/>
    <n v="5"/>
    <n v="26"/>
    <n v="2025"/>
    <x v="3"/>
    <s v="Q2"/>
    <x v="4"/>
  </r>
  <r>
    <s v="O110029"/>
    <x v="632"/>
    <x v="2"/>
    <x v="2"/>
    <x v="3"/>
    <x v="1"/>
    <n v="6"/>
    <n v="1951057"/>
    <d v="2026-02-09T00:00:00"/>
    <n v="2"/>
    <n v="9"/>
    <n v="2026"/>
    <x v="4"/>
    <s v="Q1"/>
    <x v="3"/>
  </r>
  <r>
    <s v="O104723"/>
    <x v="543"/>
    <x v="5"/>
    <x v="0"/>
    <x v="0"/>
    <x v="0"/>
    <n v="5"/>
    <n v="1949859"/>
    <d v="2025-10-14T00:00:00"/>
    <n v="10"/>
    <n v="14"/>
    <n v="2025"/>
    <x v="9"/>
    <s v="Q4"/>
    <x v="0"/>
  </r>
  <r>
    <s v="O110049"/>
    <x v="706"/>
    <x v="9"/>
    <x v="4"/>
    <x v="1"/>
    <x v="2"/>
    <n v="10"/>
    <n v="1948928"/>
    <d v="2026-03-09T00:00:00"/>
    <n v="3"/>
    <n v="9"/>
    <n v="2026"/>
    <x v="5"/>
    <s v="Q1"/>
    <x v="1"/>
  </r>
  <r>
    <s v="O102733"/>
    <x v="656"/>
    <x v="0"/>
    <x v="0"/>
    <x v="3"/>
    <x v="1"/>
    <n v="5"/>
    <n v="1945699"/>
    <d v="2025-06-15T00:00:00"/>
    <n v="6"/>
    <n v="15"/>
    <n v="2025"/>
    <x v="2"/>
    <s v="Q2"/>
    <x v="3"/>
  </r>
  <r>
    <s v="O109053"/>
    <x v="409"/>
    <x v="4"/>
    <x v="0"/>
    <x v="1"/>
    <x v="0"/>
    <n v="4"/>
    <n v="1944926"/>
    <d v="2026-04-07T00:00:00"/>
    <n v="4"/>
    <n v="7"/>
    <n v="2026"/>
    <x v="11"/>
    <s v="Q2"/>
    <x v="1"/>
  </r>
  <r>
    <s v="O108243"/>
    <x v="31"/>
    <x v="5"/>
    <x v="0"/>
    <x v="1"/>
    <x v="1"/>
    <n v="5"/>
    <n v="1944645"/>
    <d v="2026-05-16T00:00:00"/>
    <n v="5"/>
    <n v="16"/>
    <n v="2026"/>
    <x v="3"/>
    <s v="Q2"/>
    <x v="1"/>
  </r>
  <r>
    <s v="O107698"/>
    <x v="156"/>
    <x v="9"/>
    <x v="2"/>
    <x v="1"/>
    <x v="1"/>
    <n v="6"/>
    <n v="1943077"/>
    <d v="2026-04-13T00:00:00"/>
    <n v="4"/>
    <n v="13"/>
    <n v="2026"/>
    <x v="11"/>
    <s v="Q2"/>
    <x v="1"/>
  </r>
  <r>
    <s v="O102143"/>
    <x v="776"/>
    <x v="6"/>
    <x v="4"/>
    <x v="3"/>
    <x v="2"/>
    <n v="9"/>
    <n v="1943035"/>
    <d v="2025-11-05T00:00:00"/>
    <n v="11"/>
    <n v="5"/>
    <n v="2025"/>
    <x v="0"/>
    <s v="Q4"/>
    <x v="3"/>
  </r>
  <r>
    <s v="O106393"/>
    <x v="777"/>
    <x v="4"/>
    <x v="4"/>
    <x v="3"/>
    <x v="1"/>
    <n v="9"/>
    <n v="1942583"/>
    <d v="2026-01-24T00:00:00"/>
    <n v="1"/>
    <n v="24"/>
    <n v="2026"/>
    <x v="6"/>
    <s v="Q1"/>
    <x v="3"/>
  </r>
  <r>
    <s v="O111654"/>
    <x v="611"/>
    <x v="4"/>
    <x v="0"/>
    <x v="0"/>
    <x v="2"/>
    <n v="5"/>
    <n v="1942294"/>
    <d v="2026-09-12T00:00:00"/>
    <n v="9"/>
    <n v="12"/>
    <n v="2026"/>
    <x v="1"/>
    <s v="Q3"/>
    <x v="0"/>
  </r>
  <r>
    <s v="O109830"/>
    <x v="694"/>
    <x v="5"/>
    <x v="2"/>
    <x v="1"/>
    <x v="2"/>
    <n v="8"/>
    <n v="1941730"/>
    <d v="2026-08-21T00:00:00"/>
    <n v="8"/>
    <n v="21"/>
    <n v="2026"/>
    <x v="8"/>
    <s v="Q3"/>
    <x v="1"/>
  </r>
  <r>
    <s v="O103219"/>
    <x v="395"/>
    <x v="3"/>
    <x v="4"/>
    <x v="2"/>
    <x v="3"/>
    <n v="10"/>
    <n v="1941675"/>
    <d v="2025-07-15T00:00:00"/>
    <n v="7"/>
    <n v="15"/>
    <n v="2025"/>
    <x v="10"/>
    <s v="Q3"/>
    <x v="2"/>
  </r>
  <r>
    <s v="O109032"/>
    <x v="701"/>
    <x v="6"/>
    <x v="4"/>
    <x v="1"/>
    <x v="2"/>
    <n v="9"/>
    <n v="1941367"/>
    <d v="2026-03-07T00:00:00"/>
    <n v="3"/>
    <n v="7"/>
    <n v="2026"/>
    <x v="5"/>
    <s v="Q1"/>
    <x v="1"/>
  </r>
  <r>
    <s v="O104714"/>
    <x v="527"/>
    <x v="5"/>
    <x v="4"/>
    <x v="6"/>
    <x v="0"/>
    <n v="10"/>
    <n v="1941315"/>
    <d v="2025-10-14T00:00:00"/>
    <n v="10"/>
    <n v="14"/>
    <n v="2025"/>
    <x v="9"/>
    <m/>
    <x v="4"/>
  </r>
  <r>
    <s v="O107796"/>
    <x v="427"/>
    <x v="9"/>
    <x v="0"/>
    <x v="4"/>
    <x v="2"/>
    <n v="4"/>
    <n v="1940066"/>
    <d v="2026-04-19T00:00:00"/>
    <n v="4"/>
    <n v="19"/>
    <n v="2026"/>
    <x v="11"/>
    <s v="Q2"/>
    <x v="4"/>
  </r>
  <r>
    <s v="O102201"/>
    <x v="619"/>
    <x v="5"/>
    <x v="3"/>
    <x v="3"/>
    <x v="2"/>
    <n v="10"/>
    <n v="1939872"/>
    <d v="2025-05-14T00:00:00"/>
    <n v="5"/>
    <n v="14"/>
    <n v="2025"/>
    <x v="3"/>
    <s v="Q2"/>
    <x v="3"/>
  </r>
  <r>
    <s v="O108383"/>
    <x v="755"/>
    <x v="6"/>
    <x v="2"/>
    <x v="3"/>
    <x v="3"/>
    <n v="7"/>
    <n v="1939225"/>
    <d v="2026-05-25T00:00:00"/>
    <n v="5"/>
    <n v="25"/>
    <n v="2026"/>
    <x v="3"/>
    <s v="Q2"/>
    <x v="3"/>
  </r>
  <r>
    <s v="O109980"/>
    <x v="437"/>
    <x v="10"/>
    <x v="2"/>
    <x v="4"/>
    <x v="1"/>
    <n v="6"/>
    <n v="1938718"/>
    <d v="2026-08-30T00:00:00"/>
    <n v="8"/>
    <n v="30"/>
    <n v="2026"/>
    <x v="8"/>
    <s v="Q3"/>
    <x v="4"/>
  </r>
  <r>
    <s v="O103701"/>
    <x v="292"/>
    <x v="3"/>
    <x v="2"/>
    <x v="2"/>
    <x v="1"/>
    <n v="8"/>
    <n v="1938098"/>
    <d v="2025-08-13T00:00:00"/>
    <n v="8"/>
    <n v="13"/>
    <n v="2025"/>
    <x v="8"/>
    <s v="Q3"/>
    <x v="2"/>
  </r>
  <r>
    <s v="O105113"/>
    <x v="432"/>
    <x v="5"/>
    <x v="2"/>
    <x v="4"/>
    <x v="0"/>
    <n v="8"/>
    <n v="1937292"/>
    <d v="2025-07-11T00:00:00"/>
    <n v="7"/>
    <n v="11"/>
    <n v="2025"/>
    <x v="10"/>
    <s v="Q3"/>
    <x v="4"/>
  </r>
  <r>
    <s v="O100300"/>
    <x v="156"/>
    <x v="9"/>
    <x v="0"/>
    <x v="3"/>
    <x v="2"/>
    <n v="5"/>
    <n v="1937031"/>
    <d v="2025-01-19T00:00:00"/>
    <n v="1"/>
    <n v="19"/>
    <n v="2025"/>
    <x v="6"/>
    <s v="Q1"/>
    <x v="3"/>
  </r>
  <r>
    <s v="O111273"/>
    <x v="81"/>
    <x v="8"/>
    <x v="1"/>
    <x v="0"/>
    <x v="2"/>
    <n v="7"/>
    <n v="1937022"/>
    <d v="2026-11-16T00:00:00"/>
    <n v="11"/>
    <n v="16"/>
    <n v="2026"/>
    <x v="0"/>
    <s v="Q4"/>
    <x v="0"/>
  </r>
  <r>
    <s v="O111632"/>
    <x v="714"/>
    <x v="0"/>
    <x v="3"/>
    <x v="3"/>
    <x v="3"/>
    <n v="10"/>
    <n v="1936383"/>
    <d v="2026-08-12T00:00:00"/>
    <n v="8"/>
    <n v="12"/>
    <n v="2026"/>
    <x v="8"/>
    <s v="Q3"/>
    <x v="3"/>
  </r>
  <r>
    <s v="O108194"/>
    <x v="662"/>
    <x v="0"/>
    <x v="0"/>
    <x v="1"/>
    <x v="2"/>
    <n v="4"/>
    <n v="1936037"/>
    <d v="2026-05-13T00:00:00"/>
    <n v="5"/>
    <n v="13"/>
    <n v="2026"/>
    <x v="3"/>
    <s v="Q2"/>
    <x v="1"/>
  </r>
  <r>
    <s v="O109240"/>
    <x v="727"/>
    <x v="0"/>
    <x v="2"/>
    <x v="2"/>
    <x v="1"/>
    <n v="8"/>
    <n v="1935947"/>
    <d v="2026-07-16T00:00:00"/>
    <n v="7"/>
    <n v="16"/>
    <n v="2026"/>
    <x v="10"/>
    <s v="Q3"/>
    <x v="2"/>
  </r>
  <r>
    <s v="O100102"/>
    <x v="439"/>
    <x v="9"/>
    <x v="2"/>
    <x v="2"/>
    <x v="3"/>
    <n v="7"/>
    <n v="1935766"/>
    <d v="2025-07-01T00:00:00"/>
    <n v="7"/>
    <n v="1"/>
    <n v="2025"/>
    <x v="10"/>
    <s v="Q3"/>
    <x v="2"/>
  </r>
  <r>
    <s v="O102455"/>
    <x v="718"/>
    <x v="6"/>
    <x v="2"/>
    <x v="0"/>
    <x v="3"/>
    <n v="8"/>
    <n v="1933685"/>
    <d v="2025-05-30T00:00:00"/>
    <n v="5"/>
    <n v="30"/>
    <n v="2025"/>
    <x v="3"/>
    <s v="Q2"/>
    <x v="0"/>
  </r>
  <r>
    <s v="O101287"/>
    <x v="504"/>
    <x v="10"/>
    <x v="0"/>
    <x v="4"/>
    <x v="0"/>
    <n v="4"/>
    <n v="1933622"/>
    <d v="2025-03-20T00:00:00"/>
    <n v="3"/>
    <n v="20"/>
    <n v="2025"/>
    <x v="5"/>
    <s v="Q1"/>
    <x v="4"/>
  </r>
  <r>
    <s v="O109283"/>
    <x v="105"/>
    <x v="2"/>
    <x v="4"/>
    <x v="4"/>
    <x v="1"/>
    <n v="9"/>
    <n v="1932988"/>
    <d v="2026-07-18T00:00:00"/>
    <n v="7"/>
    <n v="18"/>
    <n v="2026"/>
    <x v="10"/>
    <s v="Q3"/>
    <x v="4"/>
  </r>
  <r>
    <s v="O101587"/>
    <x v="92"/>
    <x v="10"/>
    <x v="4"/>
    <x v="3"/>
    <x v="1"/>
    <n v="10"/>
    <n v="1932827"/>
    <d v="2025-07-04T00:00:00"/>
    <n v="7"/>
    <n v="4"/>
    <n v="2025"/>
    <x v="10"/>
    <s v="Q3"/>
    <x v="3"/>
  </r>
  <r>
    <s v="O101032"/>
    <x v="410"/>
    <x v="0"/>
    <x v="2"/>
    <x v="1"/>
    <x v="2"/>
    <n v="6"/>
    <n v="1932466"/>
    <d v="2025-04-03T00:00:00"/>
    <n v="4"/>
    <n v="3"/>
    <n v="2025"/>
    <x v="11"/>
    <s v="Q2"/>
    <x v="1"/>
  </r>
  <r>
    <s v="O101007"/>
    <x v="170"/>
    <x v="8"/>
    <x v="4"/>
    <x v="4"/>
    <x v="0"/>
    <n v="9"/>
    <n v="1932423"/>
    <d v="2025-03-03T00:00:00"/>
    <n v="3"/>
    <n v="3"/>
    <n v="2025"/>
    <x v="5"/>
    <s v="Q1"/>
    <x v="4"/>
  </r>
  <r>
    <s v="O108053"/>
    <x v="477"/>
    <x v="2"/>
    <x v="3"/>
    <x v="4"/>
    <x v="2"/>
    <n v="10"/>
    <n v="1931516"/>
    <d v="2026-05-05T00:00:00"/>
    <n v="5"/>
    <n v="5"/>
    <n v="2026"/>
    <x v="3"/>
    <s v="Q2"/>
    <x v="4"/>
  </r>
  <r>
    <s v="O111296"/>
    <x v="664"/>
    <x v="5"/>
    <x v="0"/>
    <x v="1"/>
    <x v="3"/>
    <n v="5"/>
    <n v="1931271"/>
    <d v="2026-11-18T00:00:00"/>
    <n v="11"/>
    <n v="18"/>
    <n v="2026"/>
    <x v="0"/>
    <s v="Q4"/>
    <x v="1"/>
  </r>
  <r>
    <s v="O106588"/>
    <x v="255"/>
    <x v="6"/>
    <x v="0"/>
    <x v="1"/>
    <x v="3"/>
    <n v="4"/>
    <n v="1930025"/>
    <d v="2026-05-02T00:00:00"/>
    <n v="5"/>
    <n v="2"/>
    <n v="2026"/>
    <x v="3"/>
    <s v="Q2"/>
    <x v="1"/>
  </r>
  <r>
    <s v="O105394"/>
    <x v="250"/>
    <x v="5"/>
    <x v="2"/>
    <x v="2"/>
    <x v="3"/>
    <n v="6"/>
    <n v="1929260"/>
    <d v="2025-11-24T00:00:00"/>
    <n v="11"/>
    <n v="24"/>
    <n v="2025"/>
    <x v="0"/>
    <s v="Q4"/>
    <x v="2"/>
  </r>
  <r>
    <s v="O106232"/>
    <x v="417"/>
    <x v="1"/>
    <x v="3"/>
    <x v="4"/>
    <x v="0"/>
    <n v="9"/>
    <n v="1928552"/>
    <d v="2026-01-14T00:00:00"/>
    <n v="1"/>
    <n v="14"/>
    <n v="2026"/>
    <x v="6"/>
    <s v="Q1"/>
    <x v="4"/>
  </r>
  <r>
    <s v="O111321"/>
    <x v="96"/>
    <x v="1"/>
    <x v="2"/>
    <x v="0"/>
    <x v="1"/>
    <n v="7"/>
    <n v="1927431"/>
    <d v="2026-11-19T00:00:00"/>
    <n v="11"/>
    <n v="19"/>
    <n v="2026"/>
    <x v="0"/>
    <s v="Q4"/>
    <x v="0"/>
  </r>
  <r>
    <s v="O100612"/>
    <x v="99"/>
    <x v="2"/>
    <x v="4"/>
    <x v="4"/>
    <x v="3"/>
    <n v="9"/>
    <n v="1925311"/>
    <d v="2025-07-02T00:00:00"/>
    <n v="7"/>
    <n v="2"/>
    <n v="2025"/>
    <x v="10"/>
    <s v="Q3"/>
    <x v="4"/>
  </r>
  <r>
    <s v="O109008"/>
    <x v="586"/>
    <x v="0"/>
    <x v="2"/>
    <x v="4"/>
    <x v="0"/>
    <n v="6"/>
    <n v="1923915"/>
    <d v="2026-02-07T00:00:00"/>
    <n v="2"/>
    <n v="7"/>
    <n v="2026"/>
    <x v="4"/>
    <s v="Q1"/>
    <x v="4"/>
  </r>
  <r>
    <s v="O109941"/>
    <x v="411"/>
    <x v="1"/>
    <x v="3"/>
    <x v="2"/>
    <x v="1"/>
    <n v="8"/>
    <n v="1923742"/>
    <d v="2026-08-27T00:00:00"/>
    <n v="8"/>
    <n v="27"/>
    <n v="2026"/>
    <x v="8"/>
    <s v="Q3"/>
    <x v="2"/>
  </r>
  <r>
    <s v="O105783"/>
    <x v="260"/>
    <x v="1"/>
    <x v="2"/>
    <x v="2"/>
    <x v="1"/>
    <n v="6"/>
    <n v="1922218"/>
    <d v="2025-12-18T00:00:00"/>
    <n v="12"/>
    <n v="18"/>
    <n v="2025"/>
    <x v="7"/>
    <s v="Q4"/>
    <x v="2"/>
  </r>
  <r>
    <s v="O108592"/>
    <x v="374"/>
    <x v="4"/>
    <x v="0"/>
    <x v="4"/>
    <x v="0"/>
    <n v="4"/>
    <n v="1921986"/>
    <d v="2026-06-06T00:00:00"/>
    <n v="6"/>
    <n v="6"/>
    <n v="2026"/>
    <x v="2"/>
    <s v="Q2"/>
    <x v="4"/>
  </r>
  <r>
    <s v="O102493"/>
    <x v="381"/>
    <x v="5"/>
    <x v="4"/>
    <x v="0"/>
    <x v="3"/>
    <n v="9"/>
    <n v="1921607"/>
    <d v="2025-01-06T00:00:00"/>
    <n v="1"/>
    <n v="6"/>
    <n v="2025"/>
    <x v="6"/>
    <s v="Q1"/>
    <x v="0"/>
  </r>
  <r>
    <s v="O102822"/>
    <x v="776"/>
    <x v="10"/>
    <x v="0"/>
    <x v="0"/>
    <x v="3"/>
    <n v="4"/>
    <n v="1921355"/>
    <d v="2025-06-21T00:00:00"/>
    <n v="6"/>
    <n v="21"/>
    <n v="2025"/>
    <x v="2"/>
    <s v="Q2"/>
    <x v="0"/>
  </r>
  <r>
    <s v="O106241"/>
    <x v="33"/>
    <x v="3"/>
    <x v="3"/>
    <x v="4"/>
    <x v="0"/>
    <n v="7"/>
    <n v="1921256"/>
    <d v="2026-01-15T00:00:00"/>
    <n v="1"/>
    <n v="15"/>
    <n v="2026"/>
    <x v="6"/>
    <s v="Q1"/>
    <x v="4"/>
  </r>
  <r>
    <s v="O111200"/>
    <x v="27"/>
    <x v="0"/>
    <x v="3"/>
    <x v="1"/>
    <x v="1"/>
    <n v="7"/>
    <n v="1921017"/>
    <d v="2026-12-11T00:00:00"/>
    <n v="12"/>
    <n v="11"/>
    <n v="2026"/>
    <x v="7"/>
    <s v="Q4"/>
    <x v="1"/>
  </r>
  <r>
    <s v="O109039"/>
    <x v="76"/>
    <x v="8"/>
    <x v="4"/>
    <x v="1"/>
    <x v="3"/>
    <n v="10"/>
    <n v="1920753"/>
    <d v="2026-04-07T00:00:00"/>
    <n v="4"/>
    <n v="7"/>
    <n v="2026"/>
    <x v="11"/>
    <s v="Q2"/>
    <x v="1"/>
  </r>
  <r>
    <s v="O105490"/>
    <x v="326"/>
    <x v="8"/>
    <x v="3"/>
    <x v="0"/>
    <x v="2"/>
    <n v="8"/>
    <n v="1920690"/>
    <d v="2025-11-30T00:00:00"/>
    <n v="11"/>
    <n v="30"/>
    <n v="2025"/>
    <x v="0"/>
    <s v="Q4"/>
    <x v="0"/>
  </r>
  <r>
    <s v="O107324"/>
    <x v="757"/>
    <x v="6"/>
    <x v="4"/>
    <x v="1"/>
    <x v="0"/>
    <n v="10"/>
    <n v="1920376"/>
    <d v="2026-03-21T00:00:00"/>
    <n v="3"/>
    <n v="21"/>
    <n v="2026"/>
    <x v="5"/>
    <s v="Q1"/>
    <x v="1"/>
  </r>
  <r>
    <s v="O108854"/>
    <x v="108"/>
    <x v="5"/>
    <x v="2"/>
    <x v="2"/>
    <x v="1"/>
    <n v="7"/>
    <n v="1919866"/>
    <d v="2026-06-22T00:00:00"/>
    <n v="6"/>
    <n v="22"/>
    <n v="2026"/>
    <x v="2"/>
    <s v="Q2"/>
    <x v="2"/>
  </r>
  <r>
    <s v="O110359"/>
    <x v="349"/>
    <x v="6"/>
    <x v="0"/>
    <x v="1"/>
    <x v="2"/>
    <n v="5"/>
    <n v="1919662"/>
    <d v="2026-09-22T00:00:00"/>
    <n v="9"/>
    <n v="22"/>
    <n v="2026"/>
    <x v="1"/>
    <s v="Q3"/>
    <x v="1"/>
  </r>
  <r>
    <s v="O106649"/>
    <x v="675"/>
    <x v="2"/>
    <x v="2"/>
    <x v="3"/>
    <x v="0"/>
    <n v="7"/>
    <n v="1919387"/>
    <d v="2026-08-02T00:00:00"/>
    <n v="8"/>
    <n v="2"/>
    <n v="2026"/>
    <x v="8"/>
    <s v="Q3"/>
    <x v="3"/>
  </r>
  <r>
    <s v="O109842"/>
    <x v="347"/>
    <x v="3"/>
    <x v="3"/>
    <x v="4"/>
    <x v="0"/>
    <n v="7"/>
    <n v="1918977"/>
    <d v="2026-08-21T00:00:00"/>
    <n v="8"/>
    <n v="21"/>
    <n v="2026"/>
    <x v="8"/>
    <s v="Q3"/>
    <x v="4"/>
  </r>
  <r>
    <s v="O111151"/>
    <x v="680"/>
    <x v="2"/>
    <x v="0"/>
    <x v="1"/>
    <x v="1"/>
    <n v="4"/>
    <n v="1918960"/>
    <d v="2026-09-11T00:00:00"/>
    <n v="9"/>
    <n v="11"/>
    <n v="2026"/>
    <x v="1"/>
    <s v="Q3"/>
    <x v="1"/>
  </r>
  <r>
    <s v="O105777"/>
    <x v="232"/>
    <x v="8"/>
    <x v="2"/>
    <x v="1"/>
    <x v="2"/>
    <n v="8"/>
    <n v="1917250"/>
    <d v="2025-12-17T00:00:00"/>
    <n v="12"/>
    <n v="17"/>
    <n v="2025"/>
    <x v="7"/>
    <s v="Q4"/>
    <x v="1"/>
  </r>
  <r>
    <s v="O100057"/>
    <x v="180"/>
    <x v="2"/>
    <x v="0"/>
    <x v="4"/>
    <x v="1"/>
    <n v="5"/>
    <n v="1916687"/>
    <d v="2025-04-01T00:00:00"/>
    <n v="4"/>
    <n v="1"/>
    <n v="2025"/>
    <x v="11"/>
    <s v="Q2"/>
    <x v="4"/>
  </r>
  <r>
    <s v="O100382"/>
    <x v="435"/>
    <x v="6"/>
    <x v="4"/>
    <x v="3"/>
    <x v="3"/>
    <n v="9"/>
    <n v="1916427"/>
    <d v="2025-01-24T00:00:00"/>
    <n v="1"/>
    <n v="24"/>
    <n v="2025"/>
    <x v="6"/>
    <s v="Q1"/>
    <x v="3"/>
  </r>
  <r>
    <s v="O100355"/>
    <x v="268"/>
    <x v="3"/>
    <x v="0"/>
    <x v="2"/>
    <x v="1"/>
    <n v="4"/>
    <n v="1915078"/>
    <d v="2025-01-22T00:00:00"/>
    <n v="1"/>
    <n v="22"/>
    <n v="2025"/>
    <x v="6"/>
    <s v="Q1"/>
    <x v="2"/>
  </r>
  <r>
    <s v="O100383"/>
    <x v="431"/>
    <x v="8"/>
    <x v="2"/>
    <x v="0"/>
    <x v="2"/>
    <n v="7"/>
    <n v="1915033"/>
    <d v="2025-01-24T00:00:00"/>
    <n v="1"/>
    <n v="24"/>
    <n v="2025"/>
    <x v="6"/>
    <s v="Q1"/>
    <x v="0"/>
  </r>
  <r>
    <s v="O106918"/>
    <x v="180"/>
    <x v="9"/>
    <x v="3"/>
    <x v="4"/>
    <x v="2"/>
    <n v="7"/>
    <n v="1914861"/>
    <d v="2026-02-25T00:00:00"/>
    <n v="2"/>
    <n v="25"/>
    <n v="2026"/>
    <x v="4"/>
    <s v="Q1"/>
    <x v="4"/>
  </r>
  <r>
    <s v="O109246"/>
    <x v="606"/>
    <x v="4"/>
    <x v="3"/>
    <x v="3"/>
    <x v="2"/>
    <n v="9"/>
    <n v="1914636"/>
    <d v="2026-07-16T00:00:00"/>
    <n v="7"/>
    <n v="16"/>
    <n v="2026"/>
    <x v="10"/>
    <s v="Q3"/>
    <x v="3"/>
  </r>
  <r>
    <s v="O107579"/>
    <x v="92"/>
    <x v="2"/>
    <x v="3"/>
    <x v="2"/>
    <x v="1"/>
    <n v="7"/>
    <n v="1914436"/>
    <d v="2026-06-04T00:00:00"/>
    <n v="6"/>
    <n v="4"/>
    <n v="2026"/>
    <x v="2"/>
    <s v="Q2"/>
    <x v="2"/>
  </r>
  <r>
    <s v="O101019"/>
    <x v="525"/>
    <x v="1"/>
    <x v="3"/>
    <x v="1"/>
    <x v="0"/>
    <n v="7"/>
    <n v="1913911"/>
    <d v="2025-03-03T00:00:00"/>
    <n v="3"/>
    <n v="3"/>
    <n v="2025"/>
    <x v="5"/>
    <s v="Q1"/>
    <x v="1"/>
  </r>
  <r>
    <s v="O108950"/>
    <x v="742"/>
    <x v="6"/>
    <x v="2"/>
    <x v="2"/>
    <x v="0"/>
    <n v="7"/>
    <n v="1913726"/>
    <d v="2026-06-28T00:00:00"/>
    <n v="6"/>
    <n v="28"/>
    <n v="2026"/>
    <x v="2"/>
    <s v="Q2"/>
    <x v="2"/>
  </r>
  <r>
    <s v="O103883"/>
    <x v="187"/>
    <x v="2"/>
    <x v="3"/>
    <x v="3"/>
    <x v="3"/>
    <n v="9"/>
    <n v="1913621"/>
    <d v="2025-08-24T00:00:00"/>
    <n v="8"/>
    <n v="24"/>
    <n v="2025"/>
    <x v="8"/>
    <s v="Q3"/>
    <x v="3"/>
  </r>
  <r>
    <s v="O105166"/>
    <x v="546"/>
    <x v="0"/>
    <x v="3"/>
    <x v="0"/>
    <x v="0"/>
    <n v="10"/>
    <n v="1913577"/>
    <d v="2025-10-11T00:00:00"/>
    <n v="10"/>
    <n v="11"/>
    <n v="2025"/>
    <x v="9"/>
    <s v="Q4"/>
    <x v="0"/>
  </r>
  <r>
    <s v="O110010"/>
    <x v="48"/>
    <x v="3"/>
    <x v="4"/>
    <x v="0"/>
    <x v="1"/>
    <n v="9"/>
    <n v="1913462"/>
    <d v="2026-01-09T00:00:00"/>
    <n v="1"/>
    <n v="9"/>
    <n v="2026"/>
    <x v="6"/>
    <s v="Q1"/>
    <x v="0"/>
  </r>
  <r>
    <s v="O108128"/>
    <x v="636"/>
    <x v="10"/>
    <x v="3"/>
    <x v="2"/>
    <x v="0"/>
    <n v="9"/>
    <n v="1912773"/>
    <d v="2026-09-05T00:00:00"/>
    <n v="9"/>
    <n v="5"/>
    <n v="2026"/>
    <x v="1"/>
    <s v="Q3"/>
    <x v="2"/>
  </r>
  <r>
    <s v="O107138"/>
    <x v="552"/>
    <x v="2"/>
    <x v="2"/>
    <x v="1"/>
    <x v="3"/>
    <n v="7"/>
    <n v="1912437"/>
    <d v="2026-10-03T00:00:00"/>
    <n v="10"/>
    <n v="3"/>
    <n v="2026"/>
    <x v="9"/>
    <s v="Q4"/>
    <x v="1"/>
  </r>
  <r>
    <s v="O104036"/>
    <x v="749"/>
    <x v="6"/>
    <x v="3"/>
    <x v="0"/>
    <x v="0"/>
    <n v="8"/>
    <n v="1910179"/>
    <d v="2025-03-09T00:00:00"/>
    <n v="3"/>
    <n v="9"/>
    <n v="2025"/>
    <x v="5"/>
    <m/>
    <x v="0"/>
  </r>
  <r>
    <s v="O104769"/>
    <x v="261"/>
    <x v="0"/>
    <x v="4"/>
    <x v="0"/>
    <x v="3"/>
    <n v="10"/>
    <n v="1909707"/>
    <d v="2025-10-17T00:00:00"/>
    <n v="10"/>
    <n v="17"/>
    <n v="2025"/>
    <x v="9"/>
    <s v="Q4"/>
    <x v="0"/>
  </r>
  <r>
    <s v="O106009"/>
    <x v="543"/>
    <x v="5"/>
    <x v="2"/>
    <x v="4"/>
    <x v="2"/>
    <n v="7"/>
    <n v="1909540"/>
    <d v="2026-01-01T00:00:00"/>
    <n v="1"/>
    <n v="1"/>
    <n v="2026"/>
    <x v="6"/>
    <s v="Q1"/>
    <x v="4"/>
  </r>
  <r>
    <s v="O106223"/>
    <x v="309"/>
    <x v="9"/>
    <x v="0"/>
    <x v="1"/>
    <x v="2"/>
    <n v="5"/>
    <n v="1909340"/>
    <d v="2026-01-14T00:00:00"/>
    <n v="1"/>
    <n v="14"/>
    <n v="2026"/>
    <x v="6"/>
    <m/>
    <x v="1"/>
  </r>
  <r>
    <s v="O110623"/>
    <x v="744"/>
    <x v="4"/>
    <x v="2"/>
    <x v="2"/>
    <x v="3"/>
    <n v="6"/>
    <n v="1907795"/>
    <d v="2026-08-10T00:00:00"/>
    <n v="8"/>
    <n v="10"/>
    <n v="2026"/>
    <x v="8"/>
    <m/>
    <x v="2"/>
  </r>
  <r>
    <s v="O108998"/>
    <x v="110"/>
    <x v="1"/>
    <x v="3"/>
    <x v="1"/>
    <x v="3"/>
    <n v="7"/>
    <n v="1906957"/>
    <d v="2026-01-07T00:00:00"/>
    <n v="1"/>
    <n v="7"/>
    <n v="2026"/>
    <x v="6"/>
    <s v="Q1"/>
    <x v="1"/>
  </r>
  <r>
    <s v="O106935"/>
    <x v="767"/>
    <x v="8"/>
    <x v="3"/>
    <x v="4"/>
    <x v="0"/>
    <n v="7"/>
    <n v="1906236"/>
    <d v="2026-02-26T00:00:00"/>
    <n v="2"/>
    <n v="26"/>
    <n v="2026"/>
    <x v="4"/>
    <s v="Q1"/>
    <x v="4"/>
  </r>
  <r>
    <s v="O106533"/>
    <x v="329"/>
    <x v="8"/>
    <x v="3"/>
    <x v="2"/>
    <x v="1"/>
    <n v="8"/>
    <n v="1905987"/>
    <d v="2026-01-02T00:00:00"/>
    <n v="1"/>
    <n v="2"/>
    <n v="2026"/>
    <x v="6"/>
    <s v="Q1"/>
    <x v="2"/>
  </r>
  <r>
    <s v="O101933"/>
    <x v="777"/>
    <x v="6"/>
    <x v="2"/>
    <x v="1"/>
    <x v="0"/>
    <n v="8"/>
    <n v="1905783"/>
    <d v="2025-04-28T00:00:00"/>
    <n v="4"/>
    <n v="28"/>
    <n v="2025"/>
    <x v="11"/>
    <s v="Q2"/>
    <x v="1"/>
  </r>
  <r>
    <s v="O105442"/>
    <x v="289"/>
    <x v="6"/>
    <x v="0"/>
    <x v="0"/>
    <x v="2"/>
    <n v="5"/>
    <n v="1905585"/>
    <d v="2025-11-27T00:00:00"/>
    <n v="11"/>
    <n v="27"/>
    <n v="2025"/>
    <x v="0"/>
    <s v="Q4"/>
    <x v="0"/>
  </r>
  <r>
    <s v="O101665"/>
    <x v="408"/>
    <x v="8"/>
    <x v="3"/>
    <x v="0"/>
    <x v="3"/>
    <n v="8"/>
    <n v="1904372"/>
    <d v="2025-12-04T00:00:00"/>
    <n v="12"/>
    <n v="4"/>
    <n v="2025"/>
    <x v="7"/>
    <s v="Q4"/>
    <x v="0"/>
  </r>
  <r>
    <s v="O104194"/>
    <x v="606"/>
    <x v="0"/>
    <x v="4"/>
    <x v="2"/>
    <x v="2"/>
    <n v="9"/>
    <n v="1904330"/>
    <d v="2025-12-09T00:00:00"/>
    <n v="12"/>
    <n v="9"/>
    <n v="2025"/>
    <x v="7"/>
    <s v="Q4"/>
    <x v="2"/>
  </r>
  <r>
    <s v="O111763"/>
    <x v="37"/>
    <x v="4"/>
    <x v="2"/>
    <x v="1"/>
    <x v="0"/>
    <n v="8"/>
    <n v="1903900"/>
    <d v="2026-12-16T00:00:00"/>
    <n v="12"/>
    <n v="16"/>
    <n v="2026"/>
    <x v="7"/>
    <s v="Q4"/>
    <x v="1"/>
  </r>
  <r>
    <s v="O109119"/>
    <x v="269"/>
    <x v="10"/>
    <x v="3"/>
    <x v="4"/>
    <x v="3"/>
    <n v="9"/>
    <n v="1903803"/>
    <d v="2026-08-07T00:00:00"/>
    <n v="8"/>
    <n v="7"/>
    <n v="2026"/>
    <x v="8"/>
    <s v="Q3"/>
    <x v="4"/>
  </r>
  <r>
    <s v="O110019"/>
    <x v="89"/>
    <x v="4"/>
    <x v="0"/>
    <x v="4"/>
    <x v="0"/>
    <n v="4"/>
    <n v="1902606"/>
    <d v="2026-01-09T00:00:00"/>
    <n v="1"/>
    <n v="9"/>
    <n v="2026"/>
    <x v="6"/>
    <s v="Q1"/>
    <x v="4"/>
  </r>
  <r>
    <s v="O103072"/>
    <x v="84"/>
    <x v="5"/>
    <x v="2"/>
    <x v="1"/>
    <x v="0"/>
    <n v="7"/>
    <n v="1902088"/>
    <d v="2025-06-07T00:00:00"/>
    <n v="6"/>
    <n v="7"/>
    <n v="2025"/>
    <x v="2"/>
    <s v="Q2"/>
    <x v="1"/>
  </r>
  <r>
    <s v="O100457"/>
    <x v="115"/>
    <x v="0"/>
    <x v="0"/>
    <x v="3"/>
    <x v="3"/>
    <n v="4"/>
    <n v="1901668"/>
    <d v="2025-01-28T00:00:00"/>
    <n v="1"/>
    <n v="28"/>
    <n v="2025"/>
    <x v="6"/>
    <s v="Q1"/>
    <x v="3"/>
  </r>
  <r>
    <s v="O104204"/>
    <x v="265"/>
    <x v="8"/>
    <x v="3"/>
    <x v="1"/>
    <x v="2"/>
    <n v="10"/>
    <n v="1900814"/>
    <d v="2025-09-13T00:00:00"/>
    <n v="9"/>
    <n v="13"/>
    <n v="2025"/>
    <x v="1"/>
    <s v="Q3"/>
    <x v="1"/>
  </r>
  <r>
    <s v="O107272"/>
    <x v="169"/>
    <x v="4"/>
    <x v="3"/>
    <x v="3"/>
    <x v="1"/>
    <n v="9"/>
    <n v="1900556"/>
    <d v="2026-03-18T00:00:00"/>
    <n v="3"/>
    <n v="18"/>
    <n v="2026"/>
    <x v="5"/>
    <m/>
    <x v="3"/>
  </r>
  <r>
    <s v="O108668"/>
    <x v="317"/>
    <x v="10"/>
    <x v="0"/>
    <x v="2"/>
    <x v="1"/>
    <n v="4"/>
    <n v="1899431"/>
    <d v="2026-11-06T00:00:00"/>
    <n v="11"/>
    <n v="6"/>
    <n v="2026"/>
    <x v="0"/>
    <s v="Q4"/>
    <x v="2"/>
  </r>
  <r>
    <s v="O100533"/>
    <x v="486"/>
    <x v="1"/>
    <x v="3"/>
    <x v="2"/>
    <x v="1"/>
    <n v="7"/>
    <n v="1898015"/>
    <d v="2025-02-02T00:00:00"/>
    <n v="2"/>
    <n v="2"/>
    <n v="2025"/>
    <x v="4"/>
    <s v="Q1"/>
    <x v="2"/>
  </r>
  <r>
    <s v="O101201"/>
    <x v="109"/>
    <x v="0"/>
    <x v="4"/>
    <x v="4"/>
    <x v="2"/>
    <n v="9"/>
    <n v="1897429"/>
    <d v="2025-03-14T00:00:00"/>
    <n v="3"/>
    <n v="14"/>
    <n v="2025"/>
    <x v="5"/>
    <s v="Q1"/>
    <x v="4"/>
  </r>
  <r>
    <s v="O108707"/>
    <x v="298"/>
    <x v="0"/>
    <x v="4"/>
    <x v="1"/>
    <x v="1"/>
    <n v="9"/>
    <n v="1896384"/>
    <d v="2026-06-13T00:00:00"/>
    <n v="6"/>
    <n v="13"/>
    <n v="2026"/>
    <x v="2"/>
    <s v="Q2"/>
    <x v="1"/>
  </r>
  <r>
    <s v="O107202"/>
    <x v="739"/>
    <x v="5"/>
    <x v="0"/>
    <x v="0"/>
    <x v="2"/>
    <n v="5"/>
    <n v="1896358"/>
    <d v="2026-03-14T00:00:00"/>
    <n v="3"/>
    <n v="14"/>
    <n v="2026"/>
    <x v="5"/>
    <s v="Q1"/>
    <x v="0"/>
  </r>
  <r>
    <s v="O101866"/>
    <x v="126"/>
    <x v="4"/>
    <x v="3"/>
    <x v="3"/>
    <x v="2"/>
    <n v="7"/>
    <n v="1895982"/>
    <d v="2025-04-24T00:00:00"/>
    <n v="4"/>
    <n v="24"/>
    <n v="2025"/>
    <x v="11"/>
    <s v="Q2"/>
    <x v="3"/>
  </r>
  <r>
    <s v="O104219"/>
    <x v="66"/>
    <x v="1"/>
    <x v="2"/>
    <x v="4"/>
    <x v="3"/>
    <n v="7"/>
    <n v="1895508"/>
    <d v="2025-09-14T00:00:00"/>
    <n v="9"/>
    <n v="14"/>
    <n v="2025"/>
    <x v="1"/>
    <s v="Q3"/>
    <x v="4"/>
  </r>
  <r>
    <s v="O103466"/>
    <x v="435"/>
    <x v="1"/>
    <x v="4"/>
    <x v="2"/>
    <x v="0"/>
    <n v="10"/>
    <n v="1895259"/>
    <d v="2025-07-30T00:00:00"/>
    <n v="7"/>
    <n v="30"/>
    <n v="2025"/>
    <x v="10"/>
    <s v="Q3"/>
    <x v="2"/>
  </r>
  <r>
    <s v="O105028"/>
    <x v="519"/>
    <x v="1"/>
    <x v="0"/>
    <x v="2"/>
    <x v="1"/>
    <n v="4"/>
    <n v="1895125"/>
    <d v="2025-02-11T00:00:00"/>
    <n v="2"/>
    <n v="11"/>
    <n v="2025"/>
    <x v="4"/>
    <s v="Q1"/>
    <x v="2"/>
  </r>
  <r>
    <s v="O101162"/>
    <x v="773"/>
    <x v="0"/>
    <x v="0"/>
    <x v="1"/>
    <x v="0"/>
    <n v="5"/>
    <n v="1893570"/>
    <d v="2025-12-03T00:00:00"/>
    <n v="12"/>
    <n v="3"/>
    <n v="2025"/>
    <x v="7"/>
    <s v="Q4"/>
    <x v="1"/>
  </r>
  <r>
    <s v="O107510"/>
    <x v="652"/>
    <x v="2"/>
    <x v="3"/>
    <x v="0"/>
    <x v="0"/>
    <n v="9"/>
    <n v="1893172"/>
    <d v="2026-02-04T00:00:00"/>
    <n v="2"/>
    <n v="4"/>
    <n v="2026"/>
    <x v="4"/>
    <s v="Q1"/>
    <x v="0"/>
  </r>
  <r>
    <s v="O100030"/>
    <x v="633"/>
    <x v="3"/>
    <x v="0"/>
    <x v="1"/>
    <x v="1"/>
    <n v="4"/>
    <n v="1892910"/>
    <d v="2025-02-01T00:00:00"/>
    <n v="2"/>
    <n v="1"/>
    <n v="2025"/>
    <x v="4"/>
    <s v="Q1"/>
    <x v="1"/>
  </r>
  <r>
    <s v="O108203"/>
    <x v="283"/>
    <x v="6"/>
    <x v="3"/>
    <x v="1"/>
    <x v="3"/>
    <n v="9"/>
    <n v="1890881"/>
    <d v="2026-05-14T00:00:00"/>
    <n v="5"/>
    <n v="14"/>
    <n v="2026"/>
    <x v="3"/>
    <s v="Q2"/>
    <x v="1"/>
  </r>
  <r>
    <s v="O108040"/>
    <x v="355"/>
    <x v="6"/>
    <x v="3"/>
    <x v="2"/>
    <x v="2"/>
    <n v="7"/>
    <n v="1890414"/>
    <d v="2026-04-05T00:00:00"/>
    <n v="4"/>
    <n v="5"/>
    <n v="2026"/>
    <x v="11"/>
    <s v="Q2"/>
    <x v="2"/>
  </r>
  <r>
    <s v="O103180"/>
    <x v="714"/>
    <x v="4"/>
    <x v="2"/>
    <x v="1"/>
    <x v="2"/>
    <n v="6"/>
    <n v="1889237"/>
    <d v="2025-07-13T00:00:00"/>
    <n v="7"/>
    <n v="13"/>
    <n v="2025"/>
    <x v="10"/>
    <s v="Q3"/>
    <x v="1"/>
  </r>
  <r>
    <s v="O107653"/>
    <x v="387"/>
    <x v="5"/>
    <x v="0"/>
    <x v="3"/>
    <x v="2"/>
    <n v="4"/>
    <n v="1889040"/>
    <d v="2026-10-04T00:00:00"/>
    <n v="10"/>
    <n v="4"/>
    <n v="2026"/>
    <x v="9"/>
    <s v="Q4"/>
    <x v="3"/>
  </r>
  <r>
    <s v="O101115"/>
    <x v="616"/>
    <x v="2"/>
    <x v="2"/>
    <x v="4"/>
    <x v="3"/>
    <n v="6"/>
    <n v="1888441"/>
    <d v="2025-09-03T00:00:00"/>
    <n v="9"/>
    <n v="3"/>
    <n v="2025"/>
    <x v="1"/>
    <s v="Q3"/>
    <x v="4"/>
  </r>
  <r>
    <s v="O110487"/>
    <x v="526"/>
    <x v="1"/>
    <x v="0"/>
    <x v="1"/>
    <x v="2"/>
    <n v="5"/>
    <n v="1887002"/>
    <d v="2026-09-30T00:00:00"/>
    <n v="9"/>
    <n v="30"/>
    <n v="2026"/>
    <x v="1"/>
    <s v="Q3"/>
    <x v="1"/>
  </r>
  <r>
    <s v="O101925"/>
    <x v="410"/>
    <x v="8"/>
    <x v="4"/>
    <x v="3"/>
    <x v="2"/>
    <n v="9"/>
    <n v="1886802"/>
    <d v="2025-04-27T00:00:00"/>
    <n v="4"/>
    <n v="27"/>
    <n v="2025"/>
    <x v="11"/>
    <s v="Q2"/>
    <x v="3"/>
  </r>
  <r>
    <s v="O104231"/>
    <x v="103"/>
    <x v="0"/>
    <x v="4"/>
    <x v="2"/>
    <x v="3"/>
    <n v="10"/>
    <n v="1884466"/>
    <d v="2025-09-14T00:00:00"/>
    <n v="9"/>
    <n v="14"/>
    <n v="2025"/>
    <x v="1"/>
    <s v="Q3"/>
    <x v="2"/>
  </r>
  <r>
    <s v="O103389"/>
    <x v="758"/>
    <x v="0"/>
    <x v="0"/>
    <x v="0"/>
    <x v="1"/>
    <n v="5"/>
    <n v="1883808"/>
    <d v="2025-07-25T00:00:00"/>
    <n v="7"/>
    <n v="25"/>
    <n v="2025"/>
    <x v="10"/>
    <s v="Q3"/>
    <x v="0"/>
  </r>
  <r>
    <s v="O100785"/>
    <x v="751"/>
    <x v="2"/>
    <x v="0"/>
    <x v="0"/>
    <x v="2"/>
    <n v="4"/>
    <n v="1882375"/>
    <d v="2025-02-17T00:00:00"/>
    <n v="2"/>
    <n v="17"/>
    <n v="2025"/>
    <x v="4"/>
    <s v="Q1"/>
    <x v="0"/>
  </r>
  <r>
    <s v="O101865"/>
    <x v="242"/>
    <x v="0"/>
    <x v="3"/>
    <x v="1"/>
    <x v="0"/>
    <n v="9"/>
    <n v="1882253"/>
    <d v="2025-04-24T00:00:00"/>
    <n v="4"/>
    <n v="24"/>
    <n v="2025"/>
    <x v="11"/>
    <s v="Q2"/>
    <x v="1"/>
  </r>
  <r>
    <s v="O107827"/>
    <x v="75"/>
    <x v="8"/>
    <x v="3"/>
    <x v="3"/>
    <x v="0"/>
    <n v="8"/>
    <n v="1882115"/>
    <d v="2026-04-21T00:00:00"/>
    <n v="4"/>
    <n v="21"/>
    <n v="2026"/>
    <x v="11"/>
    <m/>
    <x v="3"/>
  </r>
  <r>
    <s v="O110251"/>
    <x v="509"/>
    <x v="10"/>
    <x v="4"/>
    <x v="0"/>
    <x v="2"/>
    <n v="10"/>
    <n v="1881552"/>
    <d v="2026-09-15T00:00:00"/>
    <n v="9"/>
    <n v="15"/>
    <n v="2026"/>
    <x v="1"/>
    <s v="Q3"/>
    <x v="0"/>
  </r>
  <r>
    <s v="O108295"/>
    <x v="735"/>
    <x v="8"/>
    <x v="4"/>
    <x v="3"/>
    <x v="1"/>
    <n v="10"/>
    <n v="1881341"/>
    <d v="2026-05-19T00:00:00"/>
    <n v="5"/>
    <n v="19"/>
    <n v="2026"/>
    <x v="3"/>
    <s v="Q2"/>
    <x v="3"/>
  </r>
  <r>
    <s v="O108423"/>
    <x v="701"/>
    <x v="0"/>
    <x v="0"/>
    <x v="2"/>
    <x v="0"/>
    <n v="5"/>
    <n v="1880888"/>
    <d v="2026-05-27T00:00:00"/>
    <n v="5"/>
    <n v="27"/>
    <n v="2026"/>
    <x v="3"/>
    <s v="Q2"/>
    <x v="2"/>
  </r>
  <r>
    <s v="O109118"/>
    <x v="205"/>
    <x v="8"/>
    <x v="3"/>
    <x v="3"/>
    <x v="0"/>
    <n v="7"/>
    <n v="1880757"/>
    <d v="2026-08-07T00:00:00"/>
    <n v="8"/>
    <n v="7"/>
    <n v="2026"/>
    <x v="8"/>
    <s v="Q3"/>
    <x v="3"/>
  </r>
  <r>
    <s v="O100973"/>
    <x v="774"/>
    <x v="7"/>
    <x v="4"/>
    <x v="2"/>
    <x v="0"/>
    <n v="10"/>
    <n v="1880647"/>
    <d v="2025-01-03T00:00:00"/>
    <n v="1"/>
    <n v="3"/>
    <n v="2025"/>
    <x v="6"/>
    <s v="Q1"/>
    <x v="2"/>
  </r>
  <r>
    <s v="O106842"/>
    <x v="400"/>
    <x v="9"/>
    <x v="0"/>
    <x v="4"/>
    <x v="2"/>
    <n v="5"/>
    <n v="1880224"/>
    <d v="2026-02-20T00:00:00"/>
    <n v="2"/>
    <n v="20"/>
    <n v="2026"/>
    <x v="4"/>
    <s v="Q1"/>
    <x v="4"/>
  </r>
  <r>
    <s v="O110115"/>
    <x v="128"/>
    <x v="5"/>
    <x v="0"/>
    <x v="4"/>
    <x v="0"/>
    <n v="5"/>
    <n v="1879847"/>
    <d v="2026-07-09T00:00:00"/>
    <n v="7"/>
    <n v="9"/>
    <n v="2026"/>
    <x v="10"/>
    <s v="Q3"/>
    <x v="4"/>
  </r>
  <r>
    <s v="O100848"/>
    <x v="364"/>
    <x v="6"/>
    <x v="3"/>
    <x v="3"/>
    <x v="1"/>
    <n v="8"/>
    <n v="1879841"/>
    <d v="2025-02-21T00:00:00"/>
    <n v="2"/>
    <n v="21"/>
    <n v="2025"/>
    <x v="4"/>
    <s v="Q1"/>
    <x v="3"/>
  </r>
  <r>
    <s v="O109667"/>
    <x v="27"/>
    <x v="4"/>
    <x v="0"/>
    <x v="3"/>
    <x v="0"/>
    <n v="5"/>
    <n v="1879832"/>
    <d v="2026-11-08T00:00:00"/>
    <n v="11"/>
    <n v="8"/>
    <n v="2026"/>
    <x v="0"/>
    <s v="Q4"/>
    <x v="3"/>
  </r>
  <r>
    <s v="O107427"/>
    <x v="323"/>
    <x v="10"/>
    <x v="0"/>
    <x v="4"/>
    <x v="0"/>
    <n v="5"/>
    <n v="1879553"/>
    <d v="2026-03-28T00:00:00"/>
    <n v="3"/>
    <n v="28"/>
    <n v="2026"/>
    <x v="5"/>
    <s v="Q1"/>
    <x v="4"/>
  </r>
  <r>
    <s v="O102236"/>
    <x v="403"/>
    <x v="6"/>
    <x v="2"/>
    <x v="0"/>
    <x v="1"/>
    <n v="6"/>
    <n v="1878333"/>
    <d v="2025-05-16T00:00:00"/>
    <n v="5"/>
    <n v="16"/>
    <n v="2025"/>
    <x v="3"/>
    <s v="Q2"/>
    <x v="0"/>
  </r>
  <r>
    <s v="O101701"/>
    <x v="741"/>
    <x v="8"/>
    <x v="3"/>
    <x v="4"/>
    <x v="0"/>
    <n v="8"/>
    <n v="1876846"/>
    <d v="2025-04-14T00:00:00"/>
    <n v="4"/>
    <n v="14"/>
    <n v="2025"/>
    <x v="11"/>
    <s v="Q2"/>
    <x v="4"/>
  </r>
  <r>
    <s v="O107861"/>
    <x v="388"/>
    <x v="10"/>
    <x v="0"/>
    <x v="4"/>
    <x v="2"/>
    <n v="5"/>
    <n v="1876752"/>
    <d v="2026-04-23T00:00:00"/>
    <n v="4"/>
    <n v="23"/>
    <n v="2026"/>
    <x v="11"/>
    <s v="Q2"/>
    <x v="4"/>
  </r>
  <r>
    <s v="O107742"/>
    <x v="778"/>
    <x v="3"/>
    <x v="0"/>
    <x v="2"/>
    <x v="3"/>
    <n v="5"/>
    <n v="1875504"/>
    <d v="2026-04-16T00:00:00"/>
    <n v="4"/>
    <n v="16"/>
    <n v="2026"/>
    <x v="11"/>
    <s v="Q2"/>
    <x v="2"/>
  </r>
  <r>
    <s v="O110410"/>
    <x v="557"/>
    <x v="3"/>
    <x v="0"/>
    <x v="1"/>
    <x v="2"/>
    <n v="4"/>
    <n v="1874730"/>
    <d v="2026-09-25T00:00:00"/>
    <n v="9"/>
    <n v="25"/>
    <n v="2026"/>
    <x v="1"/>
    <s v="Q3"/>
    <x v="1"/>
  </r>
  <r>
    <s v="O103551"/>
    <x v="445"/>
    <x v="0"/>
    <x v="4"/>
    <x v="3"/>
    <x v="0"/>
    <n v="10"/>
    <n v="1873802"/>
    <d v="2025-04-08T00:00:00"/>
    <n v="4"/>
    <n v="8"/>
    <n v="2025"/>
    <x v="11"/>
    <s v="Q2"/>
    <x v="3"/>
  </r>
  <r>
    <s v="O102063"/>
    <x v="80"/>
    <x v="0"/>
    <x v="4"/>
    <x v="3"/>
    <x v="0"/>
    <n v="9"/>
    <n v="1873426"/>
    <d v="2025-06-05T00:00:00"/>
    <n v="6"/>
    <n v="5"/>
    <n v="2025"/>
    <x v="2"/>
    <s v="Q2"/>
    <x v="3"/>
  </r>
  <r>
    <s v="O105912"/>
    <x v="39"/>
    <x v="9"/>
    <x v="3"/>
    <x v="3"/>
    <x v="3"/>
    <n v="7"/>
    <n v="1873338"/>
    <d v="2025-12-26T00:00:00"/>
    <n v="12"/>
    <n v="26"/>
    <n v="2025"/>
    <x v="7"/>
    <s v="Q4"/>
    <x v="3"/>
  </r>
  <r>
    <s v="O104044"/>
    <x v="569"/>
    <x v="0"/>
    <x v="2"/>
    <x v="4"/>
    <x v="1"/>
    <n v="7"/>
    <n v="1872413"/>
    <d v="2025-03-09T00:00:00"/>
    <n v="3"/>
    <n v="9"/>
    <n v="2025"/>
    <x v="5"/>
    <s v="Q1"/>
    <x v="4"/>
  </r>
  <r>
    <s v="O111542"/>
    <x v="28"/>
    <x v="8"/>
    <x v="0"/>
    <x v="2"/>
    <x v="2"/>
    <n v="4"/>
    <n v="1871743"/>
    <d v="2026-03-12T00:00:00"/>
    <n v="3"/>
    <n v="12"/>
    <n v="2026"/>
    <x v="5"/>
    <s v="Q1"/>
    <x v="2"/>
  </r>
  <r>
    <s v="O111228"/>
    <x v="682"/>
    <x v="9"/>
    <x v="3"/>
    <x v="0"/>
    <x v="1"/>
    <n v="10"/>
    <n v="1871415"/>
    <d v="2026-11-14T00:00:00"/>
    <n v="11"/>
    <n v="14"/>
    <n v="2026"/>
    <x v="0"/>
    <s v="Q4"/>
    <x v="0"/>
  </r>
  <r>
    <s v="O111124"/>
    <x v="33"/>
    <x v="0"/>
    <x v="2"/>
    <x v="4"/>
    <x v="0"/>
    <n v="8"/>
    <n v="1870828"/>
    <d v="2026-07-11T00:00:00"/>
    <n v="7"/>
    <n v="11"/>
    <n v="2026"/>
    <x v="10"/>
    <s v="Q3"/>
    <x v="4"/>
  </r>
  <r>
    <s v="O103117"/>
    <x v="509"/>
    <x v="4"/>
    <x v="4"/>
    <x v="0"/>
    <x v="3"/>
    <n v="9"/>
    <n v="1870632"/>
    <d v="2025-09-07T00:00:00"/>
    <n v="9"/>
    <n v="7"/>
    <n v="2025"/>
    <x v="1"/>
    <s v="Q3"/>
    <x v="0"/>
  </r>
  <r>
    <s v="O103208"/>
    <x v="648"/>
    <x v="0"/>
    <x v="4"/>
    <x v="0"/>
    <x v="2"/>
    <n v="9"/>
    <n v="1870608"/>
    <d v="2025-07-14T00:00:00"/>
    <n v="7"/>
    <n v="14"/>
    <n v="2025"/>
    <x v="10"/>
    <s v="Q3"/>
    <x v="0"/>
  </r>
  <r>
    <s v="O102702"/>
    <x v="163"/>
    <x v="3"/>
    <x v="3"/>
    <x v="4"/>
    <x v="1"/>
    <n v="7"/>
    <n v="1869836"/>
    <d v="2025-06-14T00:00:00"/>
    <n v="6"/>
    <n v="14"/>
    <n v="2025"/>
    <x v="2"/>
    <s v="Q2"/>
    <x v="4"/>
  </r>
  <r>
    <s v="O110662"/>
    <x v="747"/>
    <x v="9"/>
    <x v="0"/>
    <x v="4"/>
    <x v="2"/>
    <n v="4"/>
    <n v="1868475"/>
    <d v="2026-10-10T00:00:00"/>
    <n v="10"/>
    <n v="10"/>
    <n v="2026"/>
    <x v="9"/>
    <m/>
    <x v="4"/>
  </r>
  <r>
    <s v="O108557"/>
    <x v="284"/>
    <x v="8"/>
    <x v="0"/>
    <x v="4"/>
    <x v="3"/>
    <n v="5"/>
    <n v="1868198"/>
    <d v="2026-04-06T00:00:00"/>
    <n v="4"/>
    <n v="6"/>
    <n v="2026"/>
    <x v="11"/>
    <s v="Q2"/>
    <x v="4"/>
  </r>
  <r>
    <s v="O102492"/>
    <x v="50"/>
    <x v="1"/>
    <x v="0"/>
    <x v="0"/>
    <x v="0"/>
    <n v="4"/>
    <n v="1867399"/>
    <d v="2025-01-06T00:00:00"/>
    <n v="1"/>
    <n v="6"/>
    <n v="2025"/>
    <x v="6"/>
    <s v="Q1"/>
    <x v="0"/>
  </r>
  <r>
    <s v="O109942"/>
    <x v="680"/>
    <x v="9"/>
    <x v="0"/>
    <x v="1"/>
    <x v="1"/>
    <n v="4"/>
    <n v="1867189"/>
    <d v="2026-08-27T00:00:00"/>
    <n v="8"/>
    <n v="27"/>
    <n v="2026"/>
    <x v="8"/>
    <s v="Q3"/>
    <x v="1"/>
  </r>
  <r>
    <s v="O102968"/>
    <x v="655"/>
    <x v="9"/>
    <x v="2"/>
    <x v="1"/>
    <x v="1"/>
    <n v="7"/>
    <n v="1866924"/>
    <d v="2025-06-30T00:00:00"/>
    <n v="6"/>
    <n v="30"/>
    <n v="2025"/>
    <x v="2"/>
    <s v="Q2"/>
    <x v="1"/>
  </r>
  <r>
    <s v="O104580"/>
    <x v="435"/>
    <x v="3"/>
    <x v="2"/>
    <x v="3"/>
    <x v="0"/>
    <n v="7"/>
    <n v="1866800"/>
    <d v="2025-06-10T00:00:00"/>
    <n v="6"/>
    <n v="10"/>
    <n v="2025"/>
    <x v="2"/>
    <s v="Q2"/>
    <x v="3"/>
  </r>
  <r>
    <s v="O104237"/>
    <x v="58"/>
    <x v="6"/>
    <x v="0"/>
    <x v="2"/>
    <x v="0"/>
    <n v="5"/>
    <n v="1865368"/>
    <d v="2025-09-15T00:00:00"/>
    <n v="9"/>
    <n v="15"/>
    <n v="2025"/>
    <x v="1"/>
    <s v="Q3"/>
    <x v="2"/>
  </r>
  <r>
    <s v="O101913"/>
    <x v="482"/>
    <x v="5"/>
    <x v="3"/>
    <x v="4"/>
    <x v="3"/>
    <n v="8"/>
    <n v="1864209"/>
    <d v="2025-04-27T00:00:00"/>
    <n v="4"/>
    <n v="27"/>
    <n v="2025"/>
    <x v="11"/>
    <s v="Q2"/>
    <x v="4"/>
  </r>
  <r>
    <s v="O107064"/>
    <x v="375"/>
    <x v="1"/>
    <x v="4"/>
    <x v="3"/>
    <x v="0"/>
    <n v="10"/>
    <n v="1864052"/>
    <d v="2026-06-03T00:00:00"/>
    <n v="6"/>
    <n v="3"/>
    <n v="2026"/>
    <x v="2"/>
    <s v="Q2"/>
    <x v="3"/>
  </r>
  <r>
    <s v="O103056"/>
    <x v="200"/>
    <x v="7"/>
    <x v="3"/>
    <x v="2"/>
    <x v="1"/>
    <n v="10"/>
    <n v="1863746"/>
    <d v="2025-05-07T00:00:00"/>
    <n v="5"/>
    <n v="7"/>
    <n v="2025"/>
    <x v="3"/>
    <s v="Q2"/>
    <x v="2"/>
  </r>
  <r>
    <s v="O110767"/>
    <x v="768"/>
    <x v="2"/>
    <x v="2"/>
    <x v="4"/>
    <x v="1"/>
    <n v="6"/>
    <n v="1862652"/>
    <d v="2026-10-17T00:00:00"/>
    <n v="10"/>
    <n v="17"/>
    <n v="2026"/>
    <x v="9"/>
    <s v="Q4"/>
    <x v="4"/>
  </r>
  <r>
    <s v="O102077"/>
    <x v="401"/>
    <x v="9"/>
    <x v="0"/>
    <x v="3"/>
    <x v="2"/>
    <n v="5"/>
    <n v="1862377"/>
    <d v="2025-07-05T00:00:00"/>
    <n v="7"/>
    <n v="5"/>
    <n v="2025"/>
    <x v="10"/>
    <s v="Q3"/>
    <x v="3"/>
  </r>
  <r>
    <s v="O110988"/>
    <x v="417"/>
    <x v="5"/>
    <x v="0"/>
    <x v="3"/>
    <x v="3"/>
    <n v="5"/>
    <n v="1862356"/>
    <d v="2026-10-30T00:00:00"/>
    <n v="10"/>
    <n v="30"/>
    <n v="2026"/>
    <x v="9"/>
    <s v="Q4"/>
    <x v="3"/>
  </r>
  <r>
    <s v="O107499"/>
    <x v="698"/>
    <x v="1"/>
    <x v="0"/>
    <x v="1"/>
    <x v="1"/>
    <n v="4"/>
    <n v="1862279"/>
    <d v="2026-01-04T00:00:00"/>
    <n v="1"/>
    <n v="4"/>
    <n v="2026"/>
    <x v="6"/>
    <s v="Q1"/>
    <x v="1"/>
  </r>
  <r>
    <s v="O103932"/>
    <x v="174"/>
    <x v="0"/>
    <x v="0"/>
    <x v="0"/>
    <x v="0"/>
    <n v="4"/>
    <n v="1861622"/>
    <d v="2025-08-27T00:00:00"/>
    <n v="8"/>
    <n v="27"/>
    <n v="2025"/>
    <x v="8"/>
    <s v="Q3"/>
    <x v="0"/>
  </r>
  <r>
    <s v="O111263"/>
    <x v="754"/>
    <x v="3"/>
    <x v="2"/>
    <x v="2"/>
    <x v="2"/>
    <n v="7"/>
    <n v="1861582"/>
    <d v="2026-11-16T00:00:00"/>
    <n v="11"/>
    <n v="16"/>
    <n v="2026"/>
    <x v="0"/>
    <s v="Q4"/>
    <x v="2"/>
  </r>
  <r>
    <s v="O102367"/>
    <x v="306"/>
    <x v="0"/>
    <x v="0"/>
    <x v="2"/>
    <x v="2"/>
    <n v="5"/>
    <n v="1861232"/>
    <d v="2025-05-24T00:00:00"/>
    <n v="5"/>
    <n v="24"/>
    <n v="2025"/>
    <x v="3"/>
    <s v="Q2"/>
    <x v="2"/>
  </r>
  <r>
    <s v="O104635"/>
    <x v="535"/>
    <x v="8"/>
    <x v="0"/>
    <x v="0"/>
    <x v="1"/>
    <n v="5"/>
    <n v="1861232"/>
    <d v="2025-09-10T00:00:00"/>
    <n v="9"/>
    <n v="10"/>
    <n v="2025"/>
    <x v="1"/>
    <s v="Q3"/>
    <x v="0"/>
  </r>
  <r>
    <s v="O109731"/>
    <x v="467"/>
    <x v="8"/>
    <x v="0"/>
    <x v="0"/>
    <x v="3"/>
    <n v="5"/>
    <n v="1861165"/>
    <d v="2026-08-15T00:00:00"/>
    <n v="8"/>
    <n v="15"/>
    <n v="2026"/>
    <x v="8"/>
    <m/>
    <x v="0"/>
  </r>
  <r>
    <s v="O102610"/>
    <x v="273"/>
    <x v="8"/>
    <x v="0"/>
    <x v="1"/>
    <x v="0"/>
    <n v="5"/>
    <n v="1860565"/>
    <d v="2025-08-06T00:00:00"/>
    <n v="8"/>
    <n v="6"/>
    <n v="2025"/>
    <x v="8"/>
    <s v="Q3"/>
    <x v="1"/>
  </r>
  <r>
    <s v="O101420"/>
    <x v="347"/>
    <x v="10"/>
    <x v="3"/>
    <x v="3"/>
    <x v="2"/>
    <n v="9"/>
    <n v="1860554"/>
    <d v="2025-03-28T00:00:00"/>
    <n v="3"/>
    <n v="28"/>
    <n v="2025"/>
    <x v="5"/>
    <s v="Q1"/>
    <x v="3"/>
  </r>
  <r>
    <s v="O107384"/>
    <x v="262"/>
    <x v="2"/>
    <x v="2"/>
    <x v="0"/>
    <x v="1"/>
    <n v="5"/>
    <n v="1860033"/>
    <d v="2026-03-25T00:00:00"/>
    <n v="3"/>
    <n v="25"/>
    <n v="2026"/>
    <x v="5"/>
    <s v="Q1"/>
    <x v="0"/>
  </r>
  <r>
    <s v="O108872"/>
    <x v="136"/>
    <x v="9"/>
    <x v="0"/>
    <x v="1"/>
    <x v="0"/>
    <n v="4"/>
    <n v="1859674"/>
    <d v="2026-06-23T00:00:00"/>
    <n v="6"/>
    <n v="23"/>
    <n v="2026"/>
    <x v="2"/>
    <s v="Q2"/>
    <x v="1"/>
  </r>
  <r>
    <s v="O105789"/>
    <x v="317"/>
    <x v="2"/>
    <x v="3"/>
    <x v="2"/>
    <x v="2"/>
    <n v="8"/>
    <n v="1859288"/>
    <d v="2025-12-18T00:00:00"/>
    <n v="12"/>
    <n v="18"/>
    <n v="2025"/>
    <x v="7"/>
    <s v="Q4"/>
    <x v="2"/>
  </r>
  <r>
    <s v="O109938"/>
    <x v="391"/>
    <x v="5"/>
    <x v="2"/>
    <x v="4"/>
    <x v="3"/>
    <n v="6"/>
    <n v="1859041"/>
    <d v="2026-08-27T00:00:00"/>
    <n v="8"/>
    <n v="27"/>
    <n v="2026"/>
    <x v="8"/>
    <s v="Q3"/>
    <x v="4"/>
  </r>
  <r>
    <s v="O102711"/>
    <x v="647"/>
    <x v="4"/>
    <x v="4"/>
    <x v="2"/>
    <x v="3"/>
    <n v="9"/>
    <n v="1858522"/>
    <d v="2025-06-14T00:00:00"/>
    <n v="6"/>
    <n v="14"/>
    <n v="2025"/>
    <x v="2"/>
    <s v="Q2"/>
    <x v="2"/>
  </r>
  <r>
    <s v="O111278"/>
    <x v="375"/>
    <x v="10"/>
    <x v="2"/>
    <x v="2"/>
    <x v="1"/>
    <n v="6"/>
    <n v="1858453"/>
    <d v="2026-11-17T00:00:00"/>
    <n v="11"/>
    <n v="17"/>
    <n v="2026"/>
    <x v="0"/>
    <s v="Q4"/>
    <x v="2"/>
  </r>
  <r>
    <s v="O107435"/>
    <x v="504"/>
    <x v="1"/>
    <x v="0"/>
    <x v="4"/>
    <x v="3"/>
    <n v="4"/>
    <n v="1858214"/>
    <d v="2026-03-28T00:00:00"/>
    <n v="3"/>
    <n v="28"/>
    <n v="2026"/>
    <x v="5"/>
    <s v="Q1"/>
    <x v="4"/>
  </r>
  <r>
    <s v="O100182"/>
    <x v="626"/>
    <x v="3"/>
    <x v="0"/>
    <x v="1"/>
    <x v="3"/>
    <n v="4"/>
    <n v="1858127"/>
    <d v="2025-11-01T00:00:00"/>
    <n v="11"/>
    <n v="1"/>
    <n v="2025"/>
    <x v="0"/>
    <s v="Q4"/>
    <x v="1"/>
  </r>
  <r>
    <s v="O110301"/>
    <x v="461"/>
    <x v="6"/>
    <x v="3"/>
    <x v="0"/>
    <x v="3"/>
    <n v="9"/>
    <n v="1856536"/>
    <d v="2026-09-18T00:00:00"/>
    <n v="9"/>
    <n v="18"/>
    <n v="2026"/>
    <x v="1"/>
    <s v="Q3"/>
    <x v="0"/>
  </r>
  <r>
    <s v="O106354"/>
    <x v="499"/>
    <x v="10"/>
    <x v="2"/>
    <x v="2"/>
    <x v="1"/>
    <n v="5"/>
    <n v="1856486"/>
    <d v="2026-01-21T00:00:00"/>
    <n v="1"/>
    <n v="21"/>
    <n v="2026"/>
    <x v="6"/>
    <s v="Q1"/>
    <x v="2"/>
  </r>
  <r>
    <s v="O100497"/>
    <x v="411"/>
    <x v="3"/>
    <x v="2"/>
    <x v="2"/>
    <x v="2"/>
    <n v="6"/>
    <n v="1855416"/>
    <d v="2025-01-31T00:00:00"/>
    <n v="1"/>
    <n v="31"/>
    <n v="2025"/>
    <x v="6"/>
    <s v="Q1"/>
    <x v="2"/>
  </r>
  <r>
    <s v="O100689"/>
    <x v="180"/>
    <x v="9"/>
    <x v="4"/>
    <x v="0"/>
    <x v="3"/>
    <n v="9"/>
    <n v="1855223"/>
    <d v="2025-11-02T00:00:00"/>
    <n v="11"/>
    <n v="2"/>
    <n v="2025"/>
    <x v="0"/>
    <s v="Q4"/>
    <x v="0"/>
  </r>
  <r>
    <s v="O109060"/>
    <x v="625"/>
    <x v="1"/>
    <x v="0"/>
    <x v="1"/>
    <x v="2"/>
    <n v="5"/>
    <n v="1854998"/>
    <d v="2026-05-07T00:00:00"/>
    <n v="5"/>
    <n v="7"/>
    <n v="2026"/>
    <x v="3"/>
    <s v="Q2"/>
    <x v="1"/>
  </r>
  <r>
    <s v="O102267"/>
    <x v="510"/>
    <x v="3"/>
    <x v="2"/>
    <x v="4"/>
    <x v="1"/>
    <n v="5"/>
    <n v="1854354"/>
    <d v="2025-05-18T00:00:00"/>
    <n v="5"/>
    <n v="18"/>
    <n v="2025"/>
    <x v="3"/>
    <s v="Q2"/>
    <x v="4"/>
  </r>
  <r>
    <s v="O107494"/>
    <x v="385"/>
    <x v="2"/>
    <x v="2"/>
    <x v="0"/>
    <x v="3"/>
    <n v="5"/>
    <n v="1853729"/>
    <d v="2026-01-04T00:00:00"/>
    <n v="1"/>
    <n v="4"/>
    <n v="2026"/>
    <x v="6"/>
    <s v="Q1"/>
    <x v="0"/>
  </r>
  <r>
    <s v="O101060"/>
    <x v="779"/>
    <x v="2"/>
    <x v="2"/>
    <x v="2"/>
    <x v="3"/>
    <n v="5"/>
    <n v="1853114"/>
    <d v="2025-06-03T00:00:00"/>
    <n v="6"/>
    <n v="3"/>
    <n v="2025"/>
    <x v="2"/>
    <s v="Q2"/>
    <x v="2"/>
  </r>
  <r>
    <s v="O107216"/>
    <x v="65"/>
    <x v="9"/>
    <x v="2"/>
    <x v="4"/>
    <x v="1"/>
    <n v="5"/>
    <n v="1853101"/>
    <d v="2026-03-15T00:00:00"/>
    <n v="3"/>
    <n v="15"/>
    <n v="2026"/>
    <x v="5"/>
    <s v="Q1"/>
    <x v="4"/>
  </r>
  <r>
    <s v="O100980"/>
    <x v="642"/>
    <x v="5"/>
    <x v="2"/>
    <x v="4"/>
    <x v="1"/>
    <n v="5"/>
    <n v="1852716"/>
    <d v="2025-01-03T00:00:00"/>
    <n v="1"/>
    <n v="3"/>
    <n v="2025"/>
    <x v="6"/>
    <s v="Q1"/>
    <x v="4"/>
  </r>
  <r>
    <s v="O101755"/>
    <x v="378"/>
    <x v="9"/>
    <x v="3"/>
    <x v="2"/>
    <x v="1"/>
    <n v="10"/>
    <n v="1851695"/>
    <d v="2025-04-17T00:00:00"/>
    <n v="4"/>
    <n v="17"/>
    <n v="2025"/>
    <x v="11"/>
    <m/>
    <x v="2"/>
  </r>
  <r>
    <s v="O104142"/>
    <x v="412"/>
    <x v="1"/>
    <x v="0"/>
    <x v="4"/>
    <x v="2"/>
    <n v="5"/>
    <n v="1851423"/>
    <d v="2025-09-09T00:00:00"/>
    <n v="9"/>
    <n v="9"/>
    <n v="2025"/>
    <x v="1"/>
    <s v="Q3"/>
    <x v="4"/>
  </r>
  <r>
    <s v="O100248"/>
    <x v="19"/>
    <x v="1"/>
    <x v="3"/>
    <x v="3"/>
    <x v="2"/>
    <n v="10"/>
    <n v="1851314"/>
    <d v="2025-01-16T00:00:00"/>
    <n v="1"/>
    <n v="16"/>
    <n v="2025"/>
    <x v="6"/>
    <s v="Q1"/>
    <x v="3"/>
  </r>
  <r>
    <s v="O105194"/>
    <x v="130"/>
    <x v="2"/>
    <x v="3"/>
    <x v="3"/>
    <x v="2"/>
    <n v="10"/>
    <n v="1850870"/>
    <d v="2025-12-11T00:00:00"/>
    <n v="12"/>
    <n v="11"/>
    <n v="2025"/>
    <x v="7"/>
    <s v="Q4"/>
    <x v="3"/>
  </r>
  <r>
    <s v="O105461"/>
    <x v="477"/>
    <x v="10"/>
    <x v="4"/>
    <x v="2"/>
    <x v="0"/>
    <n v="10"/>
    <n v="1850399"/>
    <d v="2025-11-28T00:00:00"/>
    <n v="11"/>
    <n v="28"/>
    <n v="2025"/>
    <x v="0"/>
    <s v="Q4"/>
    <x v="2"/>
  </r>
  <r>
    <s v="O105116"/>
    <x v="380"/>
    <x v="1"/>
    <x v="2"/>
    <x v="3"/>
    <x v="1"/>
    <n v="7"/>
    <n v="1850268"/>
    <d v="2025-07-11T00:00:00"/>
    <n v="7"/>
    <n v="11"/>
    <n v="2025"/>
    <x v="10"/>
    <s v="Q3"/>
    <x v="3"/>
  </r>
  <r>
    <s v="O109875"/>
    <x v="124"/>
    <x v="1"/>
    <x v="2"/>
    <x v="4"/>
    <x v="3"/>
    <n v="6"/>
    <n v="1849996"/>
    <d v="2026-08-23T00:00:00"/>
    <n v="8"/>
    <n v="23"/>
    <n v="2026"/>
    <x v="8"/>
    <s v="Q3"/>
    <x v="4"/>
  </r>
  <r>
    <s v="O102262"/>
    <x v="585"/>
    <x v="3"/>
    <x v="2"/>
    <x v="1"/>
    <x v="3"/>
    <n v="5"/>
    <n v="1849323"/>
    <d v="2025-05-18T00:00:00"/>
    <n v="5"/>
    <n v="18"/>
    <n v="2025"/>
    <x v="3"/>
    <s v="Q2"/>
    <x v="1"/>
  </r>
  <r>
    <s v="O105798"/>
    <x v="691"/>
    <x v="0"/>
    <x v="3"/>
    <x v="1"/>
    <x v="0"/>
    <n v="7"/>
    <n v="1848737"/>
    <d v="2025-12-19T00:00:00"/>
    <n v="12"/>
    <n v="19"/>
    <n v="2025"/>
    <x v="7"/>
    <m/>
    <x v="1"/>
  </r>
  <r>
    <s v="O111026"/>
    <x v="628"/>
    <x v="8"/>
    <x v="2"/>
    <x v="4"/>
    <x v="1"/>
    <n v="6"/>
    <n v="1847945"/>
    <d v="2026-01-11T00:00:00"/>
    <n v="1"/>
    <n v="11"/>
    <n v="2026"/>
    <x v="6"/>
    <s v="Q1"/>
    <x v="4"/>
  </r>
  <r>
    <s v="O100574"/>
    <x v="394"/>
    <x v="8"/>
    <x v="2"/>
    <x v="3"/>
    <x v="3"/>
    <n v="6"/>
    <n v="1847441"/>
    <d v="2025-04-02T00:00:00"/>
    <n v="4"/>
    <n v="2"/>
    <n v="2025"/>
    <x v="11"/>
    <s v="Q2"/>
    <x v="3"/>
  </r>
  <r>
    <s v="O100347"/>
    <x v="48"/>
    <x v="8"/>
    <x v="2"/>
    <x v="1"/>
    <x v="0"/>
    <n v="5"/>
    <n v="1847265"/>
    <d v="2025-01-22T00:00:00"/>
    <n v="1"/>
    <n v="22"/>
    <n v="2025"/>
    <x v="6"/>
    <s v="Q1"/>
    <x v="1"/>
  </r>
  <r>
    <s v="O104170"/>
    <x v="426"/>
    <x v="2"/>
    <x v="0"/>
    <x v="3"/>
    <x v="2"/>
    <n v="4"/>
    <n v="1846904"/>
    <d v="2025-11-09T00:00:00"/>
    <n v="11"/>
    <n v="9"/>
    <n v="2025"/>
    <x v="0"/>
    <s v="Q4"/>
    <x v="3"/>
  </r>
  <r>
    <s v="O107718"/>
    <x v="415"/>
    <x v="4"/>
    <x v="3"/>
    <x v="1"/>
    <x v="3"/>
    <n v="9"/>
    <n v="1845963"/>
    <d v="2026-04-14T00:00:00"/>
    <n v="4"/>
    <n v="14"/>
    <n v="2026"/>
    <x v="11"/>
    <s v="Q2"/>
    <x v="1"/>
  </r>
  <r>
    <s v="O103921"/>
    <x v="747"/>
    <x v="3"/>
    <x v="3"/>
    <x v="4"/>
    <x v="0"/>
    <n v="8"/>
    <n v="1845694"/>
    <d v="2025-08-27T00:00:00"/>
    <n v="8"/>
    <n v="27"/>
    <n v="2025"/>
    <x v="8"/>
    <m/>
    <x v="4"/>
  </r>
  <r>
    <s v="O101428"/>
    <x v="534"/>
    <x v="5"/>
    <x v="3"/>
    <x v="0"/>
    <x v="1"/>
    <n v="8"/>
    <n v="1845597"/>
    <d v="2025-03-28T00:00:00"/>
    <n v="3"/>
    <n v="28"/>
    <n v="2025"/>
    <x v="5"/>
    <s v="Q1"/>
    <x v="0"/>
  </r>
  <r>
    <s v="O109615"/>
    <x v="759"/>
    <x v="1"/>
    <x v="3"/>
    <x v="3"/>
    <x v="2"/>
    <n v="9"/>
    <n v="1844587"/>
    <d v="2026-08-08T00:00:00"/>
    <n v="8"/>
    <n v="8"/>
    <n v="2026"/>
    <x v="8"/>
    <s v="Q3"/>
    <x v="3"/>
  </r>
  <r>
    <s v="O109760"/>
    <x v="780"/>
    <x v="9"/>
    <x v="2"/>
    <x v="3"/>
    <x v="3"/>
    <n v="6"/>
    <n v="1844561"/>
    <d v="2026-08-16T00:00:00"/>
    <n v="8"/>
    <n v="16"/>
    <n v="2026"/>
    <x v="8"/>
    <s v="Q3"/>
    <x v="3"/>
  </r>
  <r>
    <s v="O106681"/>
    <x v="324"/>
    <x v="5"/>
    <x v="2"/>
    <x v="1"/>
    <x v="1"/>
    <n v="7"/>
    <n v="1844362"/>
    <d v="2026-10-02T00:00:00"/>
    <n v="10"/>
    <n v="2"/>
    <n v="2026"/>
    <x v="9"/>
    <m/>
    <x v="1"/>
  </r>
  <r>
    <s v="O111579"/>
    <x v="84"/>
    <x v="5"/>
    <x v="2"/>
    <x v="2"/>
    <x v="2"/>
    <n v="5"/>
    <n v="1844032"/>
    <d v="2026-05-12T00:00:00"/>
    <n v="5"/>
    <n v="12"/>
    <n v="2026"/>
    <x v="3"/>
    <s v="Q2"/>
    <x v="2"/>
  </r>
  <r>
    <s v="O107751"/>
    <x v="496"/>
    <x v="5"/>
    <x v="0"/>
    <x v="1"/>
    <x v="2"/>
    <n v="4"/>
    <n v="1843219"/>
    <d v="2026-04-16T00:00:00"/>
    <n v="4"/>
    <n v="16"/>
    <n v="2026"/>
    <x v="11"/>
    <s v="Q2"/>
    <x v="1"/>
  </r>
  <r>
    <s v="O106037"/>
    <x v="546"/>
    <x v="9"/>
    <x v="4"/>
    <x v="3"/>
    <x v="1"/>
    <n v="9"/>
    <n v="1842445"/>
    <d v="2026-02-01T00:00:00"/>
    <n v="2"/>
    <n v="1"/>
    <n v="2026"/>
    <x v="4"/>
    <s v="Q1"/>
    <x v="3"/>
  </r>
  <r>
    <s v="O104035"/>
    <x v="476"/>
    <x v="10"/>
    <x v="0"/>
    <x v="3"/>
    <x v="0"/>
    <n v="4"/>
    <n v="1842035"/>
    <d v="2025-03-09T00:00:00"/>
    <n v="3"/>
    <n v="9"/>
    <n v="2025"/>
    <x v="5"/>
    <s v="Q1"/>
    <x v="3"/>
  </r>
  <r>
    <s v="O107577"/>
    <x v="379"/>
    <x v="9"/>
    <x v="2"/>
    <x v="1"/>
    <x v="3"/>
    <n v="6"/>
    <n v="1840597"/>
    <d v="2026-06-04T00:00:00"/>
    <n v="6"/>
    <n v="4"/>
    <n v="2026"/>
    <x v="2"/>
    <s v="Q2"/>
    <x v="1"/>
  </r>
  <r>
    <s v="O110619"/>
    <x v="139"/>
    <x v="2"/>
    <x v="0"/>
    <x v="2"/>
    <x v="0"/>
    <n v="4"/>
    <n v="1840213"/>
    <d v="2026-08-10T00:00:00"/>
    <n v="8"/>
    <n v="10"/>
    <n v="2026"/>
    <x v="8"/>
    <s v="Q3"/>
    <x v="2"/>
  </r>
  <r>
    <s v="O103506"/>
    <x v="305"/>
    <x v="5"/>
    <x v="2"/>
    <x v="2"/>
    <x v="3"/>
    <n v="6"/>
    <n v="1839911"/>
    <d v="2025-01-08T00:00:00"/>
    <n v="1"/>
    <n v="8"/>
    <n v="2025"/>
    <x v="6"/>
    <s v="Q1"/>
    <x v="2"/>
  </r>
  <r>
    <s v="O108389"/>
    <x v="706"/>
    <x v="2"/>
    <x v="2"/>
    <x v="1"/>
    <x v="3"/>
    <n v="5"/>
    <n v="1839811"/>
    <d v="2026-05-25T00:00:00"/>
    <n v="5"/>
    <n v="25"/>
    <n v="2026"/>
    <x v="3"/>
    <s v="Q2"/>
    <x v="1"/>
  </r>
  <r>
    <s v="O105336"/>
    <x v="240"/>
    <x v="0"/>
    <x v="3"/>
    <x v="1"/>
    <x v="2"/>
    <n v="7"/>
    <n v="1839734"/>
    <d v="2025-11-21T00:00:00"/>
    <n v="11"/>
    <n v="21"/>
    <n v="2025"/>
    <x v="0"/>
    <s v="Q4"/>
    <x v="1"/>
  </r>
  <r>
    <s v="O107640"/>
    <x v="48"/>
    <x v="0"/>
    <x v="0"/>
    <x v="1"/>
    <x v="0"/>
    <n v="5"/>
    <n v="1839707"/>
    <d v="2026-10-04T00:00:00"/>
    <n v="10"/>
    <n v="4"/>
    <n v="2026"/>
    <x v="9"/>
    <s v="Q4"/>
    <x v="1"/>
  </r>
  <r>
    <s v="O101036"/>
    <x v="387"/>
    <x v="0"/>
    <x v="4"/>
    <x v="3"/>
    <x v="0"/>
    <n v="10"/>
    <n v="1839336"/>
    <d v="2025-04-03T00:00:00"/>
    <n v="4"/>
    <n v="3"/>
    <n v="2025"/>
    <x v="11"/>
    <s v="Q2"/>
    <x v="3"/>
  </r>
  <r>
    <s v="O103886"/>
    <x v="461"/>
    <x v="8"/>
    <x v="3"/>
    <x v="2"/>
    <x v="1"/>
    <n v="7"/>
    <n v="1838216"/>
    <d v="2025-08-25T00:00:00"/>
    <n v="8"/>
    <n v="25"/>
    <n v="2025"/>
    <x v="8"/>
    <s v="Q3"/>
    <x v="2"/>
  </r>
  <r>
    <s v="O108933"/>
    <x v="189"/>
    <x v="3"/>
    <x v="0"/>
    <x v="4"/>
    <x v="0"/>
    <n v="5"/>
    <n v="1837800"/>
    <d v="2026-06-27T00:00:00"/>
    <n v="6"/>
    <n v="27"/>
    <n v="2026"/>
    <x v="2"/>
    <s v="Q2"/>
    <x v="4"/>
  </r>
  <r>
    <s v="O102152"/>
    <x v="238"/>
    <x v="9"/>
    <x v="0"/>
    <x v="0"/>
    <x v="2"/>
    <n v="5"/>
    <n v="1837495"/>
    <d v="2025-11-05T00:00:00"/>
    <n v="11"/>
    <n v="5"/>
    <n v="2025"/>
    <x v="0"/>
    <s v="Q4"/>
    <x v="0"/>
  </r>
  <r>
    <s v="O104833"/>
    <x v="2"/>
    <x v="4"/>
    <x v="2"/>
    <x v="0"/>
    <x v="2"/>
    <n v="6"/>
    <n v="1837481"/>
    <d v="2025-10-21T00:00:00"/>
    <n v="10"/>
    <n v="21"/>
    <n v="2025"/>
    <x v="9"/>
    <s v="Q4"/>
    <x v="0"/>
  </r>
  <r>
    <s v="O101711"/>
    <x v="247"/>
    <x v="6"/>
    <x v="0"/>
    <x v="1"/>
    <x v="1"/>
    <n v="4"/>
    <n v="1837282"/>
    <d v="2025-04-14T00:00:00"/>
    <n v="4"/>
    <n v="14"/>
    <n v="2025"/>
    <x v="11"/>
    <s v="Q2"/>
    <x v="1"/>
  </r>
  <r>
    <s v="O111882"/>
    <x v="623"/>
    <x v="6"/>
    <x v="0"/>
    <x v="0"/>
    <x v="0"/>
    <n v="4"/>
    <n v="1837239"/>
    <d v="2026-12-23T00:00:00"/>
    <n v="12"/>
    <n v="23"/>
    <n v="2026"/>
    <x v="7"/>
    <s v="Q4"/>
    <x v="0"/>
  </r>
  <r>
    <s v="O107661"/>
    <x v="151"/>
    <x v="2"/>
    <x v="0"/>
    <x v="4"/>
    <x v="1"/>
    <n v="4"/>
    <n v="1836570"/>
    <d v="2026-11-04T00:00:00"/>
    <n v="11"/>
    <n v="4"/>
    <n v="2026"/>
    <x v="0"/>
    <s v="Q4"/>
    <x v="4"/>
  </r>
  <r>
    <s v="O100304"/>
    <x v="323"/>
    <x v="2"/>
    <x v="2"/>
    <x v="1"/>
    <x v="2"/>
    <n v="5"/>
    <n v="1836285"/>
    <d v="2025-01-19T00:00:00"/>
    <n v="1"/>
    <n v="19"/>
    <n v="2025"/>
    <x v="6"/>
    <s v="Q1"/>
    <x v="1"/>
  </r>
  <r>
    <s v="O104387"/>
    <x v="493"/>
    <x v="1"/>
    <x v="3"/>
    <x v="3"/>
    <x v="0"/>
    <n v="9"/>
    <n v="1836247"/>
    <d v="2025-09-24T00:00:00"/>
    <n v="9"/>
    <n v="24"/>
    <n v="2025"/>
    <x v="1"/>
    <s v="Q3"/>
    <x v="3"/>
  </r>
  <r>
    <s v="O107972"/>
    <x v="212"/>
    <x v="10"/>
    <x v="2"/>
    <x v="1"/>
    <x v="1"/>
    <n v="8"/>
    <n v="1836139"/>
    <d v="2026-04-30T00:00:00"/>
    <n v="4"/>
    <n v="30"/>
    <n v="2026"/>
    <x v="11"/>
    <s v="Q2"/>
    <x v="1"/>
  </r>
  <r>
    <s v="O106934"/>
    <x v="586"/>
    <x v="0"/>
    <x v="0"/>
    <x v="3"/>
    <x v="0"/>
    <n v="5"/>
    <n v="1835973"/>
    <d v="2026-02-26T00:00:00"/>
    <n v="2"/>
    <n v="26"/>
    <n v="2026"/>
    <x v="4"/>
    <s v="Q1"/>
    <x v="3"/>
  </r>
  <r>
    <s v="O104909"/>
    <x v="21"/>
    <x v="2"/>
    <x v="4"/>
    <x v="4"/>
    <x v="3"/>
    <n v="10"/>
    <n v="1835699"/>
    <d v="2025-10-26T00:00:00"/>
    <n v="10"/>
    <n v="26"/>
    <n v="2025"/>
    <x v="9"/>
    <s v="Q4"/>
    <x v="4"/>
  </r>
  <r>
    <s v="O102747"/>
    <x v="257"/>
    <x v="9"/>
    <x v="2"/>
    <x v="2"/>
    <x v="1"/>
    <n v="5"/>
    <n v="1835241"/>
    <d v="2025-06-16T00:00:00"/>
    <n v="6"/>
    <n v="16"/>
    <n v="2025"/>
    <x v="2"/>
    <s v="Q2"/>
    <x v="2"/>
  </r>
  <r>
    <s v="O105489"/>
    <x v="112"/>
    <x v="8"/>
    <x v="2"/>
    <x v="1"/>
    <x v="2"/>
    <n v="8"/>
    <n v="1835233"/>
    <d v="2025-11-30T00:00:00"/>
    <n v="11"/>
    <n v="30"/>
    <n v="2025"/>
    <x v="0"/>
    <s v="Q4"/>
    <x v="1"/>
  </r>
  <r>
    <s v="O107468"/>
    <x v="447"/>
    <x v="10"/>
    <x v="2"/>
    <x v="3"/>
    <x v="2"/>
    <n v="5"/>
    <n v="1835106"/>
    <d v="2026-03-30T00:00:00"/>
    <n v="3"/>
    <n v="30"/>
    <n v="2026"/>
    <x v="5"/>
    <s v="Q1"/>
    <x v="3"/>
  </r>
  <r>
    <s v="O108258"/>
    <x v="32"/>
    <x v="5"/>
    <x v="3"/>
    <x v="3"/>
    <x v="3"/>
    <n v="7"/>
    <n v="1834442"/>
    <d v="2026-05-17T00:00:00"/>
    <n v="5"/>
    <n v="17"/>
    <n v="2026"/>
    <x v="3"/>
    <s v="Q2"/>
    <x v="3"/>
  </r>
  <r>
    <s v="O101990"/>
    <x v="703"/>
    <x v="2"/>
    <x v="4"/>
    <x v="4"/>
    <x v="3"/>
    <n v="9"/>
    <n v="1833976"/>
    <d v="2025-01-05T00:00:00"/>
    <n v="1"/>
    <n v="5"/>
    <n v="2025"/>
    <x v="6"/>
    <s v="Q1"/>
    <x v="4"/>
  </r>
  <r>
    <s v="O103418"/>
    <x v="781"/>
    <x v="4"/>
    <x v="2"/>
    <x v="3"/>
    <x v="0"/>
    <n v="6"/>
    <n v="1833954"/>
    <d v="2025-07-27T00:00:00"/>
    <n v="7"/>
    <n v="27"/>
    <n v="2025"/>
    <x v="10"/>
    <s v="Q3"/>
    <x v="3"/>
  </r>
  <r>
    <s v="O104575"/>
    <x v="296"/>
    <x v="3"/>
    <x v="4"/>
    <x v="0"/>
    <x v="3"/>
    <n v="10"/>
    <n v="1832809"/>
    <d v="2025-05-10T00:00:00"/>
    <n v="5"/>
    <n v="10"/>
    <n v="2025"/>
    <x v="3"/>
    <s v="Q2"/>
    <x v="0"/>
  </r>
  <r>
    <s v="O110067"/>
    <x v="19"/>
    <x v="9"/>
    <x v="2"/>
    <x v="1"/>
    <x v="3"/>
    <n v="6"/>
    <n v="1832801"/>
    <d v="2026-04-09T00:00:00"/>
    <n v="4"/>
    <n v="9"/>
    <n v="2026"/>
    <x v="11"/>
    <s v="Q2"/>
    <x v="1"/>
  </r>
  <r>
    <s v="O105203"/>
    <x v="34"/>
    <x v="9"/>
    <x v="2"/>
    <x v="1"/>
    <x v="1"/>
    <n v="5"/>
    <n v="1832430"/>
    <d v="2025-11-13T00:00:00"/>
    <n v="11"/>
    <n v="13"/>
    <n v="2025"/>
    <x v="0"/>
    <s v="Q4"/>
    <x v="1"/>
  </r>
  <r>
    <s v="O104589"/>
    <x v="572"/>
    <x v="6"/>
    <x v="2"/>
    <x v="4"/>
    <x v="1"/>
    <n v="5"/>
    <n v="1831781"/>
    <d v="2025-06-10T00:00:00"/>
    <n v="6"/>
    <n v="10"/>
    <n v="2025"/>
    <x v="2"/>
    <s v="Q2"/>
    <x v="4"/>
  </r>
  <r>
    <s v="O109740"/>
    <x v="278"/>
    <x v="8"/>
    <x v="2"/>
    <x v="0"/>
    <x v="3"/>
    <n v="5"/>
    <n v="1831274"/>
    <d v="2026-08-15T00:00:00"/>
    <n v="8"/>
    <n v="15"/>
    <n v="2026"/>
    <x v="8"/>
    <s v="Q3"/>
    <x v="0"/>
  </r>
  <r>
    <s v="O103938"/>
    <x v="548"/>
    <x v="6"/>
    <x v="0"/>
    <x v="4"/>
    <x v="3"/>
    <n v="4"/>
    <n v="1830949"/>
    <d v="2025-08-28T00:00:00"/>
    <n v="8"/>
    <n v="28"/>
    <n v="2025"/>
    <x v="8"/>
    <s v="Q3"/>
    <x v="4"/>
  </r>
  <r>
    <s v="O101948"/>
    <x v="554"/>
    <x v="2"/>
    <x v="0"/>
    <x v="3"/>
    <x v="1"/>
    <n v="5"/>
    <n v="1830778"/>
    <d v="2025-04-29T00:00:00"/>
    <n v="4"/>
    <n v="29"/>
    <n v="2025"/>
    <x v="11"/>
    <s v="Q2"/>
    <x v="3"/>
  </r>
  <r>
    <s v="O103315"/>
    <x v="528"/>
    <x v="6"/>
    <x v="0"/>
    <x v="3"/>
    <x v="2"/>
    <n v="5"/>
    <n v="1830402"/>
    <d v="2025-07-21T00:00:00"/>
    <n v="7"/>
    <n v="21"/>
    <n v="2025"/>
    <x v="10"/>
    <s v="Q3"/>
    <x v="3"/>
  </r>
  <r>
    <s v="O104557"/>
    <x v="716"/>
    <x v="5"/>
    <x v="2"/>
    <x v="2"/>
    <x v="3"/>
    <n v="6"/>
    <n v="1829950"/>
    <d v="2025-04-10T00:00:00"/>
    <n v="4"/>
    <n v="10"/>
    <n v="2025"/>
    <x v="11"/>
    <s v="Q2"/>
    <x v="2"/>
  </r>
  <r>
    <s v="O107531"/>
    <x v="176"/>
    <x v="2"/>
    <x v="0"/>
    <x v="1"/>
    <x v="3"/>
    <n v="4"/>
    <n v="1829346"/>
    <d v="2026-03-04T00:00:00"/>
    <n v="3"/>
    <n v="4"/>
    <n v="2026"/>
    <x v="5"/>
    <s v="Q1"/>
    <x v="1"/>
  </r>
  <r>
    <s v="O103110"/>
    <x v="65"/>
    <x v="8"/>
    <x v="2"/>
    <x v="3"/>
    <x v="2"/>
    <n v="5"/>
    <n v="1828759"/>
    <d v="2025-08-07T00:00:00"/>
    <n v="8"/>
    <n v="7"/>
    <n v="2025"/>
    <x v="8"/>
    <s v="Q3"/>
    <x v="3"/>
  </r>
  <r>
    <s v="O110041"/>
    <x v="574"/>
    <x v="1"/>
    <x v="3"/>
    <x v="3"/>
    <x v="3"/>
    <n v="7"/>
    <n v="1827757"/>
    <d v="2026-02-09T00:00:00"/>
    <n v="2"/>
    <n v="9"/>
    <n v="2026"/>
    <x v="4"/>
    <s v="Q1"/>
    <x v="3"/>
  </r>
  <r>
    <s v="O102845"/>
    <x v="77"/>
    <x v="3"/>
    <x v="2"/>
    <x v="1"/>
    <x v="0"/>
    <n v="5"/>
    <n v="1827243"/>
    <d v="2025-06-22T00:00:00"/>
    <n v="6"/>
    <n v="22"/>
    <n v="2025"/>
    <x v="2"/>
    <s v="Q2"/>
    <x v="1"/>
  </r>
  <r>
    <s v="O103869"/>
    <x v="99"/>
    <x v="1"/>
    <x v="2"/>
    <x v="3"/>
    <x v="0"/>
    <n v="8"/>
    <n v="1827181"/>
    <d v="2025-08-24T00:00:00"/>
    <n v="8"/>
    <n v="24"/>
    <n v="2025"/>
    <x v="8"/>
    <s v="Q3"/>
    <x v="3"/>
  </r>
  <r>
    <s v="O102332"/>
    <x v="216"/>
    <x v="5"/>
    <x v="0"/>
    <x v="3"/>
    <x v="2"/>
    <n v="4"/>
    <n v="1827099"/>
    <d v="2025-05-22T00:00:00"/>
    <n v="5"/>
    <n v="22"/>
    <n v="2025"/>
    <x v="3"/>
    <s v="Q2"/>
    <x v="3"/>
  </r>
  <r>
    <s v="O110363"/>
    <x v="684"/>
    <x v="4"/>
    <x v="3"/>
    <x v="3"/>
    <x v="3"/>
    <n v="10"/>
    <n v="1826961"/>
    <d v="2026-09-22T00:00:00"/>
    <n v="9"/>
    <n v="22"/>
    <n v="2026"/>
    <x v="1"/>
    <s v="Q3"/>
    <x v="3"/>
  </r>
  <r>
    <s v="O103955"/>
    <x v="285"/>
    <x v="1"/>
    <x v="0"/>
    <x v="1"/>
    <x v="1"/>
    <n v="4"/>
    <n v="1826670"/>
    <d v="2025-08-29T00:00:00"/>
    <n v="8"/>
    <n v="29"/>
    <n v="2025"/>
    <x v="8"/>
    <s v="Q3"/>
    <x v="1"/>
  </r>
  <r>
    <s v="O110968"/>
    <x v="144"/>
    <x v="6"/>
    <x v="2"/>
    <x v="4"/>
    <x v="3"/>
    <n v="6"/>
    <n v="1826548"/>
    <d v="2026-10-29T00:00:00"/>
    <n v="10"/>
    <n v="29"/>
    <n v="2026"/>
    <x v="9"/>
    <s v="Q4"/>
    <x v="4"/>
  </r>
  <r>
    <s v="O100855"/>
    <x v="306"/>
    <x v="5"/>
    <x v="0"/>
    <x v="0"/>
    <x v="2"/>
    <n v="5"/>
    <n v="1825077"/>
    <d v="2025-02-21T00:00:00"/>
    <n v="2"/>
    <n v="21"/>
    <n v="2025"/>
    <x v="4"/>
    <s v="Q1"/>
    <x v="0"/>
  </r>
  <r>
    <s v="O110542"/>
    <x v="269"/>
    <x v="3"/>
    <x v="2"/>
    <x v="4"/>
    <x v="0"/>
    <n v="6"/>
    <n v="1825016"/>
    <d v="2026-03-10T00:00:00"/>
    <n v="3"/>
    <n v="10"/>
    <n v="2026"/>
    <x v="5"/>
    <s v="Q1"/>
    <x v="4"/>
  </r>
  <r>
    <s v="O104039"/>
    <x v="579"/>
    <x v="4"/>
    <x v="2"/>
    <x v="4"/>
    <x v="3"/>
    <n v="5"/>
    <n v="1824440"/>
    <d v="2025-03-09T00:00:00"/>
    <n v="3"/>
    <n v="9"/>
    <n v="2025"/>
    <x v="5"/>
    <s v="Q1"/>
    <x v="4"/>
  </r>
  <r>
    <s v="O101997"/>
    <x v="400"/>
    <x v="5"/>
    <x v="3"/>
    <x v="2"/>
    <x v="3"/>
    <n v="7"/>
    <n v="1824289"/>
    <d v="2025-02-05T00:00:00"/>
    <n v="2"/>
    <n v="5"/>
    <n v="2025"/>
    <x v="4"/>
    <s v="Q1"/>
    <x v="2"/>
  </r>
  <r>
    <s v="O100939"/>
    <x v="373"/>
    <x v="1"/>
    <x v="0"/>
    <x v="1"/>
    <x v="3"/>
    <n v="4"/>
    <n v="1824281"/>
    <d v="2025-02-26T00:00:00"/>
    <n v="2"/>
    <n v="26"/>
    <n v="2025"/>
    <x v="4"/>
    <s v="Q1"/>
    <x v="1"/>
  </r>
  <r>
    <s v="O100937"/>
    <x v="462"/>
    <x v="5"/>
    <x v="0"/>
    <x v="4"/>
    <x v="3"/>
    <n v="5"/>
    <n v="1824003"/>
    <d v="2025-02-26T00:00:00"/>
    <n v="2"/>
    <n v="26"/>
    <n v="2025"/>
    <x v="4"/>
    <s v="Q1"/>
    <x v="4"/>
  </r>
  <r>
    <s v="O103552"/>
    <x v="6"/>
    <x v="8"/>
    <x v="0"/>
    <x v="3"/>
    <x v="3"/>
    <n v="4"/>
    <n v="1823756"/>
    <d v="2025-04-08T00:00:00"/>
    <n v="4"/>
    <n v="8"/>
    <n v="2025"/>
    <x v="11"/>
    <s v="Q2"/>
    <x v="3"/>
  </r>
  <r>
    <s v="O106145"/>
    <x v="137"/>
    <x v="3"/>
    <x v="4"/>
    <x v="1"/>
    <x v="2"/>
    <n v="9"/>
    <n v="1823593"/>
    <d v="2026-09-01T00:00:00"/>
    <n v="9"/>
    <n v="1"/>
    <n v="2026"/>
    <x v="1"/>
    <s v="Q3"/>
    <x v="1"/>
  </r>
  <r>
    <s v="O105906"/>
    <x v="438"/>
    <x v="2"/>
    <x v="2"/>
    <x v="1"/>
    <x v="0"/>
    <n v="7"/>
    <n v="1823424"/>
    <d v="2025-12-25T00:00:00"/>
    <n v="12"/>
    <n v="25"/>
    <n v="2025"/>
    <x v="7"/>
    <s v="Q4"/>
    <x v="1"/>
  </r>
  <r>
    <s v="O106293"/>
    <x v="349"/>
    <x v="4"/>
    <x v="3"/>
    <x v="1"/>
    <x v="2"/>
    <n v="9"/>
    <n v="1823143"/>
    <d v="2026-01-18T00:00:00"/>
    <n v="1"/>
    <n v="18"/>
    <n v="2026"/>
    <x v="6"/>
    <s v="Q1"/>
    <x v="1"/>
  </r>
  <r>
    <s v="O103051"/>
    <x v="538"/>
    <x v="3"/>
    <x v="0"/>
    <x v="0"/>
    <x v="0"/>
    <n v="5"/>
    <n v="1823016"/>
    <d v="2025-05-07T00:00:00"/>
    <n v="5"/>
    <n v="7"/>
    <n v="2025"/>
    <x v="3"/>
    <m/>
    <x v="0"/>
  </r>
  <r>
    <s v="O103914"/>
    <x v="513"/>
    <x v="9"/>
    <x v="3"/>
    <x v="3"/>
    <x v="2"/>
    <n v="10"/>
    <n v="1822710"/>
    <d v="2025-08-26T00:00:00"/>
    <n v="8"/>
    <n v="26"/>
    <n v="2025"/>
    <x v="8"/>
    <s v="Q3"/>
    <x v="3"/>
  </r>
  <r>
    <s v="O111252"/>
    <x v="352"/>
    <x v="1"/>
    <x v="4"/>
    <x v="4"/>
    <x v="0"/>
    <n v="10"/>
    <n v="1822608"/>
    <d v="2026-11-15T00:00:00"/>
    <n v="11"/>
    <n v="15"/>
    <n v="2026"/>
    <x v="0"/>
    <s v="Q4"/>
    <x v="4"/>
  </r>
  <r>
    <s v="O111625"/>
    <x v="689"/>
    <x v="6"/>
    <x v="0"/>
    <x v="3"/>
    <x v="2"/>
    <n v="5"/>
    <n v="1821773"/>
    <d v="2026-08-12T00:00:00"/>
    <n v="8"/>
    <n v="12"/>
    <n v="2026"/>
    <x v="8"/>
    <s v="Q3"/>
    <x v="3"/>
  </r>
  <r>
    <s v="O111550"/>
    <x v="349"/>
    <x v="5"/>
    <x v="3"/>
    <x v="2"/>
    <x v="3"/>
    <n v="10"/>
    <n v="1821685"/>
    <d v="2026-03-12T00:00:00"/>
    <n v="3"/>
    <n v="12"/>
    <n v="2026"/>
    <x v="5"/>
    <s v="Q1"/>
    <x v="2"/>
  </r>
  <r>
    <s v="O100554"/>
    <x v="324"/>
    <x v="0"/>
    <x v="2"/>
    <x v="1"/>
    <x v="0"/>
    <n v="7"/>
    <n v="1820280"/>
    <d v="2025-03-02T00:00:00"/>
    <n v="3"/>
    <n v="2"/>
    <n v="2025"/>
    <x v="5"/>
    <m/>
    <x v="1"/>
  </r>
  <r>
    <s v="O103331"/>
    <x v="404"/>
    <x v="9"/>
    <x v="2"/>
    <x v="4"/>
    <x v="1"/>
    <n v="5"/>
    <n v="1820002"/>
    <d v="2025-07-22T00:00:00"/>
    <n v="7"/>
    <n v="22"/>
    <n v="2025"/>
    <x v="10"/>
    <s v="Q3"/>
    <x v="4"/>
  </r>
  <r>
    <s v="O101446"/>
    <x v="189"/>
    <x v="6"/>
    <x v="0"/>
    <x v="0"/>
    <x v="0"/>
    <n v="5"/>
    <n v="1819999"/>
    <d v="2025-03-29T00:00:00"/>
    <n v="3"/>
    <n v="29"/>
    <n v="2025"/>
    <x v="5"/>
    <s v="Q1"/>
    <x v="0"/>
  </r>
  <r>
    <s v="O111358"/>
    <x v="89"/>
    <x v="8"/>
    <x v="3"/>
    <x v="1"/>
    <x v="3"/>
    <n v="8"/>
    <n v="1819872"/>
    <d v="2026-11-21T00:00:00"/>
    <n v="11"/>
    <n v="21"/>
    <n v="2026"/>
    <x v="0"/>
    <s v="Q4"/>
    <x v="1"/>
  </r>
  <r>
    <s v="O111280"/>
    <x v="165"/>
    <x v="3"/>
    <x v="4"/>
    <x v="1"/>
    <x v="0"/>
    <n v="9"/>
    <n v="1818759"/>
    <d v="2026-11-17T00:00:00"/>
    <n v="11"/>
    <n v="17"/>
    <n v="2026"/>
    <x v="0"/>
    <s v="Q4"/>
    <x v="1"/>
  </r>
  <r>
    <s v="O102356"/>
    <x v="265"/>
    <x v="4"/>
    <x v="0"/>
    <x v="0"/>
    <x v="2"/>
    <n v="5"/>
    <n v="1818737"/>
    <d v="2025-05-24T00:00:00"/>
    <n v="5"/>
    <n v="24"/>
    <n v="2025"/>
    <x v="3"/>
    <s v="Q2"/>
    <x v="0"/>
  </r>
  <r>
    <s v="O109601"/>
    <x v="7"/>
    <x v="6"/>
    <x v="0"/>
    <x v="2"/>
    <x v="3"/>
    <n v="5"/>
    <n v="1818252"/>
    <d v="2026-07-08T00:00:00"/>
    <n v="7"/>
    <n v="8"/>
    <n v="2026"/>
    <x v="10"/>
    <s v="Q3"/>
    <x v="2"/>
  </r>
  <r>
    <s v="O104890"/>
    <x v="300"/>
    <x v="8"/>
    <x v="4"/>
    <x v="0"/>
    <x v="2"/>
    <n v="9"/>
    <n v="1818240"/>
    <d v="2025-10-25T00:00:00"/>
    <n v="10"/>
    <n v="25"/>
    <n v="2025"/>
    <x v="9"/>
    <s v="Q4"/>
    <x v="0"/>
  </r>
  <r>
    <s v="O108755"/>
    <x v="325"/>
    <x v="10"/>
    <x v="3"/>
    <x v="2"/>
    <x v="3"/>
    <n v="10"/>
    <n v="1817940"/>
    <d v="2026-06-16T00:00:00"/>
    <n v="6"/>
    <n v="16"/>
    <n v="2026"/>
    <x v="2"/>
    <s v="Q2"/>
    <x v="2"/>
  </r>
  <r>
    <s v="O108143"/>
    <x v="734"/>
    <x v="0"/>
    <x v="2"/>
    <x v="3"/>
    <x v="1"/>
    <n v="5"/>
    <n v="1817490"/>
    <d v="2026-10-05T00:00:00"/>
    <n v="10"/>
    <n v="5"/>
    <n v="2026"/>
    <x v="9"/>
    <s v="Q4"/>
    <x v="3"/>
  </r>
  <r>
    <s v="O106958"/>
    <x v="737"/>
    <x v="8"/>
    <x v="2"/>
    <x v="0"/>
    <x v="0"/>
    <n v="7"/>
    <n v="1817084"/>
    <d v="2026-02-27T00:00:00"/>
    <n v="2"/>
    <n v="27"/>
    <n v="2026"/>
    <x v="4"/>
    <s v="Q1"/>
    <x v="0"/>
  </r>
  <r>
    <s v="O109879"/>
    <x v="329"/>
    <x v="4"/>
    <x v="4"/>
    <x v="4"/>
    <x v="0"/>
    <n v="-5"/>
    <n v="1816742"/>
    <d v="2026-08-24T00:00:00"/>
    <n v="8"/>
    <n v="24"/>
    <n v="2026"/>
    <x v="8"/>
    <s v="Q3"/>
    <x v="4"/>
  </r>
  <r>
    <s v="O105077"/>
    <x v="138"/>
    <x v="3"/>
    <x v="2"/>
    <x v="1"/>
    <x v="2"/>
    <n v="8"/>
    <n v="1816659"/>
    <d v="2025-05-11T00:00:00"/>
    <n v="5"/>
    <n v="11"/>
    <n v="2025"/>
    <x v="3"/>
    <s v="Q2"/>
    <x v="1"/>
  </r>
  <r>
    <s v="O100459"/>
    <x v="572"/>
    <x v="10"/>
    <x v="0"/>
    <x v="2"/>
    <x v="1"/>
    <n v="4"/>
    <n v="1816262"/>
    <d v="2025-01-28T00:00:00"/>
    <n v="1"/>
    <n v="28"/>
    <n v="2025"/>
    <x v="6"/>
    <s v="Q1"/>
    <x v="2"/>
  </r>
  <r>
    <s v="O107205"/>
    <x v="782"/>
    <x v="7"/>
    <x v="3"/>
    <x v="1"/>
    <x v="0"/>
    <n v="9"/>
    <n v="1816163"/>
    <d v="2026-03-14T00:00:00"/>
    <n v="3"/>
    <n v="14"/>
    <n v="2026"/>
    <x v="5"/>
    <s v="Q1"/>
    <x v="1"/>
  </r>
  <r>
    <s v="O101363"/>
    <x v="382"/>
    <x v="9"/>
    <x v="2"/>
    <x v="4"/>
    <x v="2"/>
    <n v="5"/>
    <n v="1816036"/>
    <d v="2025-03-24T00:00:00"/>
    <n v="3"/>
    <n v="24"/>
    <n v="2025"/>
    <x v="5"/>
    <s v="Q1"/>
    <x v="4"/>
  </r>
  <r>
    <s v="O100306"/>
    <x v="615"/>
    <x v="8"/>
    <x v="3"/>
    <x v="4"/>
    <x v="2"/>
    <n v="7"/>
    <n v="1815358"/>
    <d v="2025-01-19T00:00:00"/>
    <n v="1"/>
    <n v="19"/>
    <n v="2025"/>
    <x v="6"/>
    <s v="Q1"/>
    <x v="4"/>
  </r>
  <r>
    <s v="O102329"/>
    <x v="155"/>
    <x v="6"/>
    <x v="2"/>
    <x v="1"/>
    <x v="2"/>
    <n v="5"/>
    <n v="1814583"/>
    <d v="2025-05-22T00:00:00"/>
    <n v="5"/>
    <n v="22"/>
    <n v="2025"/>
    <x v="3"/>
    <s v="Q2"/>
    <x v="1"/>
  </r>
  <r>
    <s v="O103600"/>
    <x v="667"/>
    <x v="6"/>
    <x v="2"/>
    <x v="3"/>
    <x v="0"/>
    <n v="5"/>
    <n v="1812846"/>
    <d v="2025-07-08T00:00:00"/>
    <n v="7"/>
    <n v="8"/>
    <n v="2025"/>
    <x v="10"/>
    <s v="Q3"/>
    <x v="3"/>
  </r>
  <r>
    <s v="O100975"/>
    <x v="23"/>
    <x v="1"/>
    <x v="0"/>
    <x v="2"/>
    <x v="1"/>
    <n v="4"/>
    <n v="1811512"/>
    <d v="2025-01-03T00:00:00"/>
    <n v="1"/>
    <n v="3"/>
    <n v="2025"/>
    <x v="6"/>
    <s v="Q1"/>
    <x v="2"/>
  </r>
  <r>
    <s v="O100259"/>
    <x v="31"/>
    <x v="6"/>
    <x v="2"/>
    <x v="3"/>
    <x v="2"/>
    <n v="5"/>
    <n v="1810814"/>
    <d v="2025-01-16T00:00:00"/>
    <n v="1"/>
    <n v="16"/>
    <n v="2025"/>
    <x v="6"/>
    <s v="Q1"/>
    <x v="3"/>
  </r>
  <r>
    <s v="O109627"/>
    <x v="287"/>
    <x v="1"/>
    <x v="2"/>
    <x v="1"/>
    <x v="3"/>
    <n v="7"/>
    <n v="1810643"/>
    <d v="2026-08-08T00:00:00"/>
    <n v="8"/>
    <n v="8"/>
    <n v="2026"/>
    <x v="8"/>
    <s v="Q3"/>
    <x v="1"/>
  </r>
  <r>
    <s v="O100817"/>
    <x v="334"/>
    <x v="5"/>
    <x v="2"/>
    <x v="2"/>
    <x v="3"/>
    <n v="6"/>
    <n v="1810346"/>
    <d v="2025-02-19T00:00:00"/>
    <n v="2"/>
    <n v="19"/>
    <n v="2025"/>
    <x v="4"/>
    <s v="Q1"/>
    <x v="2"/>
  </r>
  <r>
    <s v="O111906"/>
    <x v="246"/>
    <x v="1"/>
    <x v="4"/>
    <x v="4"/>
    <x v="0"/>
    <n v="10"/>
    <n v="1808627"/>
    <d v="2026-12-25T00:00:00"/>
    <n v="12"/>
    <n v="25"/>
    <n v="2026"/>
    <x v="7"/>
    <s v="Q4"/>
    <x v="4"/>
  </r>
  <r>
    <s v="O105044"/>
    <x v="372"/>
    <x v="5"/>
    <x v="2"/>
    <x v="0"/>
    <x v="3"/>
    <n v="7"/>
    <n v="1807633"/>
    <d v="2025-03-11T00:00:00"/>
    <n v="3"/>
    <n v="11"/>
    <n v="2025"/>
    <x v="5"/>
    <s v="Q1"/>
    <x v="0"/>
  </r>
  <r>
    <s v="O103825"/>
    <x v="360"/>
    <x v="3"/>
    <x v="0"/>
    <x v="3"/>
    <x v="0"/>
    <n v="4"/>
    <n v="1807170"/>
    <d v="2025-08-21T00:00:00"/>
    <n v="8"/>
    <n v="21"/>
    <n v="2025"/>
    <x v="8"/>
    <s v="Q3"/>
    <x v="3"/>
  </r>
  <r>
    <s v="O102516"/>
    <x v="1"/>
    <x v="0"/>
    <x v="3"/>
    <x v="3"/>
    <x v="2"/>
    <n v="10"/>
    <n v="1806691"/>
    <d v="2025-02-06T00:00:00"/>
    <n v="2"/>
    <n v="6"/>
    <n v="2025"/>
    <x v="4"/>
    <s v="Q1"/>
    <x v="3"/>
  </r>
  <r>
    <s v="O108972"/>
    <x v="596"/>
    <x v="3"/>
    <x v="2"/>
    <x v="4"/>
    <x v="1"/>
    <n v="8"/>
    <n v="1805397"/>
    <d v="2026-06-30T00:00:00"/>
    <n v="6"/>
    <n v="30"/>
    <n v="2026"/>
    <x v="2"/>
    <m/>
    <x v="4"/>
  </r>
  <r>
    <s v="O103550"/>
    <x v="643"/>
    <x v="9"/>
    <x v="2"/>
    <x v="4"/>
    <x v="1"/>
    <n v="8"/>
    <n v="1805047"/>
    <d v="2025-04-08T00:00:00"/>
    <n v="4"/>
    <n v="8"/>
    <n v="2025"/>
    <x v="11"/>
    <s v="Q2"/>
    <x v="4"/>
  </r>
  <r>
    <s v="O103089"/>
    <x v="419"/>
    <x v="10"/>
    <x v="2"/>
    <x v="0"/>
    <x v="1"/>
    <n v="6"/>
    <n v="1803955"/>
    <d v="2025-07-07T00:00:00"/>
    <n v="7"/>
    <n v="7"/>
    <n v="2025"/>
    <x v="10"/>
    <s v="Q3"/>
    <x v="0"/>
  </r>
  <r>
    <s v="O104265"/>
    <x v="616"/>
    <x v="10"/>
    <x v="2"/>
    <x v="4"/>
    <x v="4"/>
    <n v="5"/>
    <n v="1802444"/>
    <d v="2025-09-17T00:00:00"/>
    <n v="9"/>
    <n v="17"/>
    <n v="2025"/>
    <x v="1"/>
    <s v="Q3"/>
    <x v="4"/>
  </r>
  <r>
    <s v="O102866"/>
    <x v="110"/>
    <x v="2"/>
    <x v="2"/>
    <x v="3"/>
    <x v="0"/>
    <n v="5"/>
    <n v="1801623"/>
    <d v="2025-06-24T00:00:00"/>
    <n v="6"/>
    <n v="24"/>
    <n v="2025"/>
    <x v="2"/>
    <s v="Q2"/>
    <x v="3"/>
  </r>
  <r>
    <s v="O101513"/>
    <x v="77"/>
    <x v="4"/>
    <x v="3"/>
    <x v="0"/>
    <x v="1"/>
    <n v="8"/>
    <n v="1801072"/>
    <d v="2025-02-04T00:00:00"/>
    <n v="2"/>
    <n v="4"/>
    <n v="2025"/>
    <x v="4"/>
    <s v="Q1"/>
    <x v="0"/>
  </r>
  <r>
    <s v="O109567"/>
    <x v="236"/>
    <x v="9"/>
    <x v="2"/>
    <x v="1"/>
    <x v="0"/>
    <n v="6"/>
    <n v="1800535"/>
    <d v="2026-05-08T00:00:00"/>
    <n v="5"/>
    <n v="8"/>
    <n v="2026"/>
    <x v="3"/>
    <s v="Q2"/>
    <x v="1"/>
  </r>
  <r>
    <s v="O103149"/>
    <x v="413"/>
    <x v="1"/>
    <x v="4"/>
    <x v="3"/>
    <x v="1"/>
    <n v="9"/>
    <n v="1800535"/>
    <d v="2025-11-07T00:00:00"/>
    <n v="11"/>
    <n v="7"/>
    <n v="2025"/>
    <x v="0"/>
    <s v="Q4"/>
    <x v="3"/>
  </r>
  <r>
    <s v="O101725"/>
    <x v="149"/>
    <x v="0"/>
    <x v="4"/>
    <x v="4"/>
    <x v="1"/>
    <n v="10"/>
    <n v="1800202"/>
    <d v="2025-04-15T00:00:00"/>
    <n v="4"/>
    <n v="15"/>
    <n v="2025"/>
    <x v="11"/>
    <s v="Q2"/>
    <x v="4"/>
  </r>
  <r>
    <s v="O110273"/>
    <x v="360"/>
    <x v="6"/>
    <x v="3"/>
    <x v="2"/>
    <x v="2"/>
    <n v="9"/>
    <n v="1799925"/>
    <d v="2026-09-17T00:00:00"/>
    <n v="9"/>
    <n v="17"/>
    <n v="2026"/>
    <x v="1"/>
    <s v="Q3"/>
    <x v="2"/>
  </r>
  <r>
    <s v="O110249"/>
    <x v="435"/>
    <x v="8"/>
    <x v="3"/>
    <x v="2"/>
    <x v="3"/>
    <n v="8"/>
    <n v="1799403"/>
    <d v="2026-09-15T00:00:00"/>
    <n v="9"/>
    <n v="15"/>
    <n v="2026"/>
    <x v="1"/>
    <s v="Q3"/>
    <x v="2"/>
  </r>
  <r>
    <s v="O104889"/>
    <x v="239"/>
    <x v="5"/>
    <x v="0"/>
    <x v="3"/>
    <x v="2"/>
    <n v="4"/>
    <n v="1799364"/>
    <d v="2025-10-24T00:00:00"/>
    <n v="10"/>
    <n v="24"/>
    <n v="2025"/>
    <x v="9"/>
    <s v="Q4"/>
    <x v="3"/>
  </r>
  <r>
    <s v="O107265"/>
    <x v="280"/>
    <x v="5"/>
    <x v="4"/>
    <x v="0"/>
    <x v="2"/>
    <n v="10"/>
    <n v="1799094"/>
    <d v="2026-03-18T00:00:00"/>
    <n v="3"/>
    <n v="18"/>
    <n v="2026"/>
    <x v="5"/>
    <s v="Q1"/>
    <x v="0"/>
  </r>
  <r>
    <s v="O107057"/>
    <x v="7"/>
    <x v="6"/>
    <x v="4"/>
    <x v="2"/>
    <x v="3"/>
    <n v="9"/>
    <n v="1798295"/>
    <d v="2026-05-03T00:00:00"/>
    <n v="5"/>
    <n v="3"/>
    <n v="2026"/>
    <x v="3"/>
    <s v="Q2"/>
    <x v="2"/>
  </r>
  <r>
    <s v="O102539"/>
    <x v="60"/>
    <x v="9"/>
    <x v="4"/>
    <x v="4"/>
    <x v="0"/>
    <n v="10"/>
    <n v="1798225"/>
    <d v="2025-04-06T00:00:00"/>
    <n v="4"/>
    <n v="6"/>
    <n v="2025"/>
    <x v="11"/>
    <s v="Q2"/>
    <x v="4"/>
  </r>
  <r>
    <s v="O110791"/>
    <x v="280"/>
    <x v="4"/>
    <x v="4"/>
    <x v="4"/>
    <x v="1"/>
    <n v="10"/>
    <n v="1798124"/>
    <d v="2026-10-18T00:00:00"/>
    <n v="10"/>
    <n v="18"/>
    <n v="2026"/>
    <x v="9"/>
    <s v="Q4"/>
    <x v="4"/>
  </r>
  <r>
    <s v="O100800"/>
    <x v="509"/>
    <x v="1"/>
    <x v="3"/>
    <x v="1"/>
    <x v="0"/>
    <n v="8"/>
    <n v="1797994"/>
    <d v="2025-02-18T00:00:00"/>
    <n v="2"/>
    <n v="18"/>
    <n v="2025"/>
    <x v="4"/>
    <s v="Q1"/>
    <x v="1"/>
  </r>
  <r>
    <s v="O111708"/>
    <x v="385"/>
    <x v="6"/>
    <x v="3"/>
    <x v="3"/>
    <x v="2"/>
    <n v="7"/>
    <n v="1796677"/>
    <d v="2026-12-13T00:00:00"/>
    <n v="12"/>
    <n v="13"/>
    <n v="2026"/>
    <x v="7"/>
    <s v="Q4"/>
    <x v="3"/>
  </r>
  <r>
    <s v="O102735"/>
    <x v="735"/>
    <x v="9"/>
    <x v="3"/>
    <x v="3"/>
    <x v="0"/>
    <n v="7"/>
    <n v="1796267"/>
    <d v="2025-06-16T00:00:00"/>
    <n v="6"/>
    <n v="16"/>
    <n v="2025"/>
    <x v="2"/>
    <s v="Q2"/>
    <x v="3"/>
  </r>
  <r>
    <s v="O101450"/>
    <x v="504"/>
    <x v="1"/>
    <x v="2"/>
    <x v="3"/>
    <x v="1"/>
    <n v="5"/>
    <n v="1796256"/>
    <d v="2025-03-30T00:00:00"/>
    <n v="3"/>
    <n v="30"/>
    <n v="2025"/>
    <x v="5"/>
    <s v="Q1"/>
    <x v="3"/>
  </r>
  <r>
    <s v="O111167"/>
    <x v="604"/>
    <x v="2"/>
    <x v="0"/>
    <x v="2"/>
    <x v="3"/>
    <n v="4"/>
    <n v="1796062"/>
    <d v="2026-10-11T00:00:00"/>
    <n v="10"/>
    <n v="11"/>
    <n v="2026"/>
    <x v="9"/>
    <s v="Q4"/>
    <x v="2"/>
  </r>
  <r>
    <s v="O103693"/>
    <x v="764"/>
    <x v="4"/>
    <x v="4"/>
    <x v="4"/>
    <x v="3"/>
    <n v="10"/>
    <n v="1795960"/>
    <d v="2025-08-13T00:00:00"/>
    <n v="8"/>
    <n v="13"/>
    <n v="2025"/>
    <x v="8"/>
    <s v="Q3"/>
    <x v="4"/>
  </r>
  <r>
    <s v="O104439"/>
    <x v="70"/>
    <x v="4"/>
    <x v="3"/>
    <x v="4"/>
    <x v="1"/>
    <n v="8"/>
    <n v="1795737"/>
    <d v="2025-09-27T00:00:00"/>
    <n v="9"/>
    <n v="27"/>
    <n v="2025"/>
    <x v="1"/>
    <s v="Q3"/>
    <x v="4"/>
  </r>
  <r>
    <s v="O107300"/>
    <x v="139"/>
    <x v="3"/>
    <x v="2"/>
    <x v="3"/>
    <x v="0"/>
    <n v="6"/>
    <n v="1795428"/>
    <d v="2026-03-20T00:00:00"/>
    <n v="3"/>
    <n v="20"/>
    <n v="2026"/>
    <x v="5"/>
    <s v="Q1"/>
    <x v="3"/>
  </r>
  <r>
    <s v="O105160"/>
    <x v="717"/>
    <x v="5"/>
    <x v="0"/>
    <x v="1"/>
    <x v="0"/>
    <n v="5"/>
    <n v="1795321"/>
    <d v="2025-10-11T00:00:00"/>
    <n v="10"/>
    <n v="11"/>
    <n v="2025"/>
    <x v="9"/>
    <s v="Q4"/>
    <x v="1"/>
  </r>
  <r>
    <s v="O110421"/>
    <x v="530"/>
    <x v="0"/>
    <x v="0"/>
    <x v="4"/>
    <x v="3"/>
    <n v="5"/>
    <n v="1793920"/>
    <d v="2026-09-26T00:00:00"/>
    <n v="9"/>
    <n v="26"/>
    <n v="2026"/>
    <x v="1"/>
    <s v="Q3"/>
    <x v="4"/>
  </r>
  <r>
    <s v="O100631"/>
    <x v="559"/>
    <x v="2"/>
    <x v="4"/>
    <x v="2"/>
    <x v="1"/>
    <n v="9"/>
    <n v="1793637"/>
    <d v="2025-08-02T00:00:00"/>
    <n v="8"/>
    <n v="2"/>
    <n v="2025"/>
    <x v="8"/>
    <m/>
    <x v="2"/>
  </r>
  <r>
    <s v="O105711"/>
    <x v="450"/>
    <x v="8"/>
    <x v="0"/>
    <x v="4"/>
    <x v="1"/>
    <n v="4"/>
    <n v="1793139"/>
    <d v="2025-12-13T00:00:00"/>
    <n v="12"/>
    <n v="13"/>
    <n v="2025"/>
    <x v="7"/>
    <s v="Q4"/>
    <x v="4"/>
  </r>
  <r>
    <s v="O111934"/>
    <x v="299"/>
    <x v="2"/>
    <x v="0"/>
    <x v="4"/>
    <x v="0"/>
    <n v="5"/>
    <n v="1792890"/>
    <d v="2026-12-26T00:00:00"/>
    <n v="12"/>
    <n v="26"/>
    <n v="2026"/>
    <x v="7"/>
    <s v="Q4"/>
    <x v="4"/>
  </r>
  <r>
    <s v="O105557"/>
    <x v="651"/>
    <x v="5"/>
    <x v="0"/>
    <x v="4"/>
    <x v="0"/>
    <n v="4"/>
    <n v="1792519"/>
    <d v="2025-04-12T00:00:00"/>
    <n v="4"/>
    <n v="12"/>
    <n v="2025"/>
    <x v="11"/>
    <s v="Q2"/>
    <x v="4"/>
  </r>
  <r>
    <s v="O111596"/>
    <x v="304"/>
    <x v="3"/>
    <x v="4"/>
    <x v="4"/>
    <x v="1"/>
    <n v="10"/>
    <n v="1792477"/>
    <d v="2026-06-12T00:00:00"/>
    <n v="6"/>
    <n v="12"/>
    <n v="2026"/>
    <x v="2"/>
    <s v="Q2"/>
    <x v="4"/>
  </r>
  <r>
    <s v="O110283"/>
    <x v="669"/>
    <x v="1"/>
    <x v="3"/>
    <x v="1"/>
    <x v="1"/>
    <n v="10"/>
    <n v="1792070"/>
    <d v="2026-09-17T00:00:00"/>
    <n v="9"/>
    <n v="17"/>
    <n v="2026"/>
    <x v="1"/>
    <s v="Q3"/>
    <x v="1"/>
  </r>
  <r>
    <s v="O100391"/>
    <x v="435"/>
    <x v="6"/>
    <x v="3"/>
    <x v="0"/>
    <x v="0"/>
    <n v="8"/>
    <n v="1790873"/>
    <d v="2025-01-24T00:00:00"/>
    <n v="1"/>
    <n v="24"/>
    <n v="2025"/>
    <x v="6"/>
    <s v="Q1"/>
    <x v="0"/>
  </r>
  <r>
    <s v="O110666"/>
    <x v="89"/>
    <x v="8"/>
    <x v="0"/>
    <x v="4"/>
    <x v="2"/>
    <n v="5"/>
    <n v="1788922"/>
    <d v="2026-10-10T00:00:00"/>
    <n v="10"/>
    <n v="10"/>
    <n v="2026"/>
    <x v="9"/>
    <s v="Q4"/>
    <x v="4"/>
  </r>
  <r>
    <s v="O101447"/>
    <x v="580"/>
    <x v="9"/>
    <x v="4"/>
    <x v="1"/>
    <x v="1"/>
    <n v="8"/>
    <n v="1788153"/>
    <d v="2025-03-29T00:00:00"/>
    <n v="3"/>
    <n v="29"/>
    <n v="2025"/>
    <x v="5"/>
    <s v="Q1"/>
    <x v="1"/>
  </r>
  <r>
    <s v="O107765"/>
    <x v="780"/>
    <x v="3"/>
    <x v="2"/>
    <x v="1"/>
    <x v="1"/>
    <n v="6"/>
    <n v="1788120"/>
    <d v="2026-04-17T00:00:00"/>
    <n v="4"/>
    <n v="17"/>
    <n v="2026"/>
    <x v="11"/>
    <s v="Q2"/>
    <x v="1"/>
  </r>
  <r>
    <s v="O104282"/>
    <x v="716"/>
    <x v="4"/>
    <x v="4"/>
    <x v="4"/>
    <x v="2"/>
    <n v="8"/>
    <n v="1787874"/>
    <d v="2025-09-18T00:00:00"/>
    <n v="9"/>
    <n v="18"/>
    <n v="2025"/>
    <x v="1"/>
    <s v="Q3"/>
    <x v="4"/>
  </r>
  <r>
    <s v="O100787"/>
    <x v="168"/>
    <x v="3"/>
    <x v="2"/>
    <x v="4"/>
    <x v="1"/>
    <n v="5"/>
    <n v="1787298"/>
    <d v="2025-02-17T00:00:00"/>
    <n v="2"/>
    <n v="17"/>
    <n v="2025"/>
    <x v="4"/>
    <s v="Q1"/>
    <x v="4"/>
  </r>
  <r>
    <s v="O108303"/>
    <x v="302"/>
    <x v="0"/>
    <x v="4"/>
    <x v="2"/>
    <x v="1"/>
    <n v="9"/>
    <n v="1787205"/>
    <d v="2026-05-20T00:00:00"/>
    <n v="5"/>
    <n v="20"/>
    <n v="2026"/>
    <x v="3"/>
    <s v="Q2"/>
    <x v="2"/>
  </r>
  <r>
    <s v="O111700"/>
    <x v="690"/>
    <x v="4"/>
    <x v="0"/>
    <x v="4"/>
    <x v="3"/>
    <n v="5"/>
    <n v="1787086"/>
    <d v="2026-12-12T00:00:00"/>
    <n v="12"/>
    <n v="12"/>
    <n v="2026"/>
    <x v="7"/>
    <s v="Q4"/>
    <x v="4"/>
  </r>
  <r>
    <s v="O111346"/>
    <x v="334"/>
    <x v="2"/>
    <x v="3"/>
    <x v="4"/>
    <x v="3"/>
    <n v="10"/>
    <n v="1786892"/>
    <d v="2026-11-21T00:00:00"/>
    <n v="11"/>
    <n v="21"/>
    <n v="2026"/>
    <x v="0"/>
    <s v="Q4"/>
    <x v="4"/>
  </r>
  <r>
    <s v="O108449"/>
    <x v="657"/>
    <x v="8"/>
    <x v="0"/>
    <x v="1"/>
    <x v="0"/>
    <n v="4"/>
    <n v="1786037"/>
    <d v="2026-05-29T00:00:00"/>
    <n v="5"/>
    <n v="29"/>
    <n v="2026"/>
    <x v="3"/>
    <s v="Q2"/>
    <x v="1"/>
  </r>
  <r>
    <s v="O100690"/>
    <x v="527"/>
    <x v="9"/>
    <x v="0"/>
    <x v="0"/>
    <x v="3"/>
    <n v="4"/>
    <n v="1786022"/>
    <d v="2025-11-02T00:00:00"/>
    <n v="11"/>
    <n v="2"/>
    <n v="2025"/>
    <x v="0"/>
    <m/>
    <x v="0"/>
  </r>
  <r>
    <s v="O106512"/>
    <x v="369"/>
    <x v="1"/>
    <x v="4"/>
    <x v="0"/>
    <x v="1"/>
    <n v="9"/>
    <n v="1785044"/>
    <d v="2026-01-31T00:00:00"/>
    <n v="1"/>
    <n v="31"/>
    <n v="2026"/>
    <x v="6"/>
    <m/>
    <x v="0"/>
  </r>
  <r>
    <s v="O108465"/>
    <x v="431"/>
    <x v="8"/>
    <x v="3"/>
    <x v="3"/>
    <x v="1"/>
    <n v="7"/>
    <n v="1784917"/>
    <d v="2026-05-30T00:00:00"/>
    <n v="5"/>
    <n v="30"/>
    <n v="2026"/>
    <x v="3"/>
    <s v="Q2"/>
    <x v="3"/>
  </r>
  <r>
    <s v="O102857"/>
    <x v="323"/>
    <x v="8"/>
    <x v="0"/>
    <x v="0"/>
    <x v="2"/>
    <n v="4"/>
    <n v="1784598"/>
    <d v="2025-06-23T00:00:00"/>
    <n v="6"/>
    <n v="23"/>
    <n v="2025"/>
    <x v="2"/>
    <s v="Q2"/>
    <x v="0"/>
  </r>
  <r>
    <s v="O105690"/>
    <x v="79"/>
    <x v="2"/>
    <x v="2"/>
    <x v="2"/>
    <x v="2"/>
    <n v="5"/>
    <n v="1784201"/>
    <d v="2025-12-12T00:00:00"/>
    <n v="12"/>
    <n v="12"/>
    <n v="2025"/>
    <x v="7"/>
    <s v="Q4"/>
    <x v="2"/>
  </r>
  <r>
    <s v="O104448"/>
    <x v="604"/>
    <x v="8"/>
    <x v="4"/>
    <x v="0"/>
    <x v="0"/>
    <n v="10"/>
    <n v="1783620"/>
    <d v="2025-09-28T00:00:00"/>
    <n v="9"/>
    <n v="28"/>
    <n v="2025"/>
    <x v="1"/>
    <s v="Q3"/>
    <x v="0"/>
  </r>
  <r>
    <s v="O111213"/>
    <x v="699"/>
    <x v="5"/>
    <x v="2"/>
    <x v="6"/>
    <x v="0"/>
    <n v="7"/>
    <n v="1783382"/>
    <d v="2026-11-13T00:00:00"/>
    <n v="11"/>
    <n v="13"/>
    <n v="2026"/>
    <x v="0"/>
    <s v="Q4"/>
    <x v="4"/>
  </r>
  <r>
    <s v="O105562"/>
    <x v="153"/>
    <x v="4"/>
    <x v="3"/>
    <x v="1"/>
    <x v="1"/>
    <n v="9"/>
    <n v="1782587"/>
    <d v="2025-04-12T00:00:00"/>
    <n v="4"/>
    <n v="12"/>
    <n v="2025"/>
    <x v="11"/>
    <s v="Q2"/>
    <x v="1"/>
  </r>
  <r>
    <s v="O100676"/>
    <x v="103"/>
    <x v="2"/>
    <x v="3"/>
    <x v="2"/>
    <x v="0"/>
    <n v="10"/>
    <n v="1781969"/>
    <d v="2025-11-02T00:00:00"/>
    <n v="11"/>
    <n v="2"/>
    <n v="2025"/>
    <x v="0"/>
    <s v="Q4"/>
    <x v="2"/>
  </r>
  <r>
    <s v="O109186"/>
    <x v="111"/>
    <x v="3"/>
    <x v="4"/>
    <x v="4"/>
    <x v="0"/>
    <n v="8"/>
    <n v="1781301"/>
    <d v="2026-07-13T00:00:00"/>
    <n v="7"/>
    <n v="13"/>
    <n v="2026"/>
    <x v="10"/>
    <s v="Q3"/>
    <x v="4"/>
  </r>
  <r>
    <s v="O103380"/>
    <x v="426"/>
    <x v="5"/>
    <x v="4"/>
    <x v="2"/>
    <x v="1"/>
    <n v="10"/>
    <n v="1781234"/>
    <d v="2025-07-25T00:00:00"/>
    <n v="7"/>
    <n v="25"/>
    <n v="2025"/>
    <x v="10"/>
    <s v="Q3"/>
    <x v="2"/>
  </r>
  <r>
    <s v="O111159"/>
    <x v="351"/>
    <x v="5"/>
    <x v="2"/>
    <x v="0"/>
    <x v="1"/>
    <n v="5"/>
    <n v="1780527"/>
    <d v="2026-09-11T00:00:00"/>
    <n v="9"/>
    <n v="11"/>
    <n v="2026"/>
    <x v="1"/>
    <s v="Q3"/>
    <x v="0"/>
  </r>
  <r>
    <s v="O106906"/>
    <x v="533"/>
    <x v="6"/>
    <x v="0"/>
    <x v="0"/>
    <x v="1"/>
    <n v="5"/>
    <n v="1780428"/>
    <d v="2026-02-24T00:00:00"/>
    <n v="2"/>
    <n v="24"/>
    <n v="2026"/>
    <x v="4"/>
    <s v="Q1"/>
    <x v="0"/>
  </r>
  <r>
    <s v="O108674"/>
    <x v="131"/>
    <x v="1"/>
    <x v="0"/>
    <x v="1"/>
    <x v="0"/>
    <n v="5"/>
    <n v="1779995"/>
    <d v="2026-11-06T00:00:00"/>
    <n v="11"/>
    <n v="6"/>
    <n v="2026"/>
    <x v="0"/>
    <s v="Q4"/>
    <x v="1"/>
  </r>
  <r>
    <s v="O102339"/>
    <x v="314"/>
    <x v="8"/>
    <x v="0"/>
    <x v="0"/>
    <x v="2"/>
    <n v="4"/>
    <n v="1779780"/>
    <d v="2025-05-23T00:00:00"/>
    <n v="5"/>
    <n v="23"/>
    <n v="2025"/>
    <x v="3"/>
    <s v="Q2"/>
    <x v="0"/>
  </r>
  <r>
    <s v="O100462"/>
    <x v="658"/>
    <x v="4"/>
    <x v="2"/>
    <x v="3"/>
    <x v="0"/>
    <n v="6"/>
    <n v="1779733"/>
    <d v="2025-01-29T00:00:00"/>
    <n v="1"/>
    <n v="29"/>
    <n v="2025"/>
    <x v="6"/>
    <s v="Q1"/>
    <x v="3"/>
  </r>
  <r>
    <s v="O110505"/>
    <x v="362"/>
    <x v="1"/>
    <x v="4"/>
    <x v="4"/>
    <x v="2"/>
    <n v="9"/>
    <n v="1779655"/>
    <d v="2026-01-10T00:00:00"/>
    <n v="1"/>
    <n v="10"/>
    <n v="2026"/>
    <x v="6"/>
    <s v="Q1"/>
    <x v="4"/>
  </r>
  <r>
    <s v="O108064"/>
    <x v="16"/>
    <x v="3"/>
    <x v="0"/>
    <x v="0"/>
    <x v="0"/>
    <n v="4"/>
    <n v="1778851"/>
    <d v="2026-05-05T00:00:00"/>
    <n v="5"/>
    <n v="5"/>
    <n v="2026"/>
    <x v="3"/>
    <s v="Q2"/>
    <x v="0"/>
  </r>
  <r>
    <s v="O103439"/>
    <x v="458"/>
    <x v="6"/>
    <x v="3"/>
    <x v="2"/>
    <x v="2"/>
    <n v="9"/>
    <n v="1778449"/>
    <d v="2025-07-28T00:00:00"/>
    <n v="7"/>
    <n v="28"/>
    <n v="2025"/>
    <x v="10"/>
    <s v="Q3"/>
    <x v="2"/>
  </r>
  <r>
    <s v="O108590"/>
    <x v="8"/>
    <x v="1"/>
    <x v="2"/>
    <x v="3"/>
    <x v="0"/>
    <n v="5"/>
    <n v="1778213"/>
    <d v="2026-06-06T00:00:00"/>
    <n v="6"/>
    <n v="6"/>
    <n v="2026"/>
    <x v="2"/>
    <s v="Q2"/>
    <x v="3"/>
  </r>
  <r>
    <s v="O108839"/>
    <x v="369"/>
    <x v="6"/>
    <x v="3"/>
    <x v="1"/>
    <x v="0"/>
    <n v="10"/>
    <n v="1778045"/>
    <d v="2026-06-21T00:00:00"/>
    <n v="6"/>
    <n v="21"/>
    <n v="2026"/>
    <x v="2"/>
    <m/>
    <x v="1"/>
  </r>
  <r>
    <s v="O108609"/>
    <x v="664"/>
    <x v="1"/>
    <x v="2"/>
    <x v="1"/>
    <x v="1"/>
    <n v="7"/>
    <n v="1777763"/>
    <d v="2026-07-06T00:00:00"/>
    <n v="7"/>
    <n v="6"/>
    <n v="2026"/>
    <x v="10"/>
    <s v="Q3"/>
    <x v="1"/>
  </r>
  <r>
    <s v="O106722"/>
    <x v="110"/>
    <x v="3"/>
    <x v="0"/>
    <x v="4"/>
    <x v="1"/>
    <n v="4"/>
    <n v="1777136"/>
    <d v="2026-02-13T00:00:00"/>
    <n v="2"/>
    <n v="13"/>
    <n v="2026"/>
    <x v="4"/>
    <s v="Q1"/>
    <x v="4"/>
  </r>
  <r>
    <s v="O103363"/>
    <x v="28"/>
    <x v="4"/>
    <x v="4"/>
    <x v="3"/>
    <x v="1"/>
    <n v="8"/>
    <n v="1776726"/>
    <d v="2025-07-24T00:00:00"/>
    <n v="7"/>
    <n v="24"/>
    <n v="2025"/>
    <x v="10"/>
    <s v="Q3"/>
    <x v="3"/>
  </r>
  <r>
    <s v="O103685"/>
    <x v="373"/>
    <x v="4"/>
    <x v="2"/>
    <x v="0"/>
    <x v="1"/>
    <n v="7"/>
    <n v="1775933"/>
    <d v="2025-12-08T00:00:00"/>
    <n v="12"/>
    <n v="8"/>
    <n v="2025"/>
    <x v="7"/>
    <s v="Q4"/>
    <x v="0"/>
  </r>
  <r>
    <s v="O106046"/>
    <x v="79"/>
    <x v="1"/>
    <x v="4"/>
    <x v="0"/>
    <x v="3"/>
    <n v="10"/>
    <n v="1775832"/>
    <d v="2026-03-01T00:00:00"/>
    <n v="3"/>
    <n v="1"/>
    <n v="2026"/>
    <x v="5"/>
    <s v="Q1"/>
    <x v="0"/>
  </r>
  <r>
    <s v="O104945"/>
    <x v="249"/>
    <x v="2"/>
    <x v="1"/>
    <x v="4"/>
    <x v="0"/>
    <n v="9"/>
    <n v="1775602"/>
    <d v="2025-10-28T00:00:00"/>
    <n v="10"/>
    <n v="28"/>
    <n v="2025"/>
    <x v="9"/>
    <s v="Q4"/>
    <x v="4"/>
  </r>
  <r>
    <s v="O107008"/>
    <x v="610"/>
    <x v="4"/>
    <x v="0"/>
    <x v="2"/>
    <x v="2"/>
    <n v="5"/>
    <n v="1775071"/>
    <d v="2026-02-03T00:00:00"/>
    <n v="2"/>
    <n v="3"/>
    <n v="2026"/>
    <x v="4"/>
    <s v="Q1"/>
    <x v="2"/>
  </r>
  <r>
    <s v="O104321"/>
    <x v="256"/>
    <x v="1"/>
    <x v="2"/>
    <x v="3"/>
    <x v="3"/>
    <n v="5"/>
    <n v="1774351"/>
    <d v="2025-09-20T00:00:00"/>
    <n v="9"/>
    <n v="20"/>
    <n v="2025"/>
    <x v="1"/>
    <s v="Q3"/>
    <x v="3"/>
  </r>
  <r>
    <s v="O101335"/>
    <x v="570"/>
    <x v="2"/>
    <x v="3"/>
    <x v="3"/>
    <x v="0"/>
    <n v="10"/>
    <n v="1773827"/>
    <d v="2025-03-23T00:00:00"/>
    <n v="3"/>
    <n v="23"/>
    <n v="2025"/>
    <x v="5"/>
    <s v="Q1"/>
    <x v="3"/>
  </r>
  <r>
    <s v="O105554"/>
    <x v="337"/>
    <x v="7"/>
    <x v="2"/>
    <x v="2"/>
    <x v="2"/>
    <n v="5"/>
    <n v="1773712"/>
    <d v="2025-04-12T00:00:00"/>
    <n v="4"/>
    <n v="12"/>
    <n v="2025"/>
    <x v="11"/>
    <s v="Q2"/>
    <x v="2"/>
  </r>
  <r>
    <s v="O105110"/>
    <x v="699"/>
    <x v="1"/>
    <x v="3"/>
    <x v="2"/>
    <x v="3"/>
    <n v="9"/>
    <n v="1773579"/>
    <d v="2025-07-11T00:00:00"/>
    <n v="7"/>
    <n v="11"/>
    <n v="2025"/>
    <x v="10"/>
    <s v="Q3"/>
    <x v="2"/>
  </r>
  <r>
    <s v="O101556"/>
    <x v="516"/>
    <x v="3"/>
    <x v="0"/>
    <x v="3"/>
    <x v="3"/>
    <n v="4"/>
    <n v="1772856"/>
    <d v="2025-05-04T00:00:00"/>
    <n v="5"/>
    <n v="4"/>
    <n v="2025"/>
    <x v="3"/>
    <s v="Q2"/>
    <x v="3"/>
  </r>
  <r>
    <s v="O107622"/>
    <x v="96"/>
    <x v="9"/>
    <x v="2"/>
    <x v="1"/>
    <x v="3"/>
    <n v="5"/>
    <n v="1772844"/>
    <d v="2026-09-04T00:00:00"/>
    <n v="9"/>
    <n v="4"/>
    <n v="2026"/>
    <x v="1"/>
    <s v="Q3"/>
    <x v="1"/>
  </r>
  <r>
    <s v="O107237"/>
    <x v="64"/>
    <x v="4"/>
    <x v="2"/>
    <x v="3"/>
    <x v="0"/>
    <n v="5"/>
    <n v="1772548"/>
    <d v="2026-03-16T00:00:00"/>
    <n v="3"/>
    <n v="16"/>
    <n v="2026"/>
    <x v="5"/>
    <s v="Q1"/>
    <x v="3"/>
  </r>
  <r>
    <s v="O109546"/>
    <x v="124"/>
    <x v="5"/>
    <x v="0"/>
    <x v="4"/>
    <x v="0"/>
    <n v="4"/>
    <n v="1772474"/>
    <d v="2026-03-08T00:00:00"/>
    <n v="3"/>
    <n v="8"/>
    <n v="2026"/>
    <x v="5"/>
    <s v="Q1"/>
    <x v="4"/>
  </r>
  <r>
    <s v="O105037"/>
    <x v="622"/>
    <x v="3"/>
    <x v="2"/>
    <x v="4"/>
    <x v="0"/>
    <n v="7"/>
    <n v="1772472"/>
    <d v="2025-11-02T00:00:00"/>
    <n v="11"/>
    <n v="2"/>
    <n v="2025"/>
    <x v="0"/>
    <s v="Q4"/>
    <x v="4"/>
  </r>
  <r>
    <s v="O102190"/>
    <x v="334"/>
    <x v="6"/>
    <x v="2"/>
    <x v="2"/>
    <x v="2"/>
    <n v="7"/>
    <n v="1772463"/>
    <d v="2025-05-13T00:00:00"/>
    <n v="5"/>
    <n v="13"/>
    <n v="2025"/>
    <x v="3"/>
    <s v="Q2"/>
    <x v="2"/>
  </r>
  <r>
    <s v="O102448"/>
    <x v="729"/>
    <x v="5"/>
    <x v="0"/>
    <x v="1"/>
    <x v="3"/>
    <n v="5"/>
    <n v="1771877"/>
    <d v="2025-05-29T00:00:00"/>
    <n v="5"/>
    <n v="29"/>
    <n v="2025"/>
    <x v="3"/>
    <s v="Q2"/>
    <x v="1"/>
  </r>
  <r>
    <s v="O102621"/>
    <x v="454"/>
    <x v="9"/>
    <x v="4"/>
    <x v="1"/>
    <x v="0"/>
    <n v="9"/>
    <n v="1771223"/>
    <d v="2025-09-06T00:00:00"/>
    <n v="9"/>
    <n v="6"/>
    <n v="2025"/>
    <x v="1"/>
    <s v="Q3"/>
    <x v="1"/>
  </r>
  <r>
    <s v="O109901"/>
    <x v="311"/>
    <x v="8"/>
    <x v="0"/>
    <x v="1"/>
    <x v="3"/>
    <n v="5"/>
    <n v="1771188"/>
    <d v="2026-08-25T00:00:00"/>
    <n v="8"/>
    <n v="25"/>
    <n v="2026"/>
    <x v="8"/>
    <s v="Q3"/>
    <x v="1"/>
  </r>
  <r>
    <s v="O107080"/>
    <x v="86"/>
    <x v="3"/>
    <x v="4"/>
    <x v="4"/>
    <x v="2"/>
    <n v="8"/>
    <n v="1770780"/>
    <d v="2026-07-03T00:00:00"/>
    <n v="7"/>
    <n v="3"/>
    <n v="2026"/>
    <x v="10"/>
    <s v="Q3"/>
    <x v="4"/>
  </r>
  <r>
    <s v="O102042"/>
    <x v="783"/>
    <x v="3"/>
    <x v="2"/>
    <x v="3"/>
    <x v="0"/>
    <n v="7"/>
    <n v="1770607"/>
    <d v="2025-05-05T00:00:00"/>
    <n v="5"/>
    <n v="5"/>
    <n v="2025"/>
    <x v="3"/>
    <s v="Q2"/>
    <x v="3"/>
  </r>
  <r>
    <s v="O108379"/>
    <x v="272"/>
    <x v="0"/>
    <x v="2"/>
    <x v="2"/>
    <x v="2"/>
    <n v="6"/>
    <n v="1768867"/>
    <d v="2026-05-25T00:00:00"/>
    <n v="5"/>
    <n v="25"/>
    <n v="2026"/>
    <x v="3"/>
    <s v="Q2"/>
    <x v="2"/>
  </r>
  <r>
    <s v="O107737"/>
    <x v="249"/>
    <x v="3"/>
    <x v="3"/>
    <x v="4"/>
    <x v="1"/>
    <n v="10"/>
    <n v="1767734"/>
    <d v="2026-04-16T00:00:00"/>
    <n v="4"/>
    <n v="16"/>
    <n v="2026"/>
    <x v="11"/>
    <s v="Q2"/>
    <x v="4"/>
  </r>
  <r>
    <s v="O104758"/>
    <x v="430"/>
    <x v="6"/>
    <x v="4"/>
    <x v="0"/>
    <x v="0"/>
    <n v="10"/>
    <n v="1767731"/>
    <d v="2025-10-17T00:00:00"/>
    <n v="10"/>
    <n v="17"/>
    <n v="2025"/>
    <x v="9"/>
    <s v="Q4"/>
    <x v="0"/>
  </r>
  <r>
    <s v="O111936"/>
    <x v="118"/>
    <x v="2"/>
    <x v="0"/>
    <x v="3"/>
    <x v="1"/>
    <n v="4"/>
    <n v="1767199"/>
    <d v="2026-12-27T00:00:00"/>
    <n v="12"/>
    <n v="27"/>
    <n v="2026"/>
    <x v="7"/>
    <s v="Q4"/>
    <x v="3"/>
  </r>
  <r>
    <s v="O103086"/>
    <x v="320"/>
    <x v="4"/>
    <x v="2"/>
    <x v="2"/>
    <x v="2"/>
    <n v="6"/>
    <n v="1766493"/>
    <d v="2025-07-07T00:00:00"/>
    <n v="7"/>
    <n v="7"/>
    <n v="2025"/>
    <x v="10"/>
    <s v="Q3"/>
    <x v="2"/>
  </r>
  <r>
    <s v="O108494"/>
    <x v="259"/>
    <x v="5"/>
    <x v="3"/>
    <x v="4"/>
    <x v="1"/>
    <n v="10"/>
    <n v="1766215"/>
    <d v="2026-05-31T00:00:00"/>
    <n v="5"/>
    <n v="31"/>
    <n v="2026"/>
    <x v="3"/>
    <s v="Q2"/>
    <x v="4"/>
  </r>
  <r>
    <s v="O102349"/>
    <x v="105"/>
    <x v="8"/>
    <x v="2"/>
    <x v="3"/>
    <x v="2"/>
    <n v="5"/>
    <n v="1766140"/>
    <d v="2025-05-23T00:00:00"/>
    <n v="5"/>
    <n v="23"/>
    <n v="2025"/>
    <x v="3"/>
    <s v="Q2"/>
    <x v="3"/>
  </r>
  <r>
    <s v="O107711"/>
    <x v="78"/>
    <x v="1"/>
    <x v="0"/>
    <x v="1"/>
    <x v="1"/>
    <n v="4"/>
    <n v="1765095"/>
    <d v="2026-04-14T00:00:00"/>
    <n v="4"/>
    <n v="14"/>
    <n v="2026"/>
    <x v="11"/>
    <s v="Q2"/>
    <x v="1"/>
  </r>
  <r>
    <s v="O100213"/>
    <x v="340"/>
    <x v="8"/>
    <x v="2"/>
    <x v="4"/>
    <x v="2"/>
    <n v="5"/>
    <n v="1764437"/>
    <d v="2025-01-13T00:00:00"/>
    <n v="1"/>
    <n v="13"/>
    <n v="2025"/>
    <x v="6"/>
    <s v="Q1"/>
    <x v="4"/>
  </r>
  <r>
    <s v="O103776"/>
    <x v="241"/>
    <x v="4"/>
    <x v="3"/>
    <x v="4"/>
    <x v="3"/>
    <n v="8"/>
    <n v="1764150"/>
    <d v="2025-08-18T00:00:00"/>
    <n v="8"/>
    <n v="18"/>
    <n v="2025"/>
    <x v="8"/>
    <s v="Q3"/>
    <x v="4"/>
  </r>
  <r>
    <s v="O106491"/>
    <x v="306"/>
    <x v="5"/>
    <x v="2"/>
    <x v="0"/>
    <x v="3"/>
    <n v="6"/>
    <n v="1763441"/>
    <d v="2026-01-30T00:00:00"/>
    <n v="1"/>
    <n v="30"/>
    <n v="2026"/>
    <x v="6"/>
    <s v="Q1"/>
    <x v="0"/>
  </r>
  <r>
    <s v="O103370"/>
    <x v="128"/>
    <x v="6"/>
    <x v="4"/>
    <x v="3"/>
    <x v="1"/>
    <n v="8"/>
    <n v="1763242"/>
    <d v="2025-07-24T00:00:00"/>
    <n v="7"/>
    <n v="24"/>
    <n v="2025"/>
    <x v="10"/>
    <s v="Q3"/>
    <x v="3"/>
  </r>
  <r>
    <s v="O101452"/>
    <x v="55"/>
    <x v="8"/>
    <x v="2"/>
    <x v="0"/>
    <x v="0"/>
    <n v="5"/>
    <n v="1763122"/>
    <d v="2025-03-30T00:00:00"/>
    <n v="3"/>
    <n v="30"/>
    <n v="2025"/>
    <x v="5"/>
    <s v="Q1"/>
    <x v="0"/>
  </r>
  <r>
    <s v="O111209"/>
    <x v="300"/>
    <x v="3"/>
    <x v="0"/>
    <x v="4"/>
    <x v="2"/>
    <n v="5"/>
    <n v="1762829"/>
    <d v="2026-12-11T00:00:00"/>
    <n v="12"/>
    <n v="11"/>
    <n v="2026"/>
    <x v="7"/>
    <s v="Q4"/>
    <x v="4"/>
  </r>
  <r>
    <s v="O109346"/>
    <x v="422"/>
    <x v="6"/>
    <x v="3"/>
    <x v="4"/>
    <x v="0"/>
    <n v="8"/>
    <n v="1762816"/>
    <d v="2026-07-22T00:00:00"/>
    <n v="7"/>
    <n v="22"/>
    <n v="2026"/>
    <x v="10"/>
    <m/>
    <x v="4"/>
  </r>
  <r>
    <s v="O106733"/>
    <x v="250"/>
    <x v="2"/>
    <x v="3"/>
    <x v="4"/>
    <x v="2"/>
    <n v="8"/>
    <n v="1761626"/>
    <d v="2026-02-14T00:00:00"/>
    <n v="2"/>
    <n v="14"/>
    <n v="2026"/>
    <x v="4"/>
    <s v="Q1"/>
    <x v="4"/>
  </r>
  <r>
    <s v="O101617"/>
    <x v="742"/>
    <x v="9"/>
    <x v="3"/>
    <x v="3"/>
    <x v="1"/>
    <n v="9"/>
    <n v="1761599"/>
    <d v="2025-09-04T00:00:00"/>
    <n v="9"/>
    <n v="4"/>
    <n v="2025"/>
    <x v="1"/>
    <s v="Q3"/>
    <x v="3"/>
  </r>
  <r>
    <s v="O108247"/>
    <x v="508"/>
    <x v="10"/>
    <x v="0"/>
    <x v="3"/>
    <x v="2"/>
    <n v="4"/>
    <n v="1761033"/>
    <d v="2026-05-16T00:00:00"/>
    <n v="5"/>
    <n v="16"/>
    <n v="2026"/>
    <x v="3"/>
    <s v="Q2"/>
    <x v="3"/>
  </r>
  <r>
    <s v="O101992"/>
    <x v="139"/>
    <x v="10"/>
    <x v="0"/>
    <x v="4"/>
    <x v="2"/>
    <n v="4"/>
    <n v="1760435"/>
    <d v="2025-01-05T00:00:00"/>
    <n v="1"/>
    <n v="5"/>
    <n v="2025"/>
    <x v="6"/>
    <s v="Q1"/>
    <x v="4"/>
  </r>
  <r>
    <s v="O106113"/>
    <x v="262"/>
    <x v="5"/>
    <x v="3"/>
    <x v="0"/>
    <x v="0"/>
    <n v="9"/>
    <n v="1759754"/>
    <d v="2026-07-01T00:00:00"/>
    <n v="7"/>
    <n v="1"/>
    <n v="2026"/>
    <x v="10"/>
    <s v="Q3"/>
    <x v="0"/>
  </r>
  <r>
    <s v="O110805"/>
    <x v="701"/>
    <x v="1"/>
    <x v="3"/>
    <x v="4"/>
    <x v="2"/>
    <n v="8"/>
    <n v="1759581"/>
    <d v="2026-10-19T00:00:00"/>
    <n v="10"/>
    <n v="19"/>
    <n v="2026"/>
    <x v="9"/>
    <s v="Q4"/>
    <x v="4"/>
  </r>
  <r>
    <s v="O103273"/>
    <x v="401"/>
    <x v="5"/>
    <x v="4"/>
    <x v="1"/>
    <x v="0"/>
    <n v="8"/>
    <n v="1759298"/>
    <d v="2025-07-18T00:00:00"/>
    <n v="7"/>
    <n v="18"/>
    <n v="2025"/>
    <x v="10"/>
    <s v="Q3"/>
    <x v="1"/>
  </r>
  <r>
    <s v="O104992"/>
    <x v="623"/>
    <x v="1"/>
    <x v="2"/>
    <x v="4"/>
    <x v="0"/>
    <n v="7"/>
    <n v="1759267"/>
    <d v="2025-10-31T00:00:00"/>
    <n v="10"/>
    <n v="31"/>
    <n v="2025"/>
    <x v="9"/>
    <s v="Q4"/>
    <x v="4"/>
  </r>
  <r>
    <s v="O101463"/>
    <x v="634"/>
    <x v="9"/>
    <x v="0"/>
    <x v="6"/>
    <x v="3"/>
    <n v="4"/>
    <n v="1758979"/>
    <d v="2025-03-30T00:00:00"/>
    <n v="3"/>
    <n v="30"/>
    <n v="2025"/>
    <x v="5"/>
    <s v="Q1"/>
    <x v="4"/>
  </r>
  <r>
    <s v="O106564"/>
    <x v="294"/>
    <x v="1"/>
    <x v="2"/>
    <x v="0"/>
    <x v="0"/>
    <n v="5"/>
    <n v="1758520"/>
    <d v="2026-03-02T00:00:00"/>
    <n v="3"/>
    <n v="2"/>
    <n v="2026"/>
    <x v="5"/>
    <s v="Q1"/>
    <x v="0"/>
  </r>
  <r>
    <s v="O105413"/>
    <x v="442"/>
    <x v="6"/>
    <x v="4"/>
    <x v="0"/>
    <x v="3"/>
    <n v="9"/>
    <n v="1758058"/>
    <d v="2025-11-25T00:00:00"/>
    <n v="11"/>
    <n v="25"/>
    <n v="2025"/>
    <x v="0"/>
    <s v="Q4"/>
    <x v="0"/>
  </r>
  <r>
    <s v="O111428"/>
    <x v="423"/>
    <x v="8"/>
    <x v="2"/>
    <x v="2"/>
    <x v="3"/>
    <n v="6"/>
    <n v="1757416"/>
    <d v="2026-11-26T00:00:00"/>
    <n v="11"/>
    <n v="26"/>
    <n v="2026"/>
    <x v="0"/>
    <s v="Q4"/>
    <x v="2"/>
  </r>
  <r>
    <s v="O105720"/>
    <x v="540"/>
    <x v="8"/>
    <x v="0"/>
    <x v="4"/>
    <x v="3"/>
    <n v="5"/>
    <n v="1756900"/>
    <d v="2025-12-14T00:00:00"/>
    <n v="12"/>
    <n v="14"/>
    <n v="2025"/>
    <x v="7"/>
    <s v="Q4"/>
    <x v="4"/>
  </r>
  <r>
    <s v="O109037"/>
    <x v="117"/>
    <x v="5"/>
    <x v="0"/>
    <x v="3"/>
    <x v="0"/>
    <n v="4"/>
    <n v="1756069"/>
    <d v="2026-03-07T00:00:00"/>
    <n v="3"/>
    <n v="7"/>
    <n v="2026"/>
    <x v="5"/>
    <s v="Q1"/>
    <x v="3"/>
  </r>
  <r>
    <s v="O106802"/>
    <x v="520"/>
    <x v="5"/>
    <x v="0"/>
    <x v="1"/>
    <x v="2"/>
    <n v="4"/>
    <n v="1756058"/>
    <d v="2026-02-18T00:00:00"/>
    <n v="2"/>
    <n v="18"/>
    <n v="2026"/>
    <x v="4"/>
    <s v="Q1"/>
    <x v="1"/>
  </r>
  <r>
    <s v="O103679"/>
    <x v="286"/>
    <x v="1"/>
    <x v="4"/>
    <x v="2"/>
    <x v="1"/>
    <n v="8"/>
    <n v="1755678"/>
    <d v="2025-12-08T00:00:00"/>
    <n v="12"/>
    <n v="8"/>
    <n v="2025"/>
    <x v="7"/>
    <s v="Q4"/>
    <x v="2"/>
  </r>
  <r>
    <s v="O106031"/>
    <x v="552"/>
    <x v="1"/>
    <x v="2"/>
    <x v="3"/>
    <x v="3"/>
    <n v="5"/>
    <n v="1755081"/>
    <d v="2026-02-01T00:00:00"/>
    <n v="2"/>
    <n v="1"/>
    <n v="2026"/>
    <x v="4"/>
    <s v="Q1"/>
    <x v="3"/>
  </r>
  <r>
    <s v="O101370"/>
    <x v="370"/>
    <x v="9"/>
    <x v="0"/>
    <x v="0"/>
    <x v="1"/>
    <n v="4"/>
    <n v="1754655"/>
    <d v="2025-03-25T00:00:00"/>
    <n v="3"/>
    <n v="25"/>
    <n v="2025"/>
    <x v="5"/>
    <s v="Q1"/>
    <x v="0"/>
  </r>
  <r>
    <s v="O103923"/>
    <x v="491"/>
    <x v="9"/>
    <x v="4"/>
    <x v="2"/>
    <x v="1"/>
    <n v="8"/>
    <n v="1754058"/>
    <d v="2025-08-27T00:00:00"/>
    <n v="8"/>
    <n v="27"/>
    <n v="2025"/>
    <x v="8"/>
    <m/>
    <x v="2"/>
  </r>
  <r>
    <s v="O108959"/>
    <x v="45"/>
    <x v="3"/>
    <x v="2"/>
    <x v="2"/>
    <x v="1"/>
    <n v="5"/>
    <n v="1753711"/>
    <d v="2026-06-29T00:00:00"/>
    <n v="6"/>
    <n v="29"/>
    <n v="2026"/>
    <x v="2"/>
    <s v="Q2"/>
    <x v="2"/>
  </r>
  <r>
    <s v="O100298"/>
    <x v="517"/>
    <x v="4"/>
    <x v="0"/>
    <x v="3"/>
    <x v="2"/>
    <n v="4"/>
    <n v="1753586"/>
    <d v="2025-01-19T00:00:00"/>
    <n v="1"/>
    <n v="19"/>
    <n v="2025"/>
    <x v="6"/>
    <s v="Q1"/>
    <x v="3"/>
  </r>
  <r>
    <s v="O102967"/>
    <x v="143"/>
    <x v="9"/>
    <x v="4"/>
    <x v="5"/>
    <x v="0"/>
    <n v="10"/>
    <n v="1753388"/>
    <d v="2025-06-30T00:00:00"/>
    <n v="6"/>
    <n v="30"/>
    <n v="2025"/>
    <x v="2"/>
    <s v="Q2"/>
    <x v="5"/>
  </r>
  <r>
    <s v="O106983"/>
    <x v="183"/>
    <x v="6"/>
    <x v="3"/>
    <x v="2"/>
    <x v="3"/>
    <n v="10"/>
    <n v="1753209"/>
    <d v="2026-01-03T00:00:00"/>
    <n v="1"/>
    <n v="3"/>
    <n v="2026"/>
    <x v="6"/>
    <s v="Q1"/>
    <x v="2"/>
  </r>
  <r>
    <s v="O106612"/>
    <x v="649"/>
    <x v="8"/>
    <x v="4"/>
    <x v="1"/>
    <x v="3"/>
    <n v="9"/>
    <n v="1753208"/>
    <d v="2026-06-02T00:00:00"/>
    <n v="6"/>
    <n v="2"/>
    <n v="2026"/>
    <x v="2"/>
    <s v="Q2"/>
    <x v="1"/>
  </r>
  <r>
    <s v="O105314"/>
    <x v="74"/>
    <x v="3"/>
    <x v="3"/>
    <x v="2"/>
    <x v="3"/>
    <n v="8"/>
    <n v="1751507"/>
    <d v="2025-11-19T00:00:00"/>
    <n v="11"/>
    <n v="19"/>
    <n v="2025"/>
    <x v="0"/>
    <s v="Q4"/>
    <x v="2"/>
  </r>
  <r>
    <s v="O111954"/>
    <x v="524"/>
    <x v="2"/>
    <x v="4"/>
    <x v="1"/>
    <x v="1"/>
    <n v="8"/>
    <n v="1751142"/>
    <d v="2026-12-28T00:00:00"/>
    <n v="12"/>
    <n v="28"/>
    <n v="2026"/>
    <x v="7"/>
    <s v="Q4"/>
    <x v="1"/>
  </r>
  <r>
    <s v="O103136"/>
    <x v="95"/>
    <x v="9"/>
    <x v="2"/>
    <x v="0"/>
    <x v="2"/>
    <n v="5"/>
    <n v="1751125"/>
    <d v="2025-10-07T00:00:00"/>
    <n v="10"/>
    <n v="7"/>
    <n v="2025"/>
    <x v="9"/>
    <s v="Q4"/>
    <x v="0"/>
  </r>
  <r>
    <s v="O105825"/>
    <x v="698"/>
    <x v="2"/>
    <x v="0"/>
    <x v="0"/>
    <x v="2"/>
    <n v="5"/>
    <n v="1750886"/>
    <d v="2025-12-20T00:00:00"/>
    <n v="12"/>
    <n v="20"/>
    <n v="2025"/>
    <x v="7"/>
    <s v="Q4"/>
    <x v="0"/>
  </r>
  <r>
    <s v="O102179"/>
    <x v="384"/>
    <x v="3"/>
    <x v="4"/>
    <x v="4"/>
    <x v="2"/>
    <n v="9"/>
    <n v="1750271"/>
    <d v="2025-05-13T00:00:00"/>
    <n v="5"/>
    <n v="13"/>
    <n v="2025"/>
    <x v="3"/>
    <s v="Q2"/>
    <x v="4"/>
  </r>
  <r>
    <s v="O104340"/>
    <x v="286"/>
    <x v="10"/>
    <x v="0"/>
    <x v="0"/>
    <x v="0"/>
    <n v="5"/>
    <n v="1749984"/>
    <d v="2025-09-21T00:00:00"/>
    <n v="9"/>
    <n v="21"/>
    <n v="2025"/>
    <x v="1"/>
    <s v="Q3"/>
    <x v="0"/>
  </r>
  <r>
    <s v="O109405"/>
    <x v="527"/>
    <x v="8"/>
    <x v="0"/>
    <x v="2"/>
    <x v="0"/>
    <n v="4"/>
    <n v="1749549"/>
    <d v="2026-07-26T00:00:00"/>
    <n v="7"/>
    <n v="26"/>
    <n v="2026"/>
    <x v="10"/>
    <m/>
    <x v="2"/>
  </r>
  <r>
    <s v="O106855"/>
    <x v="8"/>
    <x v="10"/>
    <x v="0"/>
    <x v="0"/>
    <x v="1"/>
    <n v="5"/>
    <n v="1747795"/>
    <d v="2026-02-21T00:00:00"/>
    <n v="2"/>
    <n v="21"/>
    <n v="2026"/>
    <x v="4"/>
    <s v="Q1"/>
    <x v="0"/>
  </r>
  <r>
    <s v="O105878"/>
    <x v="221"/>
    <x v="1"/>
    <x v="2"/>
    <x v="2"/>
    <x v="0"/>
    <n v="5"/>
    <n v="1747782"/>
    <d v="2025-12-24T00:00:00"/>
    <n v="12"/>
    <n v="24"/>
    <n v="2025"/>
    <x v="7"/>
    <s v="Q4"/>
    <x v="2"/>
  </r>
  <r>
    <s v="O105859"/>
    <x v="71"/>
    <x v="10"/>
    <x v="0"/>
    <x v="1"/>
    <x v="2"/>
    <n v="5"/>
    <n v="1747675"/>
    <d v="2025-12-22T00:00:00"/>
    <n v="12"/>
    <n v="22"/>
    <n v="2025"/>
    <x v="7"/>
    <s v="Q4"/>
    <x v="1"/>
  </r>
  <r>
    <s v="O110027"/>
    <x v="708"/>
    <x v="2"/>
    <x v="3"/>
    <x v="2"/>
    <x v="0"/>
    <n v="9"/>
    <n v="1747343"/>
    <d v="2026-02-09T00:00:00"/>
    <n v="2"/>
    <n v="9"/>
    <n v="2026"/>
    <x v="4"/>
    <s v="Q1"/>
    <x v="2"/>
  </r>
  <r>
    <s v="O103468"/>
    <x v="440"/>
    <x v="6"/>
    <x v="2"/>
    <x v="1"/>
    <x v="1"/>
    <n v="5"/>
    <n v="1747271"/>
    <d v="2025-07-30T00:00:00"/>
    <n v="7"/>
    <n v="30"/>
    <n v="2025"/>
    <x v="10"/>
    <s v="Q3"/>
    <x v="1"/>
  </r>
  <r>
    <s v="O109976"/>
    <x v="668"/>
    <x v="4"/>
    <x v="0"/>
    <x v="2"/>
    <x v="2"/>
    <n v="5"/>
    <n v="1747005"/>
    <d v="2026-08-30T00:00:00"/>
    <n v="8"/>
    <n v="30"/>
    <n v="2026"/>
    <x v="8"/>
    <s v="Q3"/>
    <x v="2"/>
  </r>
  <r>
    <s v="O105763"/>
    <x v="500"/>
    <x v="10"/>
    <x v="3"/>
    <x v="1"/>
    <x v="3"/>
    <n v="8"/>
    <n v="1744930"/>
    <d v="2025-12-17T00:00:00"/>
    <n v="12"/>
    <n v="17"/>
    <n v="2025"/>
    <x v="7"/>
    <s v="Q4"/>
    <x v="1"/>
  </r>
  <r>
    <s v="O101777"/>
    <x v="311"/>
    <x v="4"/>
    <x v="2"/>
    <x v="3"/>
    <x v="0"/>
    <n v="5"/>
    <n v="1744742"/>
    <d v="2025-04-18T00:00:00"/>
    <n v="4"/>
    <n v="18"/>
    <n v="2025"/>
    <x v="11"/>
    <s v="Q2"/>
    <x v="3"/>
  </r>
  <r>
    <s v="O111134"/>
    <x v="173"/>
    <x v="5"/>
    <x v="2"/>
    <x v="0"/>
    <x v="3"/>
    <n v="5"/>
    <n v="1744503"/>
    <d v="2026-08-11T00:00:00"/>
    <n v="8"/>
    <n v="11"/>
    <n v="2026"/>
    <x v="8"/>
    <s v="Q3"/>
    <x v="0"/>
  </r>
  <r>
    <s v="O108910"/>
    <x v="398"/>
    <x v="2"/>
    <x v="3"/>
    <x v="2"/>
    <x v="1"/>
    <n v="7"/>
    <n v="1744359"/>
    <d v="2026-06-26T00:00:00"/>
    <n v="6"/>
    <n v="26"/>
    <n v="2026"/>
    <x v="2"/>
    <s v="Q2"/>
    <x v="2"/>
  </r>
  <r>
    <s v="O102995"/>
    <x v="566"/>
    <x v="8"/>
    <x v="0"/>
    <x v="3"/>
    <x v="2"/>
    <n v="4"/>
    <n v="1743872"/>
    <d v="2025-01-07T00:00:00"/>
    <n v="1"/>
    <n v="7"/>
    <n v="2025"/>
    <x v="6"/>
    <s v="Q1"/>
    <x v="3"/>
  </r>
  <r>
    <s v="O109203"/>
    <x v="773"/>
    <x v="9"/>
    <x v="2"/>
    <x v="2"/>
    <x v="3"/>
    <n v="5"/>
    <n v="1743869"/>
    <d v="2026-07-14T00:00:00"/>
    <n v="7"/>
    <n v="14"/>
    <n v="2026"/>
    <x v="10"/>
    <s v="Q3"/>
    <x v="2"/>
  </r>
  <r>
    <s v="O101187"/>
    <x v="499"/>
    <x v="0"/>
    <x v="2"/>
    <x v="3"/>
    <x v="3"/>
    <n v="6"/>
    <n v="1743408"/>
    <d v="2025-03-14T00:00:00"/>
    <n v="3"/>
    <n v="14"/>
    <n v="2025"/>
    <x v="5"/>
    <s v="Q1"/>
    <x v="3"/>
  </r>
  <r>
    <s v="O106249"/>
    <x v="355"/>
    <x v="6"/>
    <x v="4"/>
    <x v="4"/>
    <x v="3"/>
    <n v="9"/>
    <n v="1743283"/>
    <d v="2026-01-15T00:00:00"/>
    <n v="1"/>
    <n v="15"/>
    <n v="2026"/>
    <x v="6"/>
    <s v="Q1"/>
    <x v="4"/>
  </r>
  <r>
    <s v="O105748"/>
    <x v="394"/>
    <x v="5"/>
    <x v="3"/>
    <x v="1"/>
    <x v="2"/>
    <n v="10"/>
    <n v="1743140"/>
    <d v="2025-12-16T00:00:00"/>
    <n v="12"/>
    <n v="16"/>
    <n v="2025"/>
    <x v="7"/>
    <s v="Q4"/>
    <x v="1"/>
  </r>
  <r>
    <s v="O105735"/>
    <x v="737"/>
    <x v="10"/>
    <x v="2"/>
    <x v="3"/>
    <x v="1"/>
    <n v="6"/>
    <n v="1742892"/>
    <d v="2025-12-15T00:00:00"/>
    <n v="12"/>
    <n v="15"/>
    <n v="2025"/>
    <x v="7"/>
    <s v="Q4"/>
    <x v="3"/>
  </r>
  <r>
    <s v="O102361"/>
    <x v="455"/>
    <x v="4"/>
    <x v="0"/>
    <x v="3"/>
    <x v="1"/>
    <n v="4"/>
    <n v="1742616"/>
    <d v="2025-05-24T00:00:00"/>
    <n v="5"/>
    <n v="24"/>
    <n v="2025"/>
    <x v="3"/>
    <s v="Q2"/>
    <x v="3"/>
  </r>
  <r>
    <s v="O110334"/>
    <x v="452"/>
    <x v="6"/>
    <x v="4"/>
    <x v="2"/>
    <x v="1"/>
    <n v="10"/>
    <n v="1740830"/>
    <d v="2026-09-20T00:00:00"/>
    <n v="9"/>
    <n v="20"/>
    <n v="2026"/>
    <x v="1"/>
    <s v="Q3"/>
    <x v="2"/>
  </r>
  <r>
    <s v="O101818"/>
    <x v="723"/>
    <x v="8"/>
    <x v="4"/>
    <x v="4"/>
    <x v="1"/>
    <n v="8"/>
    <n v="1740621"/>
    <d v="2025-04-21T00:00:00"/>
    <n v="4"/>
    <n v="21"/>
    <n v="2025"/>
    <x v="11"/>
    <s v="Q2"/>
    <x v="4"/>
  </r>
  <r>
    <s v="O103357"/>
    <x v="140"/>
    <x v="6"/>
    <x v="4"/>
    <x v="4"/>
    <x v="2"/>
    <n v="8"/>
    <n v="1740389"/>
    <d v="2025-07-23T00:00:00"/>
    <n v="7"/>
    <n v="23"/>
    <n v="2025"/>
    <x v="10"/>
    <s v="Q3"/>
    <x v="4"/>
  </r>
  <r>
    <s v="O110520"/>
    <x v="208"/>
    <x v="3"/>
    <x v="4"/>
    <x v="1"/>
    <x v="2"/>
    <n v="9"/>
    <n v="1740117"/>
    <d v="2026-02-10T00:00:00"/>
    <n v="2"/>
    <n v="10"/>
    <n v="2026"/>
    <x v="4"/>
    <s v="Q1"/>
    <x v="1"/>
  </r>
  <r>
    <s v="O104510"/>
    <x v="86"/>
    <x v="10"/>
    <x v="3"/>
    <x v="4"/>
    <x v="1"/>
    <n v="7"/>
    <n v="1740064"/>
    <d v="2025-01-10T00:00:00"/>
    <n v="1"/>
    <n v="10"/>
    <n v="2025"/>
    <x v="6"/>
    <s v="Q1"/>
    <x v="4"/>
  </r>
  <r>
    <s v="O102575"/>
    <x v="784"/>
    <x v="8"/>
    <x v="0"/>
    <x v="1"/>
    <x v="1"/>
    <n v="5"/>
    <n v="1739816"/>
    <d v="2025-06-06T00:00:00"/>
    <n v="6"/>
    <n v="6"/>
    <n v="2025"/>
    <x v="2"/>
    <s v="Q2"/>
    <x v="1"/>
  </r>
  <r>
    <s v="O104304"/>
    <x v="681"/>
    <x v="9"/>
    <x v="2"/>
    <x v="0"/>
    <x v="1"/>
    <n v="7"/>
    <n v="1739685"/>
    <d v="2025-09-19T00:00:00"/>
    <n v="9"/>
    <n v="19"/>
    <n v="2025"/>
    <x v="1"/>
    <s v="Q3"/>
    <x v="0"/>
  </r>
  <r>
    <s v="O111462"/>
    <x v="448"/>
    <x v="3"/>
    <x v="0"/>
    <x v="3"/>
    <x v="1"/>
    <n v="4"/>
    <n v="1739593"/>
    <d v="2026-11-28T00:00:00"/>
    <n v="11"/>
    <n v="28"/>
    <n v="2026"/>
    <x v="0"/>
    <s v="Q4"/>
    <x v="3"/>
  </r>
  <r>
    <s v="O102765"/>
    <x v="723"/>
    <x v="6"/>
    <x v="0"/>
    <x v="3"/>
    <x v="2"/>
    <n v="5"/>
    <n v="1738438"/>
    <d v="2025-06-17T00:00:00"/>
    <n v="6"/>
    <n v="17"/>
    <n v="2025"/>
    <x v="2"/>
    <s v="Q2"/>
    <x v="3"/>
  </r>
  <r>
    <s v="O107660"/>
    <x v="595"/>
    <x v="3"/>
    <x v="2"/>
    <x v="2"/>
    <x v="0"/>
    <n v="6"/>
    <n v="1737283"/>
    <d v="2026-11-04T00:00:00"/>
    <n v="11"/>
    <n v="4"/>
    <n v="2026"/>
    <x v="0"/>
    <s v="Q4"/>
    <x v="2"/>
  </r>
  <r>
    <s v="O101682"/>
    <x v="507"/>
    <x v="0"/>
    <x v="3"/>
    <x v="1"/>
    <x v="1"/>
    <n v="9"/>
    <n v="1737250"/>
    <d v="2025-04-13T00:00:00"/>
    <n v="4"/>
    <n v="13"/>
    <n v="2025"/>
    <x v="11"/>
    <s v="Q2"/>
    <x v="1"/>
  </r>
  <r>
    <s v="O105443"/>
    <x v="460"/>
    <x v="8"/>
    <x v="0"/>
    <x v="1"/>
    <x v="2"/>
    <n v="4"/>
    <n v="1737244"/>
    <d v="2025-11-27T00:00:00"/>
    <n v="11"/>
    <n v="27"/>
    <n v="2025"/>
    <x v="0"/>
    <s v="Q4"/>
    <x v="1"/>
  </r>
  <r>
    <s v="O105193"/>
    <x v="343"/>
    <x v="10"/>
    <x v="4"/>
    <x v="4"/>
    <x v="1"/>
    <n v="10"/>
    <n v="1736911"/>
    <d v="2025-12-11T00:00:00"/>
    <n v="12"/>
    <n v="11"/>
    <n v="2025"/>
    <x v="7"/>
    <s v="Q4"/>
    <x v="4"/>
  </r>
  <r>
    <s v="O108495"/>
    <x v="649"/>
    <x v="1"/>
    <x v="0"/>
    <x v="4"/>
    <x v="0"/>
    <n v="5"/>
    <n v="1736200"/>
    <d v="2026-01-06T00:00:00"/>
    <n v="1"/>
    <n v="6"/>
    <n v="2026"/>
    <x v="6"/>
    <s v="Q1"/>
    <x v="4"/>
  </r>
  <r>
    <s v="O106921"/>
    <x v="494"/>
    <x v="1"/>
    <x v="3"/>
    <x v="1"/>
    <x v="2"/>
    <n v="7"/>
    <n v="1735471"/>
    <d v="2026-02-25T00:00:00"/>
    <n v="2"/>
    <n v="25"/>
    <n v="2026"/>
    <x v="4"/>
    <s v="Q1"/>
    <x v="1"/>
  </r>
  <r>
    <s v="O103165"/>
    <x v="14"/>
    <x v="1"/>
    <x v="0"/>
    <x v="4"/>
    <x v="0"/>
    <n v="4"/>
    <n v="1735091"/>
    <d v="2025-12-07T00:00:00"/>
    <n v="12"/>
    <n v="7"/>
    <n v="2025"/>
    <x v="7"/>
    <s v="Q4"/>
    <x v="4"/>
  </r>
  <r>
    <s v="O109611"/>
    <x v="67"/>
    <x v="4"/>
    <x v="4"/>
    <x v="1"/>
    <x v="2"/>
    <n v="8"/>
    <n v="1734002"/>
    <d v="2026-07-08T00:00:00"/>
    <n v="7"/>
    <n v="8"/>
    <n v="2026"/>
    <x v="10"/>
    <s v="Q3"/>
    <x v="1"/>
  </r>
  <r>
    <s v="O102637"/>
    <x v="517"/>
    <x v="2"/>
    <x v="3"/>
    <x v="0"/>
    <x v="1"/>
    <n v="7"/>
    <n v="1733486"/>
    <d v="2025-10-06T00:00:00"/>
    <n v="10"/>
    <n v="6"/>
    <n v="2025"/>
    <x v="9"/>
    <s v="Q4"/>
    <x v="0"/>
  </r>
  <r>
    <s v="O102821"/>
    <x v="279"/>
    <x v="3"/>
    <x v="3"/>
    <x v="1"/>
    <x v="1"/>
    <n v="9"/>
    <n v="1733198"/>
    <d v="2025-06-21T00:00:00"/>
    <n v="6"/>
    <n v="21"/>
    <n v="2025"/>
    <x v="2"/>
    <s v="Q2"/>
    <x v="1"/>
  </r>
  <r>
    <s v="O111206"/>
    <x v="271"/>
    <x v="2"/>
    <x v="3"/>
    <x v="3"/>
    <x v="2"/>
    <n v="7"/>
    <n v="1732610"/>
    <d v="2026-12-11T00:00:00"/>
    <n v="12"/>
    <n v="11"/>
    <n v="2026"/>
    <x v="7"/>
    <s v="Q4"/>
    <x v="3"/>
  </r>
  <r>
    <s v="O101735"/>
    <x v="357"/>
    <x v="6"/>
    <x v="0"/>
    <x v="1"/>
    <x v="0"/>
    <n v="4"/>
    <n v="1732360"/>
    <d v="2025-04-16T00:00:00"/>
    <n v="4"/>
    <n v="16"/>
    <n v="2025"/>
    <x v="11"/>
    <s v="Q2"/>
    <x v="1"/>
  </r>
  <r>
    <s v="O100563"/>
    <x v="382"/>
    <x v="8"/>
    <x v="0"/>
    <x v="2"/>
    <x v="0"/>
    <n v="4"/>
    <n v="1731412"/>
    <d v="2025-04-02T00:00:00"/>
    <n v="4"/>
    <n v="2"/>
    <n v="2025"/>
    <x v="11"/>
    <s v="Q2"/>
    <x v="2"/>
  </r>
  <r>
    <s v="O104052"/>
    <x v="369"/>
    <x v="2"/>
    <x v="2"/>
    <x v="0"/>
    <x v="1"/>
    <n v="7"/>
    <n v="1731203"/>
    <d v="2025-04-09T00:00:00"/>
    <n v="4"/>
    <n v="9"/>
    <n v="2025"/>
    <x v="11"/>
    <m/>
    <x v="0"/>
  </r>
  <r>
    <s v="O101361"/>
    <x v="671"/>
    <x v="1"/>
    <x v="3"/>
    <x v="1"/>
    <x v="2"/>
    <n v="9"/>
    <n v="1730821"/>
    <d v="2025-03-24T00:00:00"/>
    <n v="3"/>
    <n v="24"/>
    <n v="2025"/>
    <x v="5"/>
    <s v="Q1"/>
    <x v="1"/>
  </r>
  <r>
    <s v="O101647"/>
    <x v="164"/>
    <x v="3"/>
    <x v="0"/>
    <x v="3"/>
    <x v="2"/>
    <n v="4"/>
    <n v="1730618"/>
    <d v="2025-11-04T00:00:00"/>
    <n v="11"/>
    <n v="4"/>
    <n v="2025"/>
    <x v="0"/>
    <s v="Q4"/>
    <x v="3"/>
  </r>
  <r>
    <s v="O107986"/>
    <x v="138"/>
    <x v="2"/>
    <x v="4"/>
    <x v="0"/>
    <x v="0"/>
    <n v="9"/>
    <n v="1729915"/>
    <d v="2026-01-05T00:00:00"/>
    <n v="1"/>
    <n v="5"/>
    <n v="2026"/>
    <x v="6"/>
    <s v="Q1"/>
    <x v="0"/>
  </r>
  <r>
    <s v="O111054"/>
    <x v="740"/>
    <x v="10"/>
    <x v="4"/>
    <x v="2"/>
    <x v="1"/>
    <n v="8"/>
    <n v="1728903"/>
    <d v="2026-03-11T00:00:00"/>
    <n v="3"/>
    <n v="11"/>
    <n v="2026"/>
    <x v="5"/>
    <s v="Q1"/>
    <x v="2"/>
  </r>
  <r>
    <s v="O111862"/>
    <x v="419"/>
    <x v="9"/>
    <x v="0"/>
    <x v="3"/>
    <x v="2"/>
    <n v="4"/>
    <n v="1728813"/>
    <d v="2026-12-22T00:00:00"/>
    <n v="12"/>
    <n v="22"/>
    <n v="2026"/>
    <x v="7"/>
    <s v="Q4"/>
    <x v="3"/>
  </r>
  <r>
    <s v="O101409"/>
    <x v="709"/>
    <x v="3"/>
    <x v="2"/>
    <x v="3"/>
    <x v="3"/>
    <n v="5"/>
    <n v="1728715"/>
    <d v="2025-03-27T00:00:00"/>
    <n v="3"/>
    <n v="27"/>
    <n v="2025"/>
    <x v="5"/>
    <s v="Q1"/>
    <x v="3"/>
  </r>
  <r>
    <s v="O102172"/>
    <x v="157"/>
    <x v="0"/>
    <x v="0"/>
    <x v="3"/>
    <x v="0"/>
    <n v="4"/>
    <n v="1728347"/>
    <d v="2025-12-05T00:00:00"/>
    <n v="12"/>
    <n v="5"/>
    <n v="2025"/>
    <x v="7"/>
    <s v="Q4"/>
    <x v="3"/>
  </r>
  <r>
    <s v="O108728"/>
    <x v="138"/>
    <x v="3"/>
    <x v="0"/>
    <x v="1"/>
    <x v="3"/>
    <n v="4"/>
    <n v="1726581"/>
    <d v="2026-06-15T00:00:00"/>
    <n v="6"/>
    <n v="15"/>
    <n v="2026"/>
    <x v="2"/>
    <s v="Q2"/>
    <x v="1"/>
  </r>
  <r>
    <s v="O100523"/>
    <x v="776"/>
    <x v="1"/>
    <x v="3"/>
    <x v="0"/>
    <x v="0"/>
    <n v="8"/>
    <n v="1726044"/>
    <d v="2025-01-02T00:00:00"/>
    <n v="1"/>
    <n v="2"/>
    <n v="2025"/>
    <x v="6"/>
    <s v="Q1"/>
    <x v="0"/>
  </r>
  <r>
    <s v="O102235"/>
    <x v="572"/>
    <x v="3"/>
    <x v="2"/>
    <x v="3"/>
    <x v="2"/>
    <n v="5"/>
    <n v="1725601"/>
    <d v="2025-05-16T00:00:00"/>
    <n v="5"/>
    <n v="16"/>
    <n v="2025"/>
    <x v="3"/>
    <s v="Q2"/>
    <x v="3"/>
  </r>
  <r>
    <s v="O108055"/>
    <x v="448"/>
    <x v="9"/>
    <x v="4"/>
    <x v="3"/>
    <x v="2"/>
    <n v="10"/>
    <n v="1724770"/>
    <d v="2026-05-05T00:00:00"/>
    <n v="5"/>
    <n v="5"/>
    <n v="2026"/>
    <x v="3"/>
    <s v="Q2"/>
    <x v="3"/>
  </r>
  <r>
    <s v="O107096"/>
    <x v="98"/>
    <x v="3"/>
    <x v="2"/>
    <x v="0"/>
    <x v="0"/>
    <n v="7"/>
    <n v="1723912"/>
    <d v="2026-08-03T00:00:00"/>
    <n v="8"/>
    <n v="3"/>
    <n v="2026"/>
    <x v="8"/>
    <s v="Q3"/>
    <x v="0"/>
  </r>
  <r>
    <s v="O104029"/>
    <x v="273"/>
    <x v="4"/>
    <x v="4"/>
    <x v="3"/>
    <x v="0"/>
    <n v="8"/>
    <n v="1723399"/>
    <d v="2025-02-09T00:00:00"/>
    <n v="2"/>
    <n v="9"/>
    <n v="2025"/>
    <x v="4"/>
    <s v="Q1"/>
    <x v="3"/>
  </r>
  <r>
    <s v="O107951"/>
    <x v="181"/>
    <x v="8"/>
    <x v="3"/>
    <x v="1"/>
    <x v="1"/>
    <n v="9"/>
    <n v="1722268"/>
    <d v="2026-04-29T00:00:00"/>
    <n v="4"/>
    <n v="29"/>
    <n v="2026"/>
    <x v="11"/>
    <s v="Q2"/>
    <x v="1"/>
  </r>
  <r>
    <s v="O100121"/>
    <x v="164"/>
    <x v="0"/>
    <x v="4"/>
    <x v="4"/>
    <x v="3"/>
    <n v="9"/>
    <n v="1721833"/>
    <d v="2025-08-01T00:00:00"/>
    <n v="8"/>
    <n v="1"/>
    <n v="2025"/>
    <x v="8"/>
    <s v="Q3"/>
    <x v="4"/>
  </r>
  <r>
    <s v="O109086"/>
    <x v="538"/>
    <x v="5"/>
    <x v="0"/>
    <x v="0"/>
    <x v="0"/>
    <n v="4"/>
    <n v="1721006"/>
    <d v="2026-06-07T00:00:00"/>
    <n v="6"/>
    <n v="7"/>
    <n v="2026"/>
    <x v="2"/>
    <m/>
    <x v="0"/>
  </r>
  <r>
    <s v="O101607"/>
    <x v="781"/>
    <x v="2"/>
    <x v="0"/>
    <x v="0"/>
    <x v="1"/>
    <n v="5"/>
    <n v="1720897"/>
    <d v="2025-08-04T00:00:00"/>
    <n v="8"/>
    <n v="4"/>
    <n v="2025"/>
    <x v="8"/>
    <s v="Q3"/>
    <x v="0"/>
  </r>
  <r>
    <s v="O107581"/>
    <x v="647"/>
    <x v="0"/>
    <x v="2"/>
    <x v="4"/>
    <x v="2"/>
    <n v="7"/>
    <n v="1718404"/>
    <d v="2026-06-04T00:00:00"/>
    <n v="6"/>
    <n v="4"/>
    <n v="2026"/>
    <x v="2"/>
    <s v="Q2"/>
    <x v="4"/>
  </r>
  <r>
    <s v="O103793"/>
    <x v="186"/>
    <x v="10"/>
    <x v="2"/>
    <x v="1"/>
    <x v="1"/>
    <n v="5"/>
    <n v="1718174"/>
    <d v="2025-08-19T00:00:00"/>
    <n v="8"/>
    <n v="19"/>
    <n v="2025"/>
    <x v="8"/>
    <s v="Q3"/>
    <x v="1"/>
  </r>
  <r>
    <s v="O110598"/>
    <x v="647"/>
    <x v="1"/>
    <x v="2"/>
    <x v="3"/>
    <x v="2"/>
    <n v="5"/>
    <n v="1718047"/>
    <d v="2026-06-10T00:00:00"/>
    <n v="6"/>
    <n v="10"/>
    <n v="2026"/>
    <x v="2"/>
    <s v="Q2"/>
    <x v="3"/>
  </r>
  <r>
    <s v="O105345"/>
    <x v="689"/>
    <x v="0"/>
    <x v="3"/>
    <x v="0"/>
    <x v="3"/>
    <n v="8"/>
    <n v="1718027"/>
    <d v="2025-11-21T00:00:00"/>
    <n v="11"/>
    <n v="21"/>
    <n v="2025"/>
    <x v="0"/>
    <s v="Q4"/>
    <x v="0"/>
  </r>
  <r>
    <s v="O103346"/>
    <x v="321"/>
    <x v="1"/>
    <x v="4"/>
    <x v="4"/>
    <x v="1"/>
    <n v="8"/>
    <n v="1717987"/>
    <d v="2025-07-23T00:00:00"/>
    <n v="7"/>
    <n v="23"/>
    <n v="2025"/>
    <x v="10"/>
    <s v="Q3"/>
    <x v="4"/>
  </r>
  <r>
    <s v="O103927"/>
    <x v="583"/>
    <x v="9"/>
    <x v="2"/>
    <x v="3"/>
    <x v="3"/>
    <n v="5"/>
    <n v="1717969"/>
    <d v="2025-08-27T00:00:00"/>
    <n v="8"/>
    <n v="27"/>
    <n v="2025"/>
    <x v="8"/>
    <s v="Q3"/>
    <x v="3"/>
  </r>
  <r>
    <s v="O100153"/>
    <x v="239"/>
    <x v="10"/>
    <x v="0"/>
    <x v="0"/>
    <x v="2"/>
    <n v="4"/>
    <n v="1717555"/>
    <d v="2025-10-01T00:00:00"/>
    <n v="10"/>
    <n v="1"/>
    <n v="2025"/>
    <x v="9"/>
    <s v="Q4"/>
    <x v="0"/>
  </r>
  <r>
    <s v="O102854"/>
    <x v="592"/>
    <x v="3"/>
    <x v="3"/>
    <x v="4"/>
    <x v="2"/>
    <n v="9"/>
    <n v="1717032"/>
    <d v="2025-06-23T00:00:00"/>
    <n v="6"/>
    <n v="23"/>
    <n v="2025"/>
    <x v="2"/>
    <s v="Q2"/>
    <x v="4"/>
  </r>
  <r>
    <s v="O101023"/>
    <x v="751"/>
    <x v="1"/>
    <x v="3"/>
    <x v="3"/>
    <x v="1"/>
    <n v="9"/>
    <n v="1716823"/>
    <d v="2025-04-03T00:00:00"/>
    <n v="4"/>
    <n v="3"/>
    <n v="2025"/>
    <x v="11"/>
    <s v="Q2"/>
    <x v="3"/>
  </r>
  <r>
    <s v="O104125"/>
    <x v="603"/>
    <x v="1"/>
    <x v="4"/>
    <x v="1"/>
    <x v="1"/>
    <n v="9"/>
    <n v="1714977"/>
    <d v="2025-08-09T00:00:00"/>
    <n v="8"/>
    <n v="9"/>
    <n v="2025"/>
    <x v="8"/>
    <s v="Q3"/>
    <x v="1"/>
  </r>
  <r>
    <s v="O107953"/>
    <x v="493"/>
    <x v="9"/>
    <x v="2"/>
    <x v="3"/>
    <x v="2"/>
    <n v="6"/>
    <n v="1713815"/>
    <d v="2026-04-29T00:00:00"/>
    <n v="4"/>
    <n v="29"/>
    <n v="2026"/>
    <x v="11"/>
    <s v="Q2"/>
    <x v="3"/>
  </r>
  <r>
    <s v="O110050"/>
    <x v="679"/>
    <x v="1"/>
    <x v="3"/>
    <x v="2"/>
    <x v="2"/>
    <n v="8"/>
    <n v="1713777"/>
    <d v="2026-03-09T00:00:00"/>
    <n v="3"/>
    <n v="9"/>
    <n v="2026"/>
    <x v="5"/>
    <s v="Q1"/>
    <x v="2"/>
  </r>
  <r>
    <s v="O104947"/>
    <x v="247"/>
    <x v="6"/>
    <x v="2"/>
    <x v="0"/>
    <x v="0"/>
    <n v="5"/>
    <n v="1713755"/>
    <d v="2025-10-28T00:00:00"/>
    <n v="10"/>
    <n v="28"/>
    <n v="2025"/>
    <x v="9"/>
    <s v="Q4"/>
    <x v="0"/>
  </r>
  <r>
    <s v="O100532"/>
    <x v="775"/>
    <x v="9"/>
    <x v="3"/>
    <x v="3"/>
    <x v="2"/>
    <n v="9"/>
    <n v="1712496"/>
    <d v="2025-02-02T00:00:00"/>
    <n v="2"/>
    <n v="2"/>
    <n v="2025"/>
    <x v="4"/>
    <s v="Q1"/>
    <x v="3"/>
  </r>
  <r>
    <s v="O105313"/>
    <x v="118"/>
    <x v="2"/>
    <x v="3"/>
    <x v="7"/>
    <x v="3"/>
    <n v="9"/>
    <n v="1712170"/>
    <d v="2025-11-19T00:00:00"/>
    <n v="11"/>
    <n v="19"/>
    <n v="2025"/>
    <x v="0"/>
    <s v="Q4"/>
    <x v="3"/>
  </r>
  <r>
    <s v="O105061"/>
    <x v="63"/>
    <x v="3"/>
    <x v="3"/>
    <x v="4"/>
    <x v="0"/>
    <n v="10"/>
    <n v="1711807"/>
    <d v="2025-04-11T00:00:00"/>
    <n v="4"/>
    <n v="11"/>
    <n v="2025"/>
    <x v="11"/>
    <s v="Q2"/>
    <x v="4"/>
  </r>
  <r>
    <s v="O109447"/>
    <x v="348"/>
    <x v="0"/>
    <x v="3"/>
    <x v="2"/>
    <x v="3"/>
    <n v="8"/>
    <n v="1709587"/>
    <d v="2026-07-28T00:00:00"/>
    <n v="7"/>
    <n v="28"/>
    <n v="2026"/>
    <x v="10"/>
    <s v="Q3"/>
    <x v="2"/>
  </r>
  <r>
    <s v="O103238"/>
    <x v="284"/>
    <x v="5"/>
    <x v="3"/>
    <x v="2"/>
    <x v="2"/>
    <n v="9"/>
    <n v="1709460"/>
    <d v="2025-07-16T00:00:00"/>
    <n v="7"/>
    <n v="16"/>
    <n v="2025"/>
    <x v="10"/>
    <s v="Q3"/>
    <x v="2"/>
  </r>
  <r>
    <s v="O104674"/>
    <x v="643"/>
    <x v="1"/>
    <x v="0"/>
    <x v="4"/>
    <x v="1"/>
    <n v="4"/>
    <n v="1709237"/>
    <d v="2025-11-10T00:00:00"/>
    <n v="11"/>
    <n v="10"/>
    <n v="2025"/>
    <x v="0"/>
    <s v="Q4"/>
    <x v="4"/>
  </r>
  <r>
    <s v="O110977"/>
    <x v="6"/>
    <x v="10"/>
    <x v="3"/>
    <x v="1"/>
    <x v="3"/>
    <n v="9"/>
    <n v="1708774"/>
    <d v="2026-10-29T00:00:00"/>
    <n v="10"/>
    <n v="29"/>
    <n v="2026"/>
    <x v="9"/>
    <s v="Q4"/>
    <x v="1"/>
  </r>
  <r>
    <s v="O100285"/>
    <x v="97"/>
    <x v="5"/>
    <x v="2"/>
    <x v="1"/>
    <x v="0"/>
    <n v="6"/>
    <n v="1708508"/>
    <d v="2025-01-18T00:00:00"/>
    <n v="1"/>
    <n v="18"/>
    <n v="2025"/>
    <x v="6"/>
    <s v="Q1"/>
    <x v="1"/>
  </r>
  <r>
    <s v="O100911"/>
    <x v="289"/>
    <x v="4"/>
    <x v="2"/>
    <x v="0"/>
    <x v="1"/>
    <n v="5"/>
    <n v="1708267"/>
    <d v="2025-02-25T00:00:00"/>
    <n v="2"/>
    <n v="25"/>
    <n v="2025"/>
    <x v="4"/>
    <s v="Q1"/>
    <x v="0"/>
  </r>
  <r>
    <s v="O110737"/>
    <x v="405"/>
    <x v="3"/>
    <x v="4"/>
    <x v="4"/>
    <x v="2"/>
    <n v="8"/>
    <n v="1707539"/>
    <d v="2026-10-15T00:00:00"/>
    <n v="10"/>
    <n v="15"/>
    <n v="2026"/>
    <x v="9"/>
    <s v="Q4"/>
    <x v="4"/>
  </r>
  <r>
    <s v="O101850"/>
    <x v="267"/>
    <x v="4"/>
    <x v="2"/>
    <x v="4"/>
    <x v="2"/>
    <n v="5"/>
    <n v="1707494"/>
    <d v="2025-04-23T00:00:00"/>
    <n v="4"/>
    <n v="23"/>
    <n v="2025"/>
    <x v="11"/>
    <s v="Q2"/>
    <x v="4"/>
  </r>
  <r>
    <s v="O103574"/>
    <x v="396"/>
    <x v="4"/>
    <x v="3"/>
    <x v="4"/>
    <x v="2"/>
    <n v="7"/>
    <n v="1707422"/>
    <d v="2025-06-08T00:00:00"/>
    <n v="6"/>
    <n v="8"/>
    <n v="2025"/>
    <x v="2"/>
    <s v="Q2"/>
    <x v="4"/>
  </r>
  <r>
    <s v="O104366"/>
    <x v="253"/>
    <x v="6"/>
    <x v="2"/>
    <x v="4"/>
    <x v="3"/>
    <n v="5"/>
    <n v="1707308"/>
    <d v="2025-09-23T00:00:00"/>
    <n v="9"/>
    <n v="23"/>
    <n v="2025"/>
    <x v="1"/>
    <s v="Q3"/>
    <x v="4"/>
  </r>
  <r>
    <s v="O101371"/>
    <x v="684"/>
    <x v="4"/>
    <x v="3"/>
    <x v="4"/>
    <x v="2"/>
    <n v="9"/>
    <n v="1707269"/>
    <d v="2025-03-25T00:00:00"/>
    <n v="3"/>
    <n v="25"/>
    <n v="2025"/>
    <x v="5"/>
    <s v="Q1"/>
    <x v="4"/>
  </r>
  <r>
    <s v="O104373"/>
    <x v="705"/>
    <x v="10"/>
    <x v="0"/>
    <x v="3"/>
    <x v="0"/>
    <n v="5"/>
    <n v="1706874"/>
    <d v="2025-09-23T00:00:00"/>
    <n v="9"/>
    <n v="23"/>
    <n v="2025"/>
    <x v="1"/>
    <s v="Q3"/>
    <x v="3"/>
  </r>
  <r>
    <s v="O110978"/>
    <x v="753"/>
    <x v="8"/>
    <x v="4"/>
    <x v="1"/>
    <x v="3"/>
    <n v="8"/>
    <n v="1706751"/>
    <d v="2026-10-29T00:00:00"/>
    <n v="10"/>
    <n v="29"/>
    <n v="2026"/>
    <x v="9"/>
    <s v="Q4"/>
    <x v="1"/>
  </r>
  <r>
    <s v="O100476"/>
    <x v="479"/>
    <x v="2"/>
    <x v="3"/>
    <x v="2"/>
    <x v="2"/>
    <n v="7"/>
    <n v="1704820"/>
    <d v="2025-01-29T00:00:00"/>
    <n v="1"/>
    <n v="29"/>
    <n v="2025"/>
    <x v="6"/>
    <s v="Q1"/>
    <x v="2"/>
  </r>
  <r>
    <s v="O109055"/>
    <x v="328"/>
    <x v="3"/>
    <x v="2"/>
    <x v="4"/>
    <x v="2"/>
    <n v="5"/>
    <n v="1704771"/>
    <d v="2026-05-07T00:00:00"/>
    <n v="5"/>
    <n v="7"/>
    <n v="2026"/>
    <x v="3"/>
    <s v="Q2"/>
    <x v="4"/>
  </r>
  <r>
    <s v="O102570"/>
    <x v="327"/>
    <x v="2"/>
    <x v="3"/>
    <x v="3"/>
    <x v="3"/>
    <n v="7"/>
    <n v="1704694"/>
    <d v="2025-06-06T00:00:00"/>
    <n v="6"/>
    <n v="6"/>
    <n v="2025"/>
    <x v="2"/>
    <s v="Q2"/>
    <x v="3"/>
  </r>
  <r>
    <s v="O100498"/>
    <x v="337"/>
    <x v="3"/>
    <x v="0"/>
    <x v="2"/>
    <x v="1"/>
    <n v="5"/>
    <n v="1704611"/>
    <d v="2025-01-31T00:00:00"/>
    <n v="1"/>
    <n v="31"/>
    <n v="2025"/>
    <x v="6"/>
    <s v="Q1"/>
    <x v="2"/>
  </r>
  <r>
    <s v="O110189"/>
    <x v="263"/>
    <x v="1"/>
    <x v="0"/>
    <x v="2"/>
    <x v="2"/>
    <n v="5"/>
    <n v="1704277"/>
    <d v="2026-11-09T00:00:00"/>
    <n v="11"/>
    <n v="9"/>
    <n v="2026"/>
    <x v="0"/>
    <s v="Q4"/>
    <x v="2"/>
  </r>
  <r>
    <s v="O104938"/>
    <x v="241"/>
    <x v="1"/>
    <x v="2"/>
    <x v="0"/>
    <x v="0"/>
    <n v="7"/>
    <n v="1703769"/>
    <d v="2025-10-27T00:00:00"/>
    <n v="10"/>
    <n v="27"/>
    <n v="2025"/>
    <x v="9"/>
    <s v="Q4"/>
    <x v="0"/>
  </r>
  <r>
    <s v="O111710"/>
    <x v="640"/>
    <x v="6"/>
    <x v="2"/>
    <x v="1"/>
    <x v="3"/>
    <n v="5"/>
    <n v="1703536"/>
    <d v="2026-12-13T00:00:00"/>
    <n v="12"/>
    <n v="13"/>
    <n v="2026"/>
    <x v="7"/>
    <s v="Q4"/>
    <x v="1"/>
  </r>
  <r>
    <s v="O104492"/>
    <x v="84"/>
    <x v="8"/>
    <x v="4"/>
    <x v="4"/>
    <x v="1"/>
    <n v="9"/>
    <n v="1700773"/>
    <d v="2025-09-30T00:00:00"/>
    <n v="9"/>
    <n v="30"/>
    <n v="2025"/>
    <x v="1"/>
    <s v="Q3"/>
    <x v="4"/>
  </r>
  <r>
    <s v="O106691"/>
    <x v="621"/>
    <x v="9"/>
    <x v="4"/>
    <x v="4"/>
    <x v="2"/>
    <n v="10"/>
    <n v="1700644"/>
    <d v="2026-11-02T00:00:00"/>
    <n v="11"/>
    <n v="2"/>
    <n v="2026"/>
    <x v="0"/>
    <s v="Q4"/>
    <x v="4"/>
  </r>
  <r>
    <s v="O106595"/>
    <x v="702"/>
    <x v="1"/>
    <x v="4"/>
    <x v="3"/>
    <x v="1"/>
    <n v="8"/>
    <n v="1700527"/>
    <d v="2026-05-02T00:00:00"/>
    <n v="5"/>
    <n v="2"/>
    <n v="2026"/>
    <x v="3"/>
    <s v="Q2"/>
    <x v="3"/>
  </r>
  <r>
    <s v="O108754"/>
    <x v="72"/>
    <x v="0"/>
    <x v="0"/>
    <x v="0"/>
    <x v="3"/>
    <n v="5"/>
    <n v="1700138"/>
    <d v="2026-06-16T00:00:00"/>
    <n v="6"/>
    <n v="16"/>
    <n v="2026"/>
    <x v="2"/>
    <s v="Q2"/>
    <x v="0"/>
  </r>
  <r>
    <s v="O105147"/>
    <x v="515"/>
    <x v="10"/>
    <x v="2"/>
    <x v="0"/>
    <x v="0"/>
    <n v="5"/>
    <n v="1699242"/>
    <d v="2025-09-11T00:00:00"/>
    <n v="9"/>
    <n v="11"/>
    <n v="2025"/>
    <x v="1"/>
    <s v="Q3"/>
    <x v="0"/>
  </r>
  <r>
    <s v="O108252"/>
    <x v="241"/>
    <x v="1"/>
    <x v="3"/>
    <x v="0"/>
    <x v="3"/>
    <n v="7"/>
    <n v="1698920"/>
    <d v="2026-05-17T00:00:00"/>
    <n v="5"/>
    <n v="17"/>
    <n v="2026"/>
    <x v="3"/>
    <s v="Q2"/>
    <x v="0"/>
  </r>
  <r>
    <s v="O101824"/>
    <x v="626"/>
    <x v="4"/>
    <x v="4"/>
    <x v="4"/>
    <x v="2"/>
    <n v="10"/>
    <n v="1698045"/>
    <d v="2025-04-21T00:00:00"/>
    <n v="4"/>
    <n v="21"/>
    <n v="2025"/>
    <x v="11"/>
    <s v="Q2"/>
    <x v="4"/>
  </r>
  <r>
    <s v="O106132"/>
    <x v="84"/>
    <x v="4"/>
    <x v="4"/>
    <x v="4"/>
    <x v="3"/>
    <n v="9"/>
    <n v="1697892"/>
    <d v="2026-08-01T00:00:00"/>
    <n v="8"/>
    <n v="1"/>
    <n v="2026"/>
    <x v="8"/>
    <s v="Q3"/>
    <x v="4"/>
  </r>
  <r>
    <s v="O105455"/>
    <x v="264"/>
    <x v="0"/>
    <x v="4"/>
    <x v="2"/>
    <x v="0"/>
    <n v="8"/>
    <n v="1696994"/>
    <d v="2025-11-28T00:00:00"/>
    <n v="11"/>
    <n v="28"/>
    <n v="2025"/>
    <x v="0"/>
    <s v="Q4"/>
    <x v="2"/>
  </r>
  <r>
    <s v="O109932"/>
    <x v="659"/>
    <x v="5"/>
    <x v="0"/>
    <x v="4"/>
    <x v="2"/>
    <n v="4"/>
    <n v="1696935"/>
    <d v="2026-08-27T00:00:00"/>
    <n v="8"/>
    <n v="27"/>
    <n v="2026"/>
    <x v="8"/>
    <s v="Q3"/>
    <x v="4"/>
  </r>
  <r>
    <s v="O101903"/>
    <x v="664"/>
    <x v="3"/>
    <x v="4"/>
    <x v="3"/>
    <x v="2"/>
    <n v="10"/>
    <n v="1696409"/>
    <d v="2025-04-26T00:00:00"/>
    <n v="4"/>
    <n v="26"/>
    <n v="2025"/>
    <x v="11"/>
    <s v="Q2"/>
    <x v="3"/>
  </r>
  <r>
    <s v="O108766"/>
    <x v="235"/>
    <x v="1"/>
    <x v="4"/>
    <x v="0"/>
    <x v="2"/>
    <n v="8"/>
    <n v="1696347"/>
    <d v="2026-06-17T00:00:00"/>
    <n v="6"/>
    <n v="17"/>
    <n v="2026"/>
    <x v="2"/>
    <s v="Q2"/>
    <x v="0"/>
  </r>
  <r>
    <s v="O105062"/>
    <x v="271"/>
    <x v="2"/>
    <x v="3"/>
    <x v="4"/>
    <x v="1"/>
    <n v="7"/>
    <n v="1695965"/>
    <d v="2025-04-11T00:00:00"/>
    <n v="4"/>
    <n v="11"/>
    <n v="2025"/>
    <x v="11"/>
    <s v="Q2"/>
    <x v="4"/>
  </r>
  <r>
    <s v="O103030"/>
    <x v="231"/>
    <x v="1"/>
    <x v="2"/>
    <x v="2"/>
    <x v="2"/>
    <n v="6"/>
    <n v="1694627"/>
    <d v="2025-04-07T00:00:00"/>
    <n v="4"/>
    <n v="7"/>
    <n v="2025"/>
    <x v="11"/>
    <s v="Q2"/>
    <x v="2"/>
  </r>
  <r>
    <s v="O105962"/>
    <x v="628"/>
    <x v="8"/>
    <x v="3"/>
    <x v="0"/>
    <x v="0"/>
    <n v="7"/>
    <n v="1694409"/>
    <d v="2025-12-29T00:00:00"/>
    <n v="12"/>
    <n v="29"/>
    <n v="2025"/>
    <x v="7"/>
    <s v="Q4"/>
    <x v="0"/>
  </r>
  <r>
    <s v="O109884"/>
    <x v="54"/>
    <x v="6"/>
    <x v="3"/>
    <x v="4"/>
    <x v="0"/>
    <n v="9"/>
    <n v="1693280"/>
    <d v="2026-08-24T00:00:00"/>
    <n v="8"/>
    <n v="24"/>
    <n v="2026"/>
    <x v="8"/>
    <s v="Q3"/>
    <x v="4"/>
  </r>
  <r>
    <s v="O107206"/>
    <x v="397"/>
    <x v="10"/>
    <x v="0"/>
    <x v="1"/>
    <x v="2"/>
    <n v="4"/>
    <n v="1692739"/>
    <d v="2026-03-14T00:00:00"/>
    <n v="3"/>
    <n v="14"/>
    <n v="2026"/>
    <x v="5"/>
    <s v="Q1"/>
    <x v="1"/>
  </r>
  <r>
    <s v="O111603"/>
    <x v="274"/>
    <x v="3"/>
    <x v="3"/>
    <x v="4"/>
    <x v="2"/>
    <n v="8"/>
    <n v="1692054"/>
    <d v="2026-06-12T00:00:00"/>
    <n v="6"/>
    <n v="12"/>
    <n v="2026"/>
    <x v="2"/>
    <s v="Q2"/>
    <x v="4"/>
  </r>
  <r>
    <s v="O111555"/>
    <x v="321"/>
    <x v="3"/>
    <x v="2"/>
    <x v="4"/>
    <x v="1"/>
    <n v="5"/>
    <n v="1691950"/>
    <d v="2026-03-12T00:00:00"/>
    <n v="3"/>
    <n v="12"/>
    <n v="2026"/>
    <x v="5"/>
    <s v="Q1"/>
    <x v="4"/>
  </r>
  <r>
    <s v="O102182"/>
    <x v="297"/>
    <x v="4"/>
    <x v="0"/>
    <x v="0"/>
    <x v="2"/>
    <n v="4"/>
    <n v="1691016"/>
    <d v="2025-05-13T00:00:00"/>
    <n v="5"/>
    <n v="13"/>
    <n v="2025"/>
    <x v="3"/>
    <s v="Q2"/>
    <x v="0"/>
  </r>
  <r>
    <s v="O108374"/>
    <x v="629"/>
    <x v="9"/>
    <x v="4"/>
    <x v="3"/>
    <x v="0"/>
    <n v="9"/>
    <n v="1690395"/>
    <d v="2026-05-24T00:00:00"/>
    <n v="5"/>
    <n v="24"/>
    <n v="2026"/>
    <x v="3"/>
    <s v="Q2"/>
    <x v="3"/>
  </r>
  <r>
    <s v="O109157"/>
    <x v="644"/>
    <x v="2"/>
    <x v="3"/>
    <x v="1"/>
    <x v="3"/>
    <n v="8"/>
    <n v="1690330"/>
    <d v="2026-11-07T00:00:00"/>
    <n v="11"/>
    <n v="7"/>
    <n v="2026"/>
    <x v="0"/>
    <s v="Q4"/>
    <x v="1"/>
  </r>
  <r>
    <s v="O111692"/>
    <x v="26"/>
    <x v="9"/>
    <x v="2"/>
    <x v="4"/>
    <x v="0"/>
    <n v="6"/>
    <n v="1690188"/>
    <d v="2026-12-12T00:00:00"/>
    <n v="12"/>
    <n v="12"/>
    <n v="2026"/>
    <x v="7"/>
    <s v="Q4"/>
    <x v="4"/>
  </r>
  <r>
    <s v="O111355"/>
    <x v="772"/>
    <x v="8"/>
    <x v="4"/>
    <x v="0"/>
    <x v="0"/>
    <n v="10"/>
    <n v="1689846"/>
    <d v="2026-11-21T00:00:00"/>
    <n v="11"/>
    <n v="21"/>
    <n v="2026"/>
    <x v="0"/>
    <s v="Q4"/>
    <x v="0"/>
  </r>
  <r>
    <s v="O102478"/>
    <x v="374"/>
    <x v="10"/>
    <x v="4"/>
    <x v="3"/>
    <x v="3"/>
    <n v="9"/>
    <n v="1688087"/>
    <d v="2025-05-31T00:00:00"/>
    <n v="5"/>
    <n v="31"/>
    <n v="2025"/>
    <x v="3"/>
    <s v="Q2"/>
    <x v="3"/>
  </r>
  <r>
    <s v="O111841"/>
    <x v="659"/>
    <x v="9"/>
    <x v="0"/>
    <x v="7"/>
    <x v="2"/>
    <n v="4"/>
    <n v="1687978"/>
    <d v="2026-12-21T00:00:00"/>
    <n v="12"/>
    <n v="21"/>
    <n v="2026"/>
    <x v="7"/>
    <s v="Q4"/>
    <x v="3"/>
  </r>
  <r>
    <s v="O103446"/>
    <x v="10"/>
    <x v="3"/>
    <x v="2"/>
    <x v="0"/>
    <x v="3"/>
    <n v="5"/>
    <n v="1687361"/>
    <d v="2025-07-29T00:00:00"/>
    <n v="7"/>
    <n v="29"/>
    <n v="2025"/>
    <x v="10"/>
    <s v="Q3"/>
    <x v="0"/>
  </r>
  <r>
    <s v="O103065"/>
    <x v="768"/>
    <x v="6"/>
    <x v="2"/>
    <x v="3"/>
    <x v="3"/>
    <n v="7"/>
    <n v="1686928"/>
    <d v="2025-06-07T00:00:00"/>
    <n v="6"/>
    <n v="7"/>
    <n v="2025"/>
    <x v="2"/>
    <s v="Q2"/>
    <x v="3"/>
  </r>
  <r>
    <s v="O106609"/>
    <x v="446"/>
    <x v="4"/>
    <x v="3"/>
    <x v="2"/>
    <x v="0"/>
    <n v="7"/>
    <n v="1686786"/>
    <d v="2026-06-02T00:00:00"/>
    <n v="6"/>
    <n v="2"/>
    <n v="2026"/>
    <x v="2"/>
    <s v="Q2"/>
    <x v="2"/>
  </r>
  <r>
    <s v="O103699"/>
    <x v="121"/>
    <x v="2"/>
    <x v="3"/>
    <x v="2"/>
    <x v="0"/>
    <n v="8"/>
    <n v="1686729"/>
    <d v="2025-08-13T00:00:00"/>
    <n v="8"/>
    <n v="13"/>
    <n v="2025"/>
    <x v="8"/>
    <s v="Q3"/>
    <x v="2"/>
  </r>
  <r>
    <s v="O109153"/>
    <x v="341"/>
    <x v="4"/>
    <x v="0"/>
    <x v="1"/>
    <x v="2"/>
    <n v="4"/>
    <n v="1686549"/>
    <d v="2026-11-07T00:00:00"/>
    <n v="11"/>
    <n v="7"/>
    <n v="2026"/>
    <x v="0"/>
    <m/>
    <x v="1"/>
  </r>
  <r>
    <s v="O106449"/>
    <x v="9"/>
    <x v="3"/>
    <x v="0"/>
    <x v="4"/>
    <x v="0"/>
    <n v="3"/>
    <n v="1686502"/>
    <d v="2026-01-27T00:00:00"/>
    <n v="1"/>
    <n v="27"/>
    <n v="2026"/>
    <x v="6"/>
    <s v="Q1"/>
    <x v="4"/>
  </r>
  <r>
    <s v="O107259"/>
    <x v="119"/>
    <x v="8"/>
    <x v="4"/>
    <x v="2"/>
    <x v="0"/>
    <n v="8"/>
    <n v="1685639"/>
    <d v="2026-03-17T00:00:00"/>
    <n v="3"/>
    <n v="17"/>
    <n v="2026"/>
    <x v="5"/>
    <s v="Q1"/>
    <x v="2"/>
  </r>
  <r>
    <s v="O110716"/>
    <x v="648"/>
    <x v="0"/>
    <x v="0"/>
    <x v="4"/>
    <x v="2"/>
    <n v="3"/>
    <n v="1685630"/>
    <d v="2026-10-13T00:00:00"/>
    <n v="10"/>
    <n v="13"/>
    <n v="2026"/>
    <x v="9"/>
    <s v="Q4"/>
    <x v="4"/>
  </r>
  <r>
    <s v="O100125"/>
    <x v="673"/>
    <x v="2"/>
    <x v="0"/>
    <x v="1"/>
    <x v="3"/>
    <n v="4"/>
    <n v="1684264"/>
    <d v="2025-08-01T00:00:00"/>
    <n v="8"/>
    <n v="1"/>
    <n v="2025"/>
    <x v="8"/>
    <s v="Q3"/>
    <x v="1"/>
  </r>
  <r>
    <s v="O103427"/>
    <x v="76"/>
    <x v="8"/>
    <x v="2"/>
    <x v="1"/>
    <x v="0"/>
    <n v="7"/>
    <n v="1684199"/>
    <d v="2025-07-28T00:00:00"/>
    <n v="7"/>
    <n v="28"/>
    <n v="2025"/>
    <x v="10"/>
    <s v="Q3"/>
    <x v="1"/>
  </r>
  <r>
    <s v="O108899"/>
    <x v="192"/>
    <x v="2"/>
    <x v="0"/>
    <x v="3"/>
    <x v="0"/>
    <n v="3"/>
    <n v="1683442"/>
    <d v="2026-06-25T00:00:00"/>
    <n v="6"/>
    <n v="25"/>
    <n v="2026"/>
    <x v="2"/>
    <s v="Q2"/>
    <x v="3"/>
  </r>
  <r>
    <s v="O104958"/>
    <x v="1"/>
    <x v="10"/>
    <x v="2"/>
    <x v="2"/>
    <x v="1"/>
    <n v="5"/>
    <n v="1683125"/>
    <d v="2025-10-29T00:00:00"/>
    <n v="10"/>
    <n v="29"/>
    <n v="2025"/>
    <x v="9"/>
    <s v="Q4"/>
    <x v="2"/>
  </r>
  <r>
    <s v="O111382"/>
    <x v="522"/>
    <x v="1"/>
    <x v="4"/>
    <x v="4"/>
    <x v="2"/>
    <n v="10"/>
    <n v="1683077"/>
    <d v="2026-11-23T00:00:00"/>
    <n v="11"/>
    <n v="23"/>
    <n v="2026"/>
    <x v="0"/>
    <s v="Q4"/>
    <x v="4"/>
  </r>
  <r>
    <s v="O108141"/>
    <x v="317"/>
    <x v="3"/>
    <x v="0"/>
    <x v="1"/>
    <x v="0"/>
    <n v="3"/>
    <n v="1680966"/>
    <d v="2026-10-05T00:00:00"/>
    <n v="10"/>
    <n v="5"/>
    <n v="2026"/>
    <x v="9"/>
    <s v="Q4"/>
    <x v="1"/>
  </r>
  <r>
    <s v="O101068"/>
    <x v="187"/>
    <x v="9"/>
    <x v="0"/>
    <x v="2"/>
    <x v="0"/>
    <n v="3"/>
    <n v="1680902"/>
    <d v="2025-06-03T00:00:00"/>
    <n v="6"/>
    <n v="3"/>
    <n v="2025"/>
    <x v="2"/>
    <s v="Q2"/>
    <x v="2"/>
  </r>
  <r>
    <s v="O111988"/>
    <x v="763"/>
    <x v="1"/>
    <x v="0"/>
    <x v="0"/>
    <x v="0"/>
    <n v="4"/>
    <n v="1680814"/>
    <d v="2026-12-30T00:00:00"/>
    <n v="12"/>
    <n v="30"/>
    <n v="2026"/>
    <x v="7"/>
    <s v="Q4"/>
    <x v="0"/>
  </r>
  <r>
    <s v="O110899"/>
    <x v="478"/>
    <x v="0"/>
    <x v="0"/>
    <x v="4"/>
    <x v="2"/>
    <n v="3"/>
    <n v="1679819"/>
    <d v="2026-10-25T00:00:00"/>
    <n v="10"/>
    <n v="25"/>
    <n v="2026"/>
    <x v="9"/>
    <s v="Q4"/>
    <x v="4"/>
  </r>
  <r>
    <s v="O101785"/>
    <x v="11"/>
    <x v="5"/>
    <x v="2"/>
    <x v="3"/>
    <x v="2"/>
    <n v="6"/>
    <n v="1679692"/>
    <d v="2025-04-19T00:00:00"/>
    <n v="4"/>
    <n v="19"/>
    <n v="2025"/>
    <x v="11"/>
    <s v="Q2"/>
    <x v="3"/>
  </r>
  <r>
    <s v="O102737"/>
    <x v="297"/>
    <x v="4"/>
    <x v="3"/>
    <x v="2"/>
    <x v="3"/>
    <n v="8"/>
    <n v="1679139"/>
    <d v="2025-06-16T00:00:00"/>
    <n v="6"/>
    <n v="16"/>
    <n v="2025"/>
    <x v="2"/>
    <s v="Q2"/>
    <x v="2"/>
  </r>
  <r>
    <s v="O109287"/>
    <x v="370"/>
    <x v="3"/>
    <x v="2"/>
    <x v="0"/>
    <x v="3"/>
    <n v="5"/>
    <n v="1678178"/>
    <d v="2026-07-19T00:00:00"/>
    <n v="7"/>
    <n v="19"/>
    <n v="2026"/>
    <x v="10"/>
    <s v="Q3"/>
    <x v="0"/>
  </r>
  <r>
    <s v="O105527"/>
    <x v="146"/>
    <x v="3"/>
    <x v="2"/>
    <x v="1"/>
    <x v="0"/>
    <n v="5"/>
    <n v="1677773"/>
    <d v="2025-02-12T00:00:00"/>
    <n v="2"/>
    <n v="12"/>
    <n v="2025"/>
    <x v="4"/>
    <s v="Q1"/>
    <x v="1"/>
  </r>
  <r>
    <s v="O101743"/>
    <x v="239"/>
    <x v="10"/>
    <x v="4"/>
    <x v="0"/>
    <x v="0"/>
    <n v="9"/>
    <n v="1676972"/>
    <d v="2025-04-16T00:00:00"/>
    <n v="4"/>
    <n v="16"/>
    <n v="2025"/>
    <x v="11"/>
    <s v="Q2"/>
    <x v="0"/>
  </r>
  <r>
    <s v="O107794"/>
    <x v="50"/>
    <x v="3"/>
    <x v="2"/>
    <x v="3"/>
    <x v="3"/>
    <n v="7"/>
    <n v="1676598"/>
    <d v="2026-04-19T00:00:00"/>
    <n v="4"/>
    <n v="19"/>
    <n v="2026"/>
    <x v="11"/>
    <s v="Q2"/>
    <x v="3"/>
  </r>
  <r>
    <s v="O106250"/>
    <x v="63"/>
    <x v="6"/>
    <x v="0"/>
    <x v="3"/>
    <x v="3"/>
    <n v="3"/>
    <n v="1676016"/>
    <d v="2026-01-15T00:00:00"/>
    <n v="1"/>
    <n v="15"/>
    <n v="2026"/>
    <x v="6"/>
    <s v="Q1"/>
    <x v="3"/>
  </r>
  <r>
    <s v="O102787"/>
    <x v="15"/>
    <x v="9"/>
    <x v="3"/>
    <x v="1"/>
    <x v="3"/>
    <n v="10"/>
    <n v="1675511"/>
    <d v="2025-06-19T00:00:00"/>
    <n v="6"/>
    <n v="19"/>
    <n v="2025"/>
    <x v="2"/>
    <s v="Q2"/>
    <x v="1"/>
  </r>
  <r>
    <s v="O106153"/>
    <x v="151"/>
    <x v="1"/>
    <x v="0"/>
    <x v="2"/>
    <x v="1"/>
    <n v="3"/>
    <n v="1675388"/>
    <d v="2026-09-01T00:00:00"/>
    <n v="9"/>
    <n v="1"/>
    <n v="2026"/>
    <x v="1"/>
    <s v="Q3"/>
    <x v="2"/>
  </r>
  <r>
    <s v="O106310"/>
    <x v="455"/>
    <x v="2"/>
    <x v="4"/>
    <x v="4"/>
    <x v="3"/>
    <n v="8"/>
    <n v="1674892"/>
    <d v="2026-01-19T00:00:00"/>
    <n v="1"/>
    <n v="19"/>
    <n v="2026"/>
    <x v="6"/>
    <s v="Q1"/>
    <x v="4"/>
  </r>
  <r>
    <s v="O101635"/>
    <x v="524"/>
    <x v="2"/>
    <x v="3"/>
    <x v="2"/>
    <x v="0"/>
    <n v="7"/>
    <n v="1674605"/>
    <d v="2025-10-04T00:00:00"/>
    <n v="10"/>
    <n v="4"/>
    <n v="2025"/>
    <x v="9"/>
    <s v="Q4"/>
    <x v="2"/>
  </r>
  <r>
    <s v="O111112"/>
    <x v="456"/>
    <x v="3"/>
    <x v="0"/>
    <x v="4"/>
    <x v="2"/>
    <n v="4"/>
    <n v="1674208"/>
    <d v="2026-07-11T00:00:00"/>
    <n v="7"/>
    <n v="11"/>
    <n v="2026"/>
    <x v="10"/>
    <s v="Q3"/>
    <x v="4"/>
  </r>
  <r>
    <s v="O110441"/>
    <x v="410"/>
    <x v="6"/>
    <x v="4"/>
    <x v="3"/>
    <x v="2"/>
    <n v="9"/>
    <n v="1674049"/>
    <d v="2026-09-27T00:00:00"/>
    <n v="9"/>
    <n v="27"/>
    <n v="2026"/>
    <x v="1"/>
    <s v="Q3"/>
    <x v="3"/>
  </r>
  <r>
    <s v="O105871"/>
    <x v="550"/>
    <x v="6"/>
    <x v="0"/>
    <x v="4"/>
    <x v="2"/>
    <n v="3"/>
    <n v="1672754"/>
    <d v="2025-12-23T00:00:00"/>
    <n v="12"/>
    <n v="23"/>
    <n v="2025"/>
    <x v="7"/>
    <s v="Q4"/>
    <x v="4"/>
  </r>
  <r>
    <s v="O102609"/>
    <x v="525"/>
    <x v="8"/>
    <x v="4"/>
    <x v="1"/>
    <x v="3"/>
    <n v="8"/>
    <n v="1672494"/>
    <d v="2025-08-06T00:00:00"/>
    <n v="8"/>
    <n v="6"/>
    <n v="2025"/>
    <x v="8"/>
    <s v="Q3"/>
    <x v="1"/>
  </r>
  <r>
    <s v="O106386"/>
    <x v="73"/>
    <x v="6"/>
    <x v="2"/>
    <x v="0"/>
    <x v="3"/>
    <n v="5"/>
    <n v="1672313"/>
    <d v="2026-01-23T00:00:00"/>
    <n v="1"/>
    <n v="23"/>
    <n v="2026"/>
    <x v="6"/>
    <s v="Q1"/>
    <x v="0"/>
  </r>
  <r>
    <s v="O102030"/>
    <x v="36"/>
    <x v="0"/>
    <x v="2"/>
    <x v="2"/>
    <x v="3"/>
    <n v="7"/>
    <n v="1671390"/>
    <d v="2025-04-05T00:00:00"/>
    <n v="4"/>
    <n v="5"/>
    <n v="2025"/>
    <x v="11"/>
    <s v="Q2"/>
    <x v="2"/>
  </r>
  <r>
    <s v="O101663"/>
    <x v="362"/>
    <x v="3"/>
    <x v="3"/>
    <x v="2"/>
    <x v="0"/>
    <n v="9"/>
    <n v="1671349"/>
    <d v="2025-11-04T00:00:00"/>
    <n v="11"/>
    <n v="4"/>
    <n v="2025"/>
    <x v="0"/>
    <s v="Q4"/>
    <x v="2"/>
  </r>
  <r>
    <s v="O107401"/>
    <x v="404"/>
    <x v="4"/>
    <x v="0"/>
    <x v="3"/>
    <x v="2"/>
    <n v="4"/>
    <n v="1671183"/>
    <d v="2026-03-26T00:00:00"/>
    <n v="3"/>
    <n v="26"/>
    <n v="2026"/>
    <x v="5"/>
    <s v="Q1"/>
    <x v="3"/>
  </r>
  <r>
    <s v="O101683"/>
    <x v="163"/>
    <x v="10"/>
    <x v="2"/>
    <x v="0"/>
    <x v="3"/>
    <n v="7"/>
    <n v="1670289"/>
    <d v="2025-04-13T00:00:00"/>
    <n v="4"/>
    <n v="13"/>
    <n v="2025"/>
    <x v="11"/>
    <s v="Q2"/>
    <x v="0"/>
  </r>
  <r>
    <s v="O101583"/>
    <x v="577"/>
    <x v="0"/>
    <x v="2"/>
    <x v="3"/>
    <x v="2"/>
    <n v="7"/>
    <n v="1670008"/>
    <d v="2025-07-04T00:00:00"/>
    <n v="7"/>
    <n v="4"/>
    <n v="2025"/>
    <x v="10"/>
    <s v="Q3"/>
    <x v="3"/>
  </r>
  <r>
    <s v="O100725"/>
    <x v="211"/>
    <x v="10"/>
    <x v="2"/>
    <x v="3"/>
    <x v="2"/>
    <n v="7"/>
    <n v="1669853"/>
    <d v="2025-02-13T00:00:00"/>
    <n v="2"/>
    <n v="13"/>
    <n v="2025"/>
    <x v="4"/>
    <s v="Q1"/>
    <x v="3"/>
  </r>
  <r>
    <s v="O104203"/>
    <x v="385"/>
    <x v="4"/>
    <x v="0"/>
    <x v="0"/>
    <x v="0"/>
    <n v="4"/>
    <n v="1669162"/>
    <d v="2025-09-13T00:00:00"/>
    <n v="9"/>
    <n v="13"/>
    <n v="2025"/>
    <x v="1"/>
    <s v="Q3"/>
    <x v="0"/>
  </r>
  <r>
    <s v="O110822"/>
    <x v="785"/>
    <x v="4"/>
    <x v="0"/>
    <x v="1"/>
    <x v="3"/>
    <n v="4"/>
    <n v="1669054"/>
    <d v="2026-10-20T00:00:00"/>
    <n v="10"/>
    <n v="20"/>
    <n v="2026"/>
    <x v="9"/>
    <s v="Q4"/>
    <x v="1"/>
  </r>
  <r>
    <s v="O106039"/>
    <x v="164"/>
    <x v="2"/>
    <x v="0"/>
    <x v="1"/>
    <x v="1"/>
    <n v="3"/>
    <n v="1667407"/>
    <d v="2026-02-01T00:00:00"/>
    <n v="2"/>
    <n v="1"/>
    <n v="2026"/>
    <x v="4"/>
    <s v="Q1"/>
    <x v="1"/>
  </r>
  <r>
    <s v="O100378"/>
    <x v="126"/>
    <x v="9"/>
    <x v="0"/>
    <x v="1"/>
    <x v="2"/>
    <n v="3"/>
    <n v="1667274"/>
    <d v="2025-01-23T00:00:00"/>
    <n v="1"/>
    <n v="23"/>
    <n v="2025"/>
    <x v="6"/>
    <s v="Q1"/>
    <x v="1"/>
  </r>
  <r>
    <s v="O100172"/>
    <x v="762"/>
    <x v="8"/>
    <x v="0"/>
    <x v="1"/>
    <x v="3"/>
    <n v="3"/>
    <n v="1666570"/>
    <d v="2025-11-01T00:00:00"/>
    <n v="11"/>
    <n v="1"/>
    <n v="2025"/>
    <x v="0"/>
    <s v="Q4"/>
    <x v="1"/>
  </r>
  <r>
    <s v="O105631"/>
    <x v="242"/>
    <x v="3"/>
    <x v="4"/>
    <x v="3"/>
    <x v="2"/>
    <n v="10"/>
    <n v="1666013"/>
    <d v="2025-09-12T00:00:00"/>
    <n v="9"/>
    <n v="12"/>
    <n v="2025"/>
    <x v="1"/>
    <s v="Q3"/>
    <x v="3"/>
  </r>
  <r>
    <s v="O104725"/>
    <x v="211"/>
    <x v="6"/>
    <x v="0"/>
    <x v="2"/>
    <x v="2"/>
    <n v="3"/>
    <n v="1665492"/>
    <d v="2025-10-15T00:00:00"/>
    <n v="10"/>
    <n v="15"/>
    <n v="2025"/>
    <x v="9"/>
    <s v="Q4"/>
    <x v="2"/>
  </r>
  <r>
    <s v="O109159"/>
    <x v="650"/>
    <x v="8"/>
    <x v="2"/>
    <x v="1"/>
    <x v="2"/>
    <n v="5"/>
    <n v="1665390"/>
    <d v="2026-11-07T00:00:00"/>
    <n v="11"/>
    <n v="7"/>
    <n v="2026"/>
    <x v="0"/>
    <s v="Q4"/>
    <x v="1"/>
  </r>
  <r>
    <s v="O102452"/>
    <x v="403"/>
    <x v="10"/>
    <x v="3"/>
    <x v="3"/>
    <x v="2"/>
    <n v="10"/>
    <n v="1665253"/>
    <d v="2025-05-29T00:00:00"/>
    <n v="5"/>
    <n v="29"/>
    <n v="2025"/>
    <x v="3"/>
    <s v="Q2"/>
    <x v="3"/>
  </r>
  <r>
    <s v="O110633"/>
    <x v="719"/>
    <x v="5"/>
    <x v="0"/>
    <x v="4"/>
    <x v="1"/>
    <n v="3"/>
    <n v="1664569"/>
    <d v="2026-08-10T00:00:00"/>
    <n v="8"/>
    <n v="10"/>
    <n v="2026"/>
    <x v="8"/>
    <s v="Q3"/>
    <x v="4"/>
  </r>
  <r>
    <s v="O108211"/>
    <x v="291"/>
    <x v="9"/>
    <x v="0"/>
    <x v="1"/>
    <x v="3"/>
    <n v="3"/>
    <n v="1664376"/>
    <d v="2026-05-14T00:00:00"/>
    <n v="5"/>
    <n v="14"/>
    <n v="2026"/>
    <x v="3"/>
    <s v="Q2"/>
    <x v="1"/>
  </r>
  <r>
    <s v="O103229"/>
    <x v="514"/>
    <x v="0"/>
    <x v="0"/>
    <x v="1"/>
    <x v="1"/>
    <n v="4"/>
    <n v="1664205"/>
    <d v="2025-07-16T00:00:00"/>
    <n v="7"/>
    <n v="16"/>
    <n v="2025"/>
    <x v="10"/>
    <m/>
    <x v="1"/>
  </r>
  <r>
    <s v="O100852"/>
    <x v="147"/>
    <x v="8"/>
    <x v="4"/>
    <x v="3"/>
    <x v="0"/>
    <n v="9"/>
    <n v="1664178"/>
    <d v="2025-02-21T00:00:00"/>
    <n v="2"/>
    <n v="21"/>
    <n v="2025"/>
    <x v="4"/>
    <s v="Q1"/>
    <x v="3"/>
  </r>
  <r>
    <s v="O105574"/>
    <x v="117"/>
    <x v="9"/>
    <x v="2"/>
    <x v="1"/>
    <x v="2"/>
    <n v="6"/>
    <n v="1663545"/>
    <d v="2025-05-12T00:00:00"/>
    <n v="5"/>
    <n v="12"/>
    <n v="2025"/>
    <x v="3"/>
    <s v="Q2"/>
    <x v="1"/>
  </r>
  <r>
    <s v="O107463"/>
    <x v="772"/>
    <x v="10"/>
    <x v="3"/>
    <x v="4"/>
    <x v="1"/>
    <n v="8"/>
    <n v="1663388"/>
    <d v="2026-03-30T00:00:00"/>
    <n v="3"/>
    <n v="30"/>
    <n v="2026"/>
    <x v="5"/>
    <s v="Q1"/>
    <x v="4"/>
  </r>
  <r>
    <s v="O109769"/>
    <x v="513"/>
    <x v="2"/>
    <x v="3"/>
    <x v="4"/>
    <x v="3"/>
    <n v="7"/>
    <n v="1663186"/>
    <d v="2026-08-17T00:00:00"/>
    <n v="8"/>
    <n v="17"/>
    <n v="2026"/>
    <x v="8"/>
    <s v="Q3"/>
    <x v="4"/>
  </r>
  <r>
    <s v="O105920"/>
    <x v="495"/>
    <x v="9"/>
    <x v="2"/>
    <x v="2"/>
    <x v="2"/>
    <n v="5"/>
    <n v="1662096"/>
    <d v="2025-12-26T00:00:00"/>
    <n v="12"/>
    <n v="26"/>
    <n v="2025"/>
    <x v="7"/>
    <s v="Q4"/>
    <x v="2"/>
  </r>
  <r>
    <s v="O108948"/>
    <x v="727"/>
    <x v="8"/>
    <x v="3"/>
    <x v="3"/>
    <x v="1"/>
    <n v="9"/>
    <n v="1661804"/>
    <d v="2026-06-28T00:00:00"/>
    <n v="6"/>
    <n v="28"/>
    <n v="2026"/>
    <x v="2"/>
    <s v="Q2"/>
    <x v="3"/>
  </r>
  <r>
    <s v="O103986"/>
    <x v="696"/>
    <x v="2"/>
    <x v="3"/>
    <x v="4"/>
    <x v="2"/>
    <n v="10"/>
    <n v="1661170"/>
    <d v="2025-08-31T00:00:00"/>
    <n v="8"/>
    <n v="31"/>
    <n v="2025"/>
    <x v="8"/>
    <s v="Q3"/>
    <x v="4"/>
  </r>
  <r>
    <s v="O109802"/>
    <x v="768"/>
    <x v="0"/>
    <x v="0"/>
    <x v="0"/>
    <x v="0"/>
    <n v="4"/>
    <n v="1661091"/>
    <d v="2026-08-19T00:00:00"/>
    <n v="8"/>
    <n v="19"/>
    <n v="2026"/>
    <x v="8"/>
    <s v="Q3"/>
    <x v="0"/>
  </r>
  <r>
    <s v="O100728"/>
    <x v="536"/>
    <x v="9"/>
    <x v="4"/>
    <x v="3"/>
    <x v="3"/>
    <n v="10"/>
    <n v="1660745"/>
    <d v="2025-02-14T00:00:00"/>
    <n v="2"/>
    <n v="14"/>
    <n v="2025"/>
    <x v="4"/>
    <s v="Q1"/>
    <x v="3"/>
  </r>
  <r>
    <s v="O105274"/>
    <x v="222"/>
    <x v="1"/>
    <x v="4"/>
    <x v="0"/>
    <x v="0"/>
    <n v="10"/>
    <n v="1660686"/>
    <d v="2025-11-17T00:00:00"/>
    <n v="11"/>
    <n v="17"/>
    <n v="2025"/>
    <x v="0"/>
    <s v="Q4"/>
    <x v="0"/>
  </r>
  <r>
    <s v="O110980"/>
    <x v="457"/>
    <x v="10"/>
    <x v="2"/>
    <x v="3"/>
    <x v="2"/>
    <n v="5"/>
    <n v="1660149"/>
    <d v="2026-10-30T00:00:00"/>
    <n v="10"/>
    <n v="30"/>
    <n v="2026"/>
    <x v="9"/>
    <s v="Q4"/>
    <x v="3"/>
  </r>
  <r>
    <s v="O102903"/>
    <x v="280"/>
    <x v="4"/>
    <x v="0"/>
    <x v="2"/>
    <x v="0"/>
    <n v="4"/>
    <n v="1659989"/>
    <d v="2025-06-26T00:00:00"/>
    <n v="6"/>
    <n v="26"/>
    <n v="2025"/>
    <x v="2"/>
    <s v="Q2"/>
    <x v="2"/>
  </r>
  <r>
    <s v="O108616"/>
    <x v="45"/>
    <x v="0"/>
    <x v="3"/>
    <x v="3"/>
    <x v="0"/>
    <n v="10"/>
    <n v="1659690"/>
    <d v="2026-08-06T00:00:00"/>
    <n v="8"/>
    <n v="6"/>
    <n v="2026"/>
    <x v="8"/>
    <s v="Q3"/>
    <x v="3"/>
  </r>
  <r>
    <s v="O100007"/>
    <x v="23"/>
    <x v="9"/>
    <x v="0"/>
    <x v="4"/>
    <x v="0"/>
    <n v="3"/>
    <n v="1659394"/>
    <d v="2025-01-01T00:00:00"/>
    <n v="1"/>
    <n v="1"/>
    <n v="2025"/>
    <x v="6"/>
    <s v="Q1"/>
    <x v="4"/>
  </r>
  <r>
    <s v="O101571"/>
    <x v="142"/>
    <x v="10"/>
    <x v="2"/>
    <x v="0"/>
    <x v="1"/>
    <n v="6"/>
    <n v="1659002"/>
    <d v="2025-06-04T00:00:00"/>
    <n v="6"/>
    <n v="4"/>
    <n v="2025"/>
    <x v="2"/>
    <s v="Q2"/>
    <x v="0"/>
  </r>
  <r>
    <s v="O109421"/>
    <x v="73"/>
    <x v="6"/>
    <x v="3"/>
    <x v="0"/>
    <x v="2"/>
    <n v="8"/>
    <n v="1658852"/>
    <d v="2026-07-27T00:00:00"/>
    <n v="7"/>
    <n v="27"/>
    <n v="2026"/>
    <x v="10"/>
    <s v="Q3"/>
    <x v="0"/>
  </r>
  <r>
    <s v="O104730"/>
    <x v="773"/>
    <x v="9"/>
    <x v="0"/>
    <x v="4"/>
    <x v="3"/>
    <n v="4"/>
    <n v="1658837"/>
    <d v="2025-10-15T00:00:00"/>
    <n v="10"/>
    <n v="15"/>
    <n v="2025"/>
    <x v="9"/>
    <s v="Q4"/>
    <x v="4"/>
  </r>
  <r>
    <s v="O102799"/>
    <x v="653"/>
    <x v="4"/>
    <x v="3"/>
    <x v="1"/>
    <x v="3"/>
    <n v="7"/>
    <n v="1658701"/>
    <d v="2025-06-19T00:00:00"/>
    <n v="6"/>
    <n v="19"/>
    <n v="2025"/>
    <x v="2"/>
    <s v="Q2"/>
    <x v="1"/>
  </r>
  <r>
    <s v="O107339"/>
    <x v="138"/>
    <x v="1"/>
    <x v="2"/>
    <x v="4"/>
    <x v="0"/>
    <n v="5"/>
    <n v="1658325"/>
    <d v="2026-03-22T00:00:00"/>
    <n v="3"/>
    <n v="22"/>
    <n v="2026"/>
    <x v="5"/>
    <s v="Q1"/>
    <x v="4"/>
  </r>
  <r>
    <s v="O101367"/>
    <x v="647"/>
    <x v="1"/>
    <x v="4"/>
    <x v="2"/>
    <x v="3"/>
    <n v="8"/>
    <n v="1658323"/>
    <d v="2025-03-24T00:00:00"/>
    <n v="3"/>
    <n v="24"/>
    <n v="2025"/>
    <x v="5"/>
    <s v="Q1"/>
    <x v="2"/>
  </r>
  <r>
    <s v="O100076"/>
    <x v="398"/>
    <x v="8"/>
    <x v="4"/>
    <x v="4"/>
    <x v="1"/>
    <n v="8"/>
    <n v="1658062"/>
    <d v="2025-05-01T00:00:00"/>
    <n v="5"/>
    <n v="1"/>
    <n v="2025"/>
    <x v="3"/>
    <s v="Q2"/>
    <x v="4"/>
  </r>
  <r>
    <s v="O101995"/>
    <x v="49"/>
    <x v="8"/>
    <x v="4"/>
    <x v="2"/>
    <x v="2"/>
    <n v="10"/>
    <n v="1657839"/>
    <d v="2025-02-05T00:00:00"/>
    <n v="2"/>
    <n v="5"/>
    <n v="2025"/>
    <x v="4"/>
    <s v="Q1"/>
    <x v="2"/>
  </r>
  <r>
    <s v="O111953"/>
    <x v="541"/>
    <x v="2"/>
    <x v="0"/>
    <x v="2"/>
    <x v="0"/>
    <n v="3"/>
    <n v="1657229"/>
    <d v="2026-12-28T00:00:00"/>
    <n v="12"/>
    <n v="28"/>
    <n v="2026"/>
    <x v="7"/>
    <s v="Q4"/>
    <x v="2"/>
  </r>
  <r>
    <s v="O103444"/>
    <x v="62"/>
    <x v="2"/>
    <x v="3"/>
    <x v="3"/>
    <x v="0"/>
    <n v="10"/>
    <n v="1656941"/>
    <d v="2025-07-29T00:00:00"/>
    <n v="7"/>
    <n v="29"/>
    <n v="2025"/>
    <x v="10"/>
    <s v="Q3"/>
    <x v="3"/>
  </r>
  <r>
    <s v="O108177"/>
    <x v="309"/>
    <x v="0"/>
    <x v="0"/>
    <x v="0"/>
    <x v="2"/>
    <n v="3"/>
    <n v="1656847"/>
    <d v="2026-12-05T00:00:00"/>
    <n v="12"/>
    <n v="5"/>
    <n v="2026"/>
    <x v="7"/>
    <m/>
    <x v="0"/>
  </r>
  <r>
    <s v="O109720"/>
    <x v="150"/>
    <x v="10"/>
    <x v="4"/>
    <x v="2"/>
    <x v="0"/>
    <n v="8"/>
    <n v="1655319"/>
    <d v="2026-08-14T00:00:00"/>
    <n v="8"/>
    <n v="14"/>
    <n v="2026"/>
    <x v="8"/>
    <s v="Q3"/>
    <x v="2"/>
  </r>
  <r>
    <s v="O106257"/>
    <x v="418"/>
    <x v="1"/>
    <x v="2"/>
    <x v="1"/>
    <x v="2"/>
    <n v="6"/>
    <n v="1654816"/>
    <d v="2026-01-16T00:00:00"/>
    <n v="1"/>
    <n v="16"/>
    <n v="2026"/>
    <x v="6"/>
    <s v="Q1"/>
    <x v="1"/>
  </r>
  <r>
    <s v="O101781"/>
    <x v="323"/>
    <x v="10"/>
    <x v="0"/>
    <x v="0"/>
    <x v="0"/>
    <n v="3"/>
    <n v="1654794"/>
    <d v="2025-04-19T00:00:00"/>
    <n v="4"/>
    <n v="19"/>
    <n v="2025"/>
    <x v="11"/>
    <s v="Q2"/>
    <x v="0"/>
  </r>
  <r>
    <s v="O103546"/>
    <x v="396"/>
    <x v="10"/>
    <x v="0"/>
    <x v="4"/>
    <x v="0"/>
    <n v="3"/>
    <n v="1654696"/>
    <d v="2025-04-08T00:00:00"/>
    <n v="4"/>
    <n v="8"/>
    <n v="2025"/>
    <x v="11"/>
    <s v="Q2"/>
    <x v="4"/>
  </r>
  <r>
    <s v="O105143"/>
    <x v="712"/>
    <x v="6"/>
    <x v="2"/>
    <x v="3"/>
    <x v="0"/>
    <n v="7"/>
    <n v="1654454"/>
    <d v="2025-09-11T00:00:00"/>
    <n v="9"/>
    <n v="11"/>
    <n v="2025"/>
    <x v="1"/>
    <s v="Q3"/>
    <x v="3"/>
  </r>
  <r>
    <s v="O111874"/>
    <x v="721"/>
    <x v="2"/>
    <x v="2"/>
    <x v="1"/>
    <x v="3"/>
    <n v="5"/>
    <n v="1654267"/>
    <d v="2026-12-23T00:00:00"/>
    <n v="12"/>
    <n v="23"/>
    <n v="2026"/>
    <x v="7"/>
    <s v="Q4"/>
    <x v="1"/>
  </r>
  <r>
    <s v="O105237"/>
    <x v="593"/>
    <x v="4"/>
    <x v="4"/>
    <x v="0"/>
    <x v="2"/>
    <n v="9"/>
    <n v="1654211"/>
    <d v="2025-11-15T00:00:00"/>
    <n v="11"/>
    <n v="15"/>
    <n v="2025"/>
    <x v="0"/>
    <s v="Q4"/>
    <x v="0"/>
  </r>
  <r>
    <s v="O104243"/>
    <x v="566"/>
    <x v="8"/>
    <x v="4"/>
    <x v="4"/>
    <x v="0"/>
    <n v="10"/>
    <n v="1653892"/>
    <d v="2025-09-15T00:00:00"/>
    <n v="9"/>
    <n v="15"/>
    <n v="2025"/>
    <x v="1"/>
    <s v="Q3"/>
    <x v="4"/>
  </r>
  <r>
    <s v="O104315"/>
    <x v="220"/>
    <x v="9"/>
    <x v="3"/>
    <x v="4"/>
    <x v="0"/>
    <n v="9"/>
    <n v="1653850"/>
    <d v="2025-09-20T00:00:00"/>
    <n v="9"/>
    <n v="20"/>
    <n v="2025"/>
    <x v="1"/>
    <s v="Q3"/>
    <x v="4"/>
  </r>
  <r>
    <s v="O103405"/>
    <x v="204"/>
    <x v="0"/>
    <x v="4"/>
    <x v="0"/>
    <x v="3"/>
    <n v="8"/>
    <n v="1653439"/>
    <d v="2025-07-26T00:00:00"/>
    <n v="7"/>
    <n v="26"/>
    <n v="2025"/>
    <x v="10"/>
    <s v="Q3"/>
    <x v="0"/>
  </r>
  <r>
    <s v="O101791"/>
    <x v="376"/>
    <x v="9"/>
    <x v="0"/>
    <x v="0"/>
    <x v="2"/>
    <n v="4"/>
    <n v="1652668"/>
    <d v="2025-04-19T00:00:00"/>
    <n v="4"/>
    <n v="19"/>
    <n v="2025"/>
    <x v="11"/>
    <s v="Q2"/>
    <x v="0"/>
  </r>
  <r>
    <s v="O110083"/>
    <x v="49"/>
    <x v="3"/>
    <x v="2"/>
    <x v="1"/>
    <x v="2"/>
    <n v="5"/>
    <n v="1652517"/>
    <d v="2026-05-09T00:00:00"/>
    <n v="5"/>
    <n v="9"/>
    <n v="2026"/>
    <x v="3"/>
    <s v="Q2"/>
    <x v="1"/>
  </r>
  <r>
    <s v="O111361"/>
    <x v="688"/>
    <x v="5"/>
    <x v="4"/>
    <x v="1"/>
    <x v="1"/>
    <n v="9"/>
    <n v="1652200"/>
    <d v="2026-11-22T00:00:00"/>
    <n v="11"/>
    <n v="22"/>
    <n v="2026"/>
    <x v="0"/>
    <s v="Q4"/>
    <x v="1"/>
  </r>
  <r>
    <s v="O106523"/>
    <x v="58"/>
    <x v="4"/>
    <x v="4"/>
    <x v="1"/>
    <x v="2"/>
    <n v="9"/>
    <n v="1651495"/>
    <d v="2026-01-02T00:00:00"/>
    <n v="1"/>
    <n v="2"/>
    <n v="2026"/>
    <x v="6"/>
    <s v="Q1"/>
    <x v="1"/>
  </r>
  <r>
    <s v="O108051"/>
    <x v="277"/>
    <x v="10"/>
    <x v="0"/>
    <x v="2"/>
    <x v="2"/>
    <n v="4"/>
    <n v="1650564"/>
    <d v="2026-05-05T00:00:00"/>
    <n v="5"/>
    <n v="5"/>
    <n v="2026"/>
    <x v="3"/>
    <s v="Q2"/>
    <x v="2"/>
  </r>
  <r>
    <s v="O106471"/>
    <x v="298"/>
    <x v="1"/>
    <x v="2"/>
    <x v="2"/>
    <x v="1"/>
    <n v="7"/>
    <n v="1650478"/>
    <d v="2026-01-29T00:00:00"/>
    <n v="1"/>
    <n v="29"/>
    <n v="2026"/>
    <x v="6"/>
    <s v="Q1"/>
    <x v="2"/>
  </r>
  <r>
    <s v="O110981"/>
    <x v="549"/>
    <x v="6"/>
    <x v="4"/>
    <x v="4"/>
    <x v="2"/>
    <n v="8"/>
    <n v="1650390"/>
    <d v="2026-10-30T00:00:00"/>
    <n v="10"/>
    <n v="30"/>
    <n v="2026"/>
    <x v="9"/>
    <s v="Q4"/>
    <x v="4"/>
  </r>
  <r>
    <s v="O102394"/>
    <x v="6"/>
    <x v="1"/>
    <x v="0"/>
    <x v="2"/>
    <x v="0"/>
    <n v="3"/>
    <n v="1649410"/>
    <d v="2025-05-26T00:00:00"/>
    <n v="5"/>
    <n v="26"/>
    <n v="2025"/>
    <x v="3"/>
    <s v="Q2"/>
    <x v="2"/>
  </r>
  <r>
    <s v="O109829"/>
    <x v="248"/>
    <x v="1"/>
    <x v="4"/>
    <x v="3"/>
    <x v="1"/>
    <n v="8"/>
    <n v="1649178"/>
    <d v="2026-08-21T00:00:00"/>
    <n v="8"/>
    <n v="21"/>
    <n v="2026"/>
    <x v="8"/>
    <s v="Q3"/>
    <x v="3"/>
  </r>
  <r>
    <s v="O110247"/>
    <x v="647"/>
    <x v="5"/>
    <x v="0"/>
    <x v="0"/>
    <x v="3"/>
    <n v="4"/>
    <n v="1649129"/>
    <d v="2026-09-15T00:00:00"/>
    <n v="9"/>
    <n v="15"/>
    <n v="2026"/>
    <x v="1"/>
    <s v="Q3"/>
    <x v="0"/>
  </r>
  <r>
    <s v="O106123"/>
    <x v="161"/>
    <x v="10"/>
    <x v="0"/>
    <x v="2"/>
    <x v="2"/>
    <n v="3"/>
    <n v="1649126"/>
    <d v="2026-07-01T00:00:00"/>
    <n v="7"/>
    <n v="1"/>
    <n v="2026"/>
    <x v="10"/>
    <s v="Q3"/>
    <x v="2"/>
  </r>
  <r>
    <s v="O106872"/>
    <x v="64"/>
    <x v="9"/>
    <x v="0"/>
    <x v="2"/>
    <x v="0"/>
    <n v="4"/>
    <n v="1648286"/>
    <d v="2026-02-22T00:00:00"/>
    <n v="2"/>
    <n v="22"/>
    <n v="2026"/>
    <x v="4"/>
    <s v="Q1"/>
    <x v="2"/>
  </r>
  <r>
    <s v="O105589"/>
    <x v="640"/>
    <x v="5"/>
    <x v="3"/>
    <x v="0"/>
    <x v="3"/>
    <n v="6"/>
    <n v="1648230"/>
    <d v="2025-06-12T00:00:00"/>
    <n v="6"/>
    <n v="12"/>
    <n v="2025"/>
    <x v="2"/>
    <s v="Q2"/>
    <x v="0"/>
  </r>
  <r>
    <s v="O108630"/>
    <x v="172"/>
    <x v="10"/>
    <x v="2"/>
    <x v="3"/>
    <x v="1"/>
    <n v="5"/>
    <n v="1647951"/>
    <d v="2026-09-06T00:00:00"/>
    <n v="9"/>
    <n v="6"/>
    <n v="2026"/>
    <x v="1"/>
    <s v="Q3"/>
    <x v="3"/>
  </r>
  <r>
    <s v="O101297"/>
    <x v="184"/>
    <x v="9"/>
    <x v="0"/>
    <x v="2"/>
    <x v="1"/>
    <n v="3"/>
    <n v="1647463"/>
    <d v="2025-03-20T00:00:00"/>
    <n v="3"/>
    <n v="20"/>
    <n v="2025"/>
    <x v="5"/>
    <s v="Q1"/>
    <x v="2"/>
  </r>
  <r>
    <s v="O108865"/>
    <x v="374"/>
    <x v="1"/>
    <x v="0"/>
    <x v="2"/>
    <x v="3"/>
    <n v="3"/>
    <n v="1646779"/>
    <d v="2026-06-23T00:00:00"/>
    <n v="6"/>
    <n v="23"/>
    <n v="2026"/>
    <x v="2"/>
    <s v="Q2"/>
    <x v="2"/>
  </r>
  <r>
    <s v="O100115"/>
    <x v="675"/>
    <x v="8"/>
    <x v="2"/>
    <x v="3"/>
    <x v="2"/>
    <n v="5"/>
    <n v="1646622"/>
    <d v="2025-07-01T00:00:00"/>
    <n v="7"/>
    <n v="1"/>
    <n v="2025"/>
    <x v="10"/>
    <s v="Q3"/>
    <x v="3"/>
  </r>
  <r>
    <s v="O109923"/>
    <x v="68"/>
    <x v="4"/>
    <x v="2"/>
    <x v="4"/>
    <x v="0"/>
    <n v="5"/>
    <n v="1646525"/>
    <d v="2026-08-26T00:00:00"/>
    <n v="8"/>
    <n v="26"/>
    <n v="2026"/>
    <x v="8"/>
    <s v="Q3"/>
    <x v="4"/>
  </r>
  <r>
    <s v="O104501"/>
    <x v="180"/>
    <x v="10"/>
    <x v="2"/>
    <x v="4"/>
    <x v="2"/>
    <n v="6"/>
    <n v="1645971"/>
    <d v="2025-01-10T00:00:00"/>
    <n v="1"/>
    <n v="10"/>
    <n v="2025"/>
    <x v="6"/>
    <s v="Q1"/>
    <x v="4"/>
  </r>
  <r>
    <s v="O111429"/>
    <x v="367"/>
    <x v="1"/>
    <x v="0"/>
    <x v="4"/>
    <x v="3"/>
    <n v="3"/>
    <n v="1645684"/>
    <d v="2026-11-26T00:00:00"/>
    <n v="11"/>
    <n v="26"/>
    <n v="2026"/>
    <x v="0"/>
    <s v="Q4"/>
    <x v="4"/>
  </r>
  <r>
    <s v="O101172"/>
    <x v="248"/>
    <x v="8"/>
    <x v="3"/>
    <x v="4"/>
    <x v="2"/>
    <n v="7"/>
    <n v="1645431"/>
    <d v="2025-03-13T00:00:00"/>
    <n v="3"/>
    <n v="13"/>
    <n v="2025"/>
    <x v="5"/>
    <s v="Q1"/>
    <x v="4"/>
  </r>
  <r>
    <s v="O101305"/>
    <x v="313"/>
    <x v="6"/>
    <x v="4"/>
    <x v="1"/>
    <x v="1"/>
    <n v="8"/>
    <n v="1645200"/>
    <d v="2025-03-21T00:00:00"/>
    <n v="3"/>
    <n v="21"/>
    <n v="2025"/>
    <x v="5"/>
    <s v="Q1"/>
    <x v="1"/>
  </r>
  <r>
    <s v="O109409"/>
    <x v="594"/>
    <x v="2"/>
    <x v="0"/>
    <x v="4"/>
    <x v="3"/>
    <n v="4"/>
    <n v="1645133"/>
    <d v="2026-07-26T00:00:00"/>
    <n v="7"/>
    <n v="26"/>
    <n v="2026"/>
    <x v="10"/>
    <s v="Q3"/>
    <x v="4"/>
  </r>
  <r>
    <s v="O104407"/>
    <x v="679"/>
    <x v="10"/>
    <x v="3"/>
    <x v="1"/>
    <x v="0"/>
    <n v="7"/>
    <n v="1644835"/>
    <d v="2025-09-25T00:00:00"/>
    <n v="9"/>
    <n v="25"/>
    <n v="2025"/>
    <x v="1"/>
    <s v="Q3"/>
    <x v="1"/>
  </r>
  <r>
    <s v="O101251"/>
    <x v="67"/>
    <x v="3"/>
    <x v="4"/>
    <x v="2"/>
    <x v="4"/>
    <n v="8"/>
    <n v="1644529"/>
    <d v="2025-03-17T00:00:00"/>
    <n v="3"/>
    <n v="17"/>
    <n v="2025"/>
    <x v="5"/>
    <s v="Q1"/>
    <x v="2"/>
  </r>
  <r>
    <s v="O104857"/>
    <x v="53"/>
    <x v="5"/>
    <x v="0"/>
    <x v="2"/>
    <x v="2"/>
    <n v="3"/>
    <n v="1644439"/>
    <d v="2025-10-23T00:00:00"/>
    <n v="10"/>
    <n v="23"/>
    <n v="2025"/>
    <x v="9"/>
    <s v="Q4"/>
    <x v="2"/>
  </r>
  <r>
    <s v="O101024"/>
    <x v="512"/>
    <x v="8"/>
    <x v="3"/>
    <x v="1"/>
    <x v="3"/>
    <n v="8"/>
    <n v="1644436"/>
    <d v="2025-04-03T00:00:00"/>
    <n v="4"/>
    <n v="3"/>
    <n v="2025"/>
    <x v="11"/>
    <s v="Q2"/>
    <x v="1"/>
  </r>
  <r>
    <s v="O109897"/>
    <x v="76"/>
    <x v="6"/>
    <x v="4"/>
    <x v="0"/>
    <x v="3"/>
    <n v="10"/>
    <n v="1644274"/>
    <d v="2026-08-25T00:00:00"/>
    <n v="8"/>
    <n v="25"/>
    <n v="2026"/>
    <x v="8"/>
    <s v="Q3"/>
    <x v="0"/>
  </r>
  <r>
    <s v="O101339"/>
    <x v="332"/>
    <x v="5"/>
    <x v="0"/>
    <x v="2"/>
    <x v="0"/>
    <n v="3"/>
    <n v="1642873"/>
    <d v="2025-03-23T00:00:00"/>
    <n v="3"/>
    <n v="23"/>
    <n v="2025"/>
    <x v="5"/>
    <s v="Q1"/>
    <x v="2"/>
  </r>
  <r>
    <s v="O100036"/>
    <x v="378"/>
    <x v="2"/>
    <x v="4"/>
    <x v="2"/>
    <x v="2"/>
    <n v="10"/>
    <n v="1642865"/>
    <d v="2025-03-01T00:00:00"/>
    <n v="3"/>
    <n v="1"/>
    <n v="2025"/>
    <x v="5"/>
    <m/>
    <x v="2"/>
  </r>
  <r>
    <s v="O104968"/>
    <x v="732"/>
    <x v="5"/>
    <x v="4"/>
    <x v="3"/>
    <x v="0"/>
    <n v="10"/>
    <n v="1642495"/>
    <d v="2025-10-29T00:00:00"/>
    <n v="10"/>
    <n v="29"/>
    <n v="2025"/>
    <x v="9"/>
    <s v="Q4"/>
    <x v="3"/>
  </r>
  <r>
    <s v="O106971"/>
    <x v="231"/>
    <x v="4"/>
    <x v="0"/>
    <x v="0"/>
    <x v="3"/>
    <n v="3"/>
    <n v="1642267"/>
    <d v="2026-02-28T00:00:00"/>
    <n v="2"/>
    <n v="28"/>
    <n v="2026"/>
    <x v="4"/>
    <s v="Q1"/>
    <x v="0"/>
  </r>
  <r>
    <s v="O105754"/>
    <x v="118"/>
    <x v="5"/>
    <x v="4"/>
    <x v="2"/>
    <x v="2"/>
    <n v="8"/>
    <n v="1642159"/>
    <d v="2025-12-16T00:00:00"/>
    <n v="12"/>
    <n v="16"/>
    <n v="2025"/>
    <x v="7"/>
    <s v="Q4"/>
    <x v="2"/>
  </r>
  <r>
    <s v="O101877"/>
    <x v="772"/>
    <x v="4"/>
    <x v="2"/>
    <x v="4"/>
    <x v="3"/>
    <n v="6"/>
    <n v="1641874"/>
    <d v="2025-04-24T00:00:00"/>
    <n v="4"/>
    <n v="24"/>
    <n v="2025"/>
    <x v="11"/>
    <s v="Q2"/>
    <x v="4"/>
  </r>
  <r>
    <s v="O111060"/>
    <x v="330"/>
    <x v="10"/>
    <x v="4"/>
    <x v="4"/>
    <x v="2"/>
    <n v="10"/>
    <n v="1641553"/>
    <d v="2026-03-11T00:00:00"/>
    <n v="3"/>
    <n v="11"/>
    <n v="2026"/>
    <x v="5"/>
    <s v="Q1"/>
    <x v="4"/>
  </r>
  <r>
    <s v="O102742"/>
    <x v="512"/>
    <x v="8"/>
    <x v="0"/>
    <x v="3"/>
    <x v="0"/>
    <n v="3"/>
    <n v="1641354"/>
    <d v="2025-06-16T00:00:00"/>
    <n v="6"/>
    <n v="16"/>
    <n v="2025"/>
    <x v="2"/>
    <s v="Q2"/>
    <x v="3"/>
  </r>
  <r>
    <s v="O109738"/>
    <x v="744"/>
    <x v="4"/>
    <x v="0"/>
    <x v="3"/>
    <x v="0"/>
    <n v="4"/>
    <n v="1641318"/>
    <d v="2026-08-15T00:00:00"/>
    <n v="8"/>
    <n v="15"/>
    <n v="2026"/>
    <x v="8"/>
    <m/>
    <x v="3"/>
  </r>
  <r>
    <s v="O111893"/>
    <x v="405"/>
    <x v="9"/>
    <x v="0"/>
    <x v="4"/>
    <x v="3"/>
    <n v="3"/>
    <n v="1640886"/>
    <d v="2026-12-24T00:00:00"/>
    <n v="12"/>
    <n v="24"/>
    <n v="2026"/>
    <x v="7"/>
    <s v="Q4"/>
    <x v="4"/>
  </r>
  <r>
    <s v="O100882"/>
    <x v="171"/>
    <x v="3"/>
    <x v="2"/>
    <x v="1"/>
    <x v="3"/>
    <n v="5"/>
    <n v="1640453"/>
    <d v="2025-02-23T00:00:00"/>
    <n v="2"/>
    <n v="23"/>
    <n v="2025"/>
    <x v="4"/>
    <s v="Q1"/>
    <x v="1"/>
  </r>
  <r>
    <s v="O101004"/>
    <x v="484"/>
    <x v="4"/>
    <x v="4"/>
    <x v="0"/>
    <x v="1"/>
    <n v="9"/>
    <n v="1639652"/>
    <d v="2025-02-03T00:00:00"/>
    <n v="2"/>
    <n v="3"/>
    <n v="2025"/>
    <x v="4"/>
    <s v="Q1"/>
    <x v="0"/>
  </r>
  <r>
    <s v="O104842"/>
    <x v="222"/>
    <x v="2"/>
    <x v="3"/>
    <x v="1"/>
    <x v="2"/>
    <n v="8"/>
    <n v="1639337"/>
    <d v="2025-10-22T00:00:00"/>
    <n v="10"/>
    <n v="22"/>
    <n v="2025"/>
    <x v="9"/>
    <s v="Q4"/>
    <x v="1"/>
  </r>
  <r>
    <s v="O101789"/>
    <x v="309"/>
    <x v="2"/>
    <x v="0"/>
    <x v="3"/>
    <x v="2"/>
    <n v="-2"/>
    <n v="1638595"/>
    <d v="2025-04-19T00:00:00"/>
    <n v="4"/>
    <n v="19"/>
    <n v="2025"/>
    <x v="11"/>
    <m/>
    <x v="3"/>
  </r>
  <r>
    <s v="O108205"/>
    <x v="205"/>
    <x v="2"/>
    <x v="2"/>
    <x v="1"/>
    <x v="3"/>
    <n v="6"/>
    <n v="1638038"/>
    <d v="2026-05-14T00:00:00"/>
    <n v="5"/>
    <n v="14"/>
    <n v="2026"/>
    <x v="3"/>
    <s v="Q2"/>
    <x v="1"/>
  </r>
  <r>
    <s v="O100947"/>
    <x v="412"/>
    <x v="8"/>
    <x v="0"/>
    <x v="2"/>
    <x v="0"/>
    <n v="4"/>
    <n v="1636440"/>
    <d v="2025-02-27T00:00:00"/>
    <n v="2"/>
    <n v="27"/>
    <n v="2025"/>
    <x v="4"/>
    <s v="Q1"/>
    <x v="2"/>
  </r>
  <r>
    <s v="O107867"/>
    <x v="641"/>
    <x v="3"/>
    <x v="0"/>
    <x v="4"/>
    <x v="2"/>
    <n v="3"/>
    <n v="1636280"/>
    <d v="2026-04-23T00:00:00"/>
    <n v="4"/>
    <n v="23"/>
    <n v="2026"/>
    <x v="11"/>
    <s v="Q2"/>
    <x v="4"/>
  </r>
  <r>
    <s v="O105923"/>
    <x v="380"/>
    <x v="10"/>
    <x v="0"/>
    <x v="2"/>
    <x v="2"/>
    <n v="3"/>
    <n v="1635742"/>
    <d v="2025-12-26T00:00:00"/>
    <n v="12"/>
    <n v="26"/>
    <n v="2025"/>
    <x v="7"/>
    <s v="Q4"/>
    <x v="2"/>
  </r>
  <r>
    <s v="O104800"/>
    <x v="301"/>
    <x v="0"/>
    <x v="2"/>
    <x v="3"/>
    <x v="0"/>
    <n v="6"/>
    <n v="1635716"/>
    <d v="2025-10-19T00:00:00"/>
    <n v="10"/>
    <n v="19"/>
    <n v="2025"/>
    <x v="9"/>
    <s v="Q4"/>
    <x v="3"/>
  </r>
  <r>
    <s v="O107557"/>
    <x v="183"/>
    <x v="1"/>
    <x v="0"/>
    <x v="1"/>
    <x v="3"/>
    <n v="4"/>
    <n v="1635596"/>
    <d v="2026-05-04T00:00:00"/>
    <n v="5"/>
    <n v="4"/>
    <n v="2026"/>
    <x v="3"/>
    <s v="Q2"/>
    <x v="1"/>
  </r>
  <r>
    <s v="O100053"/>
    <x v="308"/>
    <x v="1"/>
    <x v="3"/>
    <x v="2"/>
    <x v="1"/>
    <n v="7"/>
    <n v="1635528"/>
    <d v="2025-04-01T00:00:00"/>
    <n v="4"/>
    <n v="1"/>
    <n v="2025"/>
    <x v="11"/>
    <s v="Q2"/>
    <x v="2"/>
  </r>
  <r>
    <s v="O106893"/>
    <x v="207"/>
    <x v="2"/>
    <x v="3"/>
    <x v="2"/>
    <x v="2"/>
    <n v="6"/>
    <n v="1635269"/>
    <d v="2026-02-23T00:00:00"/>
    <n v="2"/>
    <n v="23"/>
    <n v="2026"/>
    <x v="4"/>
    <s v="Q1"/>
    <x v="2"/>
  </r>
  <r>
    <s v="O102590"/>
    <x v="786"/>
    <x v="5"/>
    <x v="4"/>
    <x v="1"/>
    <x v="3"/>
    <n v="8"/>
    <n v="1633898"/>
    <d v="2025-07-06T00:00:00"/>
    <n v="7"/>
    <n v="6"/>
    <n v="2025"/>
    <x v="10"/>
    <s v="Q3"/>
    <x v="1"/>
  </r>
  <r>
    <s v="O104322"/>
    <x v="188"/>
    <x v="3"/>
    <x v="3"/>
    <x v="2"/>
    <x v="3"/>
    <n v="7"/>
    <n v="1633381"/>
    <d v="2025-09-20T00:00:00"/>
    <n v="9"/>
    <n v="20"/>
    <n v="2025"/>
    <x v="1"/>
    <s v="Q3"/>
    <x v="2"/>
  </r>
  <r>
    <s v="O101825"/>
    <x v="574"/>
    <x v="8"/>
    <x v="2"/>
    <x v="3"/>
    <x v="2"/>
    <n v="6"/>
    <n v="1633021"/>
    <d v="2025-04-21T00:00:00"/>
    <n v="4"/>
    <n v="21"/>
    <n v="2025"/>
    <x v="11"/>
    <s v="Q2"/>
    <x v="3"/>
  </r>
  <r>
    <s v="O104074"/>
    <x v="49"/>
    <x v="8"/>
    <x v="2"/>
    <x v="4"/>
    <x v="3"/>
    <n v="7"/>
    <n v="1632618"/>
    <d v="2025-05-09T00:00:00"/>
    <n v="5"/>
    <n v="9"/>
    <n v="2025"/>
    <x v="3"/>
    <s v="Q2"/>
    <x v="4"/>
  </r>
  <r>
    <s v="O101232"/>
    <x v="748"/>
    <x v="4"/>
    <x v="0"/>
    <x v="3"/>
    <x v="2"/>
    <n v="4"/>
    <n v="1632504"/>
    <d v="2025-03-16T00:00:00"/>
    <n v="3"/>
    <n v="16"/>
    <n v="2025"/>
    <x v="5"/>
    <s v="Q1"/>
    <x v="3"/>
  </r>
  <r>
    <s v="O111576"/>
    <x v="604"/>
    <x v="9"/>
    <x v="0"/>
    <x v="4"/>
    <x v="3"/>
    <n v="3"/>
    <n v="1632333"/>
    <d v="2026-05-12T00:00:00"/>
    <n v="5"/>
    <n v="12"/>
    <n v="2026"/>
    <x v="3"/>
    <s v="Q2"/>
    <x v="4"/>
  </r>
  <r>
    <s v="O109518"/>
    <x v="489"/>
    <x v="4"/>
    <x v="4"/>
    <x v="0"/>
    <x v="2"/>
    <n v="8"/>
    <n v="1631877"/>
    <d v="2026-02-08T00:00:00"/>
    <n v="2"/>
    <n v="8"/>
    <n v="2026"/>
    <x v="4"/>
    <s v="Q1"/>
    <x v="0"/>
  </r>
  <r>
    <s v="O106887"/>
    <x v="402"/>
    <x v="2"/>
    <x v="0"/>
    <x v="2"/>
    <x v="0"/>
    <n v="3"/>
    <n v="1631421"/>
    <d v="2026-02-23T00:00:00"/>
    <n v="2"/>
    <n v="23"/>
    <n v="2026"/>
    <x v="4"/>
    <s v="Q1"/>
    <x v="2"/>
  </r>
  <r>
    <s v="O102864"/>
    <x v="77"/>
    <x v="0"/>
    <x v="2"/>
    <x v="0"/>
    <x v="0"/>
    <n v="6"/>
    <n v="1631357"/>
    <d v="2025-06-23T00:00:00"/>
    <n v="6"/>
    <n v="23"/>
    <n v="2025"/>
    <x v="2"/>
    <s v="Q2"/>
    <x v="0"/>
  </r>
  <r>
    <s v="O111274"/>
    <x v="22"/>
    <x v="9"/>
    <x v="0"/>
    <x v="1"/>
    <x v="3"/>
    <n v="4"/>
    <n v="1630556"/>
    <d v="2026-11-16T00:00:00"/>
    <n v="11"/>
    <n v="16"/>
    <n v="2026"/>
    <x v="0"/>
    <s v="Q4"/>
    <x v="1"/>
  </r>
  <r>
    <s v="O111223"/>
    <x v="519"/>
    <x v="6"/>
    <x v="4"/>
    <x v="1"/>
    <x v="2"/>
    <n v="10"/>
    <n v="1630493"/>
    <d v="2026-11-13T00:00:00"/>
    <n v="11"/>
    <n v="13"/>
    <n v="2026"/>
    <x v="0"/>
    <s v="Q4"/>
    <x v="1"/>
  </r>
  <r>
    <s v="O105545"/>
    <x v="380"/>
    <x v="4"/>
    <x v="2"/>
    <x v="1"/>
    <x v="0"/>
    <n v="5"/>
    <n v="1630164"/>
    <d v="2025-03-12T00:00:00"/>
    <n v="3"/>
    <n v="12"/>
    <n v="2025"/>
    <x v="5"/>
    <s v="Q1"/>
    <x v="1"/>
  </r>
  <r>
    <s v="O109928"/>
    <x v="666"/>
    <x v="8"/>
    <x v="3"/>
    <x v="1"/>
    <x v="1"/>
    <n v="9"/>
    <n v="1629816"/>
    <d v="2026-08-27T00:00:00"/>
    <n v="8"/>
    <n v="27"/>
    <n v="2026"/>
    <x v="8"/>
    <m/>
    <x v="1"/>
  </r>
  <r>
    <s v="O109809"/>
    <x v="642"/>
    <x v="1"/>
    <x v="3"/>
    <x v="4"/>
    <x v="3"/>
    <n v="7"/>
    <n v="1628486"/>
    <d v="2026-08-19T00:00:00"/>
    <n v="8"/>
    <n v="19"/>
    <n v="2026"/>
    <x v="8"/>
    <s v="Q3"/>
    <x v="4"/>
  </r>
  <r>
    <s v="O107885"/>
    <x v="759"/>
    <x v="9"/>
    <x v="0"/>
    <x v="1"/>
    <x v="0"/>
    <n v="4"/>
    <n v="1627451"/>
    <d v="2026-04-24T00:00:00"/>
    <n v="4"/>
    <n v="24"/>
    <n v="2026"/>
    <x v="11"/>
    <s v="Q2"/>
    <x v="1"/>
  </r>
  <r>
    <s v="O104286"/>
    <x v="774"/>
    <x v="3"/>
    <x v="2"/>
    <x v="2"/>
    <x v="2"/>
    <n v="5"/>
    <n v="1627200"/>
    <d v="2025-09-18T00:00:00"/>
    <n v="9"/>
    <n v="18"/>
    <n v="2025"/>
    <x v="1"/>
    <s v="Q3"/>
    <x v="2"/>
  </r>
  <r>
    <s v="O102838"/>
    <x v="450"/>
    <x v="5"/>
    <x v="0"/>
    <x v="0"/>
    <x v="1"/>
    <n v="3"/>
    <n v="1625071"/>
    <d v="2025-06-22T00:00:00"/>
    <n v="6"/>
    <n v="22"/>
    <n v="2025"/>
    <x v="2"/>
    <s v="Q2"/>
    <x v="0"/>
  </r>
  <r>
    <s v="O105471"/>
    <x v="616"/>
    <x v="5"/>
    <x v="2"/>
    <x v="4"/>
    <x v="3"/>
    <n v="5"/>
    <n v="1625052"/>
    <d v="2025-11-29T00:00:00"/>
    <n v="11"/>
    <n v="29"/>
    <n v="2025"/>
    <x v="0"/>
    <s v="Q4"/>
    <x v="4"/>
  </r>
  <r>
    <s v="O108421"/>
    <x v="584"/>
    <x v="5"/>
    <x v="2"/>
    <x v="4"/>
    <x v="2"/>
    <n v="7"/>
    <n v="1623778"/>
    <d v="2026-05-27T00:00:00"/>
    <n v="5"/>
    <n v="27"/>
    <n v="2026"/>
    <x v="3"/>
    <s v="Q2"/>
    <x v="4"/>
  </r>
  <r>
    <s v="O111314"/>
    <x v="321"/>
    <x v="2"/>
    <x v="3"/>
    <x v="1"/>
    <x v="3"/>
    <n v="6"/>
    <n v="1623771"/>
    <d v="2026-11-19T00:00:00"/>
    <n v="11"/>
    <n v="19"/>
    <n v="2026"/>
    <x v="0"/>
    <s v="Q4"/>
    <x v="1"/>
  </r>
  <r>
    <s v="O105429"/>
    <x v="152"/>
    <x v="2"/>
    <x v="2"/>
    <x v="3"/>
    <x v="2"/>
    <n v="5"/>
    <n v="1623592"/>
    <d v="2025-11-26T00:00:00"/>
    <n v="11"/>
    <n v="26"/>
    <n v="2025"/>
    <x v="0"/>
    <s v="Q4"/>
    <x v="3"/>
  </r>
  <r>
    <s v="O108929"/>
    <x v="626"/>
    <x v="6"/>
    <x v="0"/>
    <x v="0"/>
    <x v="2"/>
    <n v="3"/>
    <n v="1623461"/>
    <d v="2026-06-27T00:00:00"/>
    <n v="6"/>
    <n v="27"/>
    <n v="2026"/>
    <x v="2"/>
    <s v="Q2"/>
    <x v="0"/>
  </r>
  <r>
    <s v="O101021"/>
    <x v="588"/>
    <x v="9"/>
    <x v="4"/>
    <x v="1"/>
    <x v="1"/>
    <n v="9"/>
    <n v="1622976"/>
    <d v="2025-03-03T00:00:00"/>
    <n v="3"/>
    <n v="3"/>
    <n v="2025"/>
    <x v="5"/>
    <s v="Q1"/>
    <x v="1"/>
  </r>
  <r>
    <s v="O104040"/>
    <x v="303"/>
    <x v="9"/>
    <x v="2"/>
    <x v="4"/>
    <x v="3"/>
    <n v="5"/>
    <n v="1622850"/>
    <d v="2025-03-09T00:00:00"/>
    <n v="3"/>
    <n v="9"/>
    <n v="2025"/>
    <x v="5"/>
    <s v="Q1"/>
    <x v="4"/>
  </r>
  <r>
    <s v="O102553"/>
    <x v="637"/>
    <x v="10"/>
    <x v="4"/>
    <x v="4"/>
    <x v="3"/>
    <n v="9"/>
    <n v="1621894"/>
    <d v="2025-05-06T00:00:00"/>
    <n v="5"/>
    <n v="6"/>
    <n v="2025"/>
    <x v="3"/>
    <s v="Q2"/>
    <x v="4"/>
  </r>
  <r>
    <s v="O102569"/>
    <x v="567"/>
    <x v="6"/>
    <x v="4"/>
    <x v="1"/>
    <x v="0"/>
    <n v="9"/>
    <n v="1620510"/>
    <d v="2025-06-06T00:00:00"/>
    <n v="6"/>
    <n v="6"/>
    <n v="2025"/>
    <x v="2"/>
    <s v="Q2"/>
    <x v="1"/>
  </r>
  <r>
    <s v="O111912"/>
    <x v="211"/>
    <x v="9"/>
    <x v="2"/>
    <x v="2"/>
    <x v="0"/>
    <n v="6"/>
    <n v="1618625"/>
    <d v="2026-12-25T00:00:00"/>
    <n v="12"/>
    <n v="25"/>
    <n v="2026"/>
    <x v="7"/>
    <s v="Q4"/>
    <x v="2"/>
  </r>
  <r>
    <s v="O110975"/>
    <x v="36"/>
    <x v="9"/>
    <x v="4"/>
    <x v="3"/>
    <x v="3"/>
    <n v="8"/>
    <n v="1618523"/>
    <d v="2026-10-29T00:00:00"/>
    <n v="10"/>
    <n v="29"/>
    <n v="2026"/>
    <x v="9"/>
    <s v="Q4"/>
    <x v="3"/>
  </r>
  <r>
    <s v="O101334"/>
    <x v="191"/>
    <x v="10"/>
    <x v="3"/>
    <x v="2"/>
    <x v="0"/>
    <n v="8"/>
    <n v="1617959"/>
    <d v="2025-03-22T00:00:00"/>
    <n v="3"/>
    <n v="22"/>
    <n v="2025"/>
    <x v="5"/>
    <s v="Q1"/>
    <x v="2"/>
  </r>
  <r>
    <s v="O102126"/>
    <x v="379"/>
    <x v="5"/>
    <x v="2"/>
    <x v="3"/>
    <x v="1"/>
    <n v="5"/>
    <n v="1617957"/>
    <d v="2025-10-05T00:00:00"/>
    <n v="10"/>
    <n v="5"/>
    <n v="2025"/>
    <x v="9"/>
    <s v="Q4"/>
    <x v="3"/>
  </r>
  <r>
    <s v="O104884"/>
    <x v="106"/>
    <x v="3"/>
    <x v="0"/>
    <x v="4"/>
    <x v="2"/>
    <n v="3"/>
    <n v="1616128"/>
    <d v="2025-10-24T00:00:00"/>
    <n v="10"/>
    <n v="24"/>
    <n v="2025"/>
    <x v="9"/>
    <s v="Q4"/>
    <x v="4"/>
  </r>
  <r>
    <s v="O111519"/>
    <x v="761"/>
    <x v="6"/>
    <x v="4"/>
    <x v="1"/>
    <x v="3"/>
    <n v="10"/>
    <n v="1615876"/>
    <d v="2026-01-12T00:00:00"/>
    <n v="1"/>
    <n v="12"/>
    <n v="2026"/>
    <x v="6"/>
    <s v="Q1"/>
    <x v="1"/>
  </r>
  <r>
    <s v="O105021"/>
    <x v="519"/>
    <x v="6"/>
    <x v="2"/>
    <x v="3"/>
    <x v="2"/>
    <n v="6"/>
    <n v="1615531"/>
    <d v="2025-01-11T00:00:00"/>
    <n v="1"/>
    <n v="11"/>
    <n v="2025"/>
    <x v="6"/>
    <s v="Q1"/>
    <x v="3"/>
  </r>
  <r>
    <s v="O106371"/>
    <x v="759"/>
    <x v="4"/>
    <x v="2"/>
    <x v="2"/>
    <x v="2"/>
    <n v="6"/>
    <n v="1615328"/>
    <d v="2026-01-23T00:00:00"/>
    <n v="1"/>
    <n v="23"/>
    <n v="2026"/>
    <x v="6"/>
    <s v="Q1"/>
    <x v="2"/>
  </r>
  <r>
    <s v="O108148"/>
    <x v="147"/>
    <x v="1"/>
    <x v="3"/>
    <x v="3"/>
    <x v="2"/>
    <n v="7"/>
    <n v="1615026"/>
    <d v="2026-10-05T00:00:00"/>
    <n v="10"/>
    <n v="5"/>
    <n v="2026"/>
    <x v="9"/>
    <s v="Q4"/>
    <x v="3"/>
  </r>
  <r>
    <s v="O106289"/>
    <x v="496"/>
    <x v="0"/>
    <x v="3"/>
    <x v="3"/>
    <x v="0"/>
    <n v="9"/>
    <n v="1614562"/>
    <d v="2026-01-18T00:00:00"/>
    <n v="1"/>
    <n v="18"/>
    <n v="2026"/>
    <x v="6"/>
    <s v="Q1"/>
    <x v="3"/>
  </r>
  <r>
    <s v="O107729"/>
    <x v="47"/>
    <x v="4"/>
    <x v="3"/>
    <x v="0"/>
    <x v="2"/>
    <n v="6"/>
    <n v="1613879"/>
    <d v="2026-04-15T00:00:00"/>
    <n v="4"/>
    <n v="15"/>
    <n v="2026"/>
    <x v="11"/>
    <s v="Q2"/>
    <x v="0"/>
  </r>
  <r>
    <s v="O104574"/>
    <x v="549"/>
    <x v="2"/>
    <x v="4"/>
    <x v="1"/>
    <x v="2"/>
    <n v="9"/>
    <n v="1613641"/>
    <d v="2025-05-10T00:00:00"/>
    <n v="5"/>
    <n v="10"/>
    <n v="2025"/>
    <x v="3"/>
    <s v="Q2"/>
    <x v="1"/>
  </r>
  <r>
    <s v="O108394"/>
    <x v="143"/>
    <x v="1"/>
    <x v="4"/>
    <x v="0"/>
    <x v="2"/>
    <n v="8"/>
    <n v="1613521"/>
    <d v="2026-05-25T00:00:00"/>
    <n v="5"/>
    <n v="25"/>
    <n v="2026"/>
    <x v="3"/>
    <s v="Q2"/>
    <x v="0"/>
  </r>
  <r>
    <s v="O105688"/>
    <x v="45"/>
    <x v="2"/>
    <x v="3"/>
    <x v="2"/>
    <x v="3"/>
    <n v="9"/>
    <n v="1613434"/>
    <d v="2025-12-12T00:00:00"/>
    <n v="12"/>
    <n v="12"/>
    <n v="2025"/>
    <x v="7"/>
    <s v="Q4"/>
    <x v="2"/>
  </r>
  <r>
    <s v="O105162"/>
    <x v="96"/>
    <x v="1"/>
    <x v="0"/>
    <x v="1"/>
    <x v="1"/>
    <n v="4"/>
    <n v="1612692"/>
    <d v="2025-10-11T00:00:00"/>
    <n v="10"/>
    <n v="11"/>
    <n v="2025"/>
    <x v="9"/>
    <s v="Q4"/>
    <x v="1"/>
  </r>
  <r>
    <s v="O105264"/>
    <x v="704"/>
    <x v="1"/>
    <x v="0"/>
    <x v="4"/>
    <x v="3"/>
    <n v="3"/>
    <n v="1611981"/>
    <d v="2025-11-16T00:00:00"/>
    <n v="11"/>
    <n v="16"/>
    <n v="2025"/>
    <x v="0"/>
    <s v="Q4"/>
    <x v="4"/>
  </r>
  <r>
    <s v="O104190"/>
    <x v="74"/>
    <x v="2"/>
    <x v="4"/>
    <x v="4"/>
    <x v="1"/>
    <n v="9"/>
    <n v="1610927"/>
    <d v="2025-12-09T00:00:00"/>
    <n v="12"/>
    <n v="9"/>
    <n v="2025"/>
    <x v="7"/>
    <s v="Q4"/>
    <x v="4"/>
  </r>
  <r>
    <s v="O109143"/>
    <x v="56"/>
    <x v="3"/>
    <x v="3"/>
    <x v="3"/>
    <x v="0"/>
    <n v="6"/>
    <n v="1609993"/>
    <d v="2026-10-07T00:00:00"/>
    <n v="10"/>
    <n v="7"/>
    <n v="2026"/>
    <x v="9"/>
    <s v="Q4"/>
    <x v="3"/>
  </r>
  <r>
    <s v="O102932"/>
    <x v="407"/>
    <x v="8"/>
    <x v="2"/>
    <x v="2"/>
    <x v="1"/>
    <n v="5"/>
    <n v="1609242"/>
    <d v="2025-06-28T00:00:00"/>
    <n v="6"/>
    <n v="28"/>
    <n v="2025"/>
    <x v="2"/>
    <s v="Q2"/>
    <x v="2"/>
  </r>
  <r>
    <s v="O107992"/>
    <x v="719"/>
    <x v="2"/>
    <x v="0"/>
    <x v="0"/>
    <x v="1"/>
    <n v="3"/>
    <n v="1608710"/>
    <d v="2026-01-05T00:00:00"/>
    <n v="1"/>
    <n v="5"/>
    <n v="2026"/>
    <x v="6"/>
    <s v="Q1"/>
    <x v="0"/>
  </r>
  <r>
    <s v="O102433"/>
    <x v="553"/>
    <x v="1"/>
    <x v="3"/>
    <x v="3"/>
    <x v="3"/>
    <n v="9"/>
    <n v="1608138"/>
    <d v="2025-05-28T00:00:00"/>
    <n v="5"/>
    <n v="28"/>
    <n v="2025"/>
    <x v="3"/>
    <s v="Q2"/>
    <x v="3"/>
  </r>
  <r>
    <s v="O102351"/>
    <x v="406"/>
    <x v="8"/>
    <x v="2"/>
    <x v="1"/>
    <x v="2"/>
    <n v="7"/>
    <n v="1607788"/>
    <d v="2025-05-23T00:00:00"/>
    <n v="5"/>
    <n v="23"/>
    <n v="2025"/>
    <x v="3"/>
    <s v="Q2"/>
    <x v="1"/>
  </r>
  <r>
    <s v="O109472"/>
    <x v="721"/>
    <x v="10"/>
    <x v="2"/>
    <x v="3"/>
    <x v="0"/>
    <n v="7"/>
    <n v="1607735"/>
    <d v="2026-07-30T00:00:00"/>
    <n v="7"/>
    <n v="30"/>
    <n v="2026"/>
    <x v="10"/>
    <s v="Q3"/>
    <x v="3"/>
  </r>
  <r>
    <s v="O104922"/>
    <x v="433"/>
    <x v="10"/>
    <x v="4"/>
    <x v="3"/>
    <x v="2"/>
    <n v="8"/>
    <n v="1607721"/>
    <d v="2025-10-26T00:00:00"/>
    <n v="10"/>
    <n v="26"/>
    <n v="2025"/>
    <x v="9"/>
    <s v="Q4"/>
    <x v="3"/>
  </r>
  <r>
    <s v="O101772"/>
    <x v="625"/>
    <x v="8"/>
    <x v="4"/>
    <x v="0"/>
    <x v="0"/>
    <n v="8"/>
    <n v="1607609"/>
    <d v="2025-04-18T00:00:00"/>
    <n v="4"/>
    <n v="18"/>
    <n v="2025"/>
    <x v="11"/>
    <s v="Q2"/>
    <x v="0"/>
  </r>
  <r>
    <s v="O105909"/>
    <x v="779"/>
    <x v="10"/>
    <x v="0"/>
    <x v="4"/>
    <x v="2"/>
    <n v="4"/>
    <n v="1606603"/>
    <d v="2025-12-25T00:00:00"/>
    <n v="12"/>
    <n v="25"/>
    <n v="2025"/>
    <x v="7"/>
    <s v="Q4"/>
    <x v="4"/>
  </r>
  <r>
    <s v="O108109"/>
    <x v="7"/>
    <x v="3"/>
    <x v="4"/>
    <x v="2"/>
    <x v="0"/>
    <n v="10"/>
    <n v="1606403"/>
    <d v="2026-08-05T00:00:00"/>
    <n v="8"/>
    <n v="5"/>
    <n v="2026"/>
    <x v="8"/>
    <s v="Q3"/>
    <x v="2"/>
  </r>
  <r>
    <s v="O107694"/>
    <x v="717"/>
    <x v="1"/>
    <x v="2"/>
    <x v="4"/>
    <x v="1"/>
    <n v="5"/>
    <n v="1605973"/>
    <d v="2026-04-13T00:00:00"/>
    <n v="4"/>
    <n v="13"/>
    <n v="2026"/>
    <x v="11"/>
    <s v="Q2"/>
    <x v="4"/>
  </r>
  <r>
    <s v="O101814"/>
    <x v="566"/>
    <x v="1"/>
    <x v="0"/>
    <x v="3"/>
    <x v="1"/>
    <n v="4"/>
    <n v="1604624"/>
    <d v="2025-04-21T00:00:00"/>
    <n v="4"/>
    <n v="21"/>
    <n v="2025"/>
    <x v="11"/>
    <s v="Q2"/>
    <x v="3"/>
  </r>
  <r>
    <s v="O110113"/>
    <x v="433"/>
    <x v="0"/>
    <x v="4"/>
    <x v="3"/>
    <x v="0"/>
    <n v="8"/>
    <n v="1604163"/>
    <d v="2026-07-09T00:00:00"/>
    <n v="7"/>
    <n v="9"/>
    <n v="2026"/>
    <x v="10"/>
    <s v="Q3"/>
    <x v="3"/>
  </r>
  <r>
    <s v="O102595"/>
    <x v="550"/>
    <x v="4"/>
    <x v="0"/>
    <x v="1"/>
    <x v="3"/>
    <n v="3"/>
    <n v="1604084"/>
    <d v="2025-07-06T00:00:00"/>
    <n v="7"/>
    <n v="6"/>
    <n v="2025"/>
    <x v="10"/>
    <s v="Q3"/>
    <x v="1"/>
  </r>
  <r>
    <s v="O104720"/>
    <x v="638"/>
    <x v="6"/>
    <x v="3"/>
    <x v="0"/>
    <x v="3"/>
    <n v="7"/>
    <n v="1603202"/>
    <d v="2025-10-14T00:00:00"/>
    <n v="10"/>
    <n v="14"/>
    <n v="2025"/>
    <x v="9"/>
    <s v="Q4"/>
    <x v="0"/>
  </r>
  <r>
    <s v="O108359"/>
    <x v="377"/>
    <x v="8"/>
    <x v="0"/>
    <x v="0"/>
    <x v="1"/>
    <n v="3"/>
    <n v="1602335"/>
    <d v="2026-05-23T00:00:00"/>
    <n v="5"/>
    <n v="23"/>
    <n v="2026"/>
    <x v="3"/>
    <s v="Q2"/>
    <x v="0"/>
  </r>
  <r>
    <s v="O110939"/>
    <x v="705"/>
    <x v="3"/>
    <x v="0"/>
    <x v="1"/>
    <x v="0"/>
    <n v="4"/>
    <n v="1601900"/>
    <d v="2026-10-27T00:00:00"/>
    <n v="10"/>
    <n v="27"/>
    <n v="2026"/>
    <x v="9"/>
    <s v="Q4"/>
    <x v="1"/>
  </r>
  <r>
    <s v="O105197"/>
    <x v="220"/>
    <x v="2"/>
    <x v="4"/>
    <x v="2"/>
    <x v="1"/>
    <n v="10"/>
    <n v="1601856"/>
    <d v="2025-12-11T00:00:00"/>
    <n v="12"/>
    <n v="11"/>
    <n v="2025"/>
    <x v="7"/>
    <s v="Q4"/>
    <x v="2"/>
  </r>
  <r>
    <s v="O106443"/>
    <x v="723"/>
    <x v="0"/>
    <x v="4"/>
    <x v="4"/>
    <x v="2"/>
    <n v="8"/>
    <n v="1601640"/>
    <d v="2026-01-27T00:00:00"/>
    <n v="1"/>
    <n v="27"/>
    <n v="2026"/>
    <x v="6"/>
    <s v="Q1"/>
    <x v="4"/>
  </r>
  <r>
    <s v="O107696"/>
    <x v="44"/>
    <x v="0"/>
    <x v="2"/>
    <x v="1"/>
    <x v="3"/>
    <n v="7"/>
    <n v="1601344"/>
    <d v="2026-04-13T00:00:00"/>
    <n v="4"/>
    <n v="13"/>
    <n v="2026"/>
    <x v="11"/>
    <s v="Q2"/>
    <x v="1"/>
  </r>
  <r>
    <s v="O103318"/>
    <x v="142"/>
    <x v="6"/>
    <x v="0"/>
    <x v="1"/>
    <x v="0"/>
    <n v="3"/>
    <n v="1601149"/>
    <d v="2025-07-21T00:00:00"/>
    <n v="7"/>
    <n v="21"/>
    <n v="2025"/>
    <x v="10"/>
    <s v="Q3"/>
    <x v="1"/>
  </r>
  <r>
    <s v="O111107"/>
    <x v="145"/>
    <x v="9"/>
    <x v="4"/>
    <x v="3"/>
    <x v="2"/>
    <n v="8"/>
    <n v="1600624"/>
    <d v="2026-06-11T00:00:00"/>
    <n v="6"/>
    <n v="11"/>
    <n v="2026"/>
    <x v="2"/>
    <m/>
    <x v="3"/>
  </r>
  <r>
    <s v="O111307"/>
    <x v="87"/>
    <x v="8"/>
    <x v="3"/>
    <x v="1"/>
    <x v="0"/>
    <n v="6"/>
    <n v="1600267"/>
    <d v="2026-11-18T00:00:00"/>
    <n v="11"/>
    <n v="18"/>
    <n v="2026"/>
    <x v="0"/>
    <s v="Q4"/>
    <x v="1"/>
  </r>
  <r>
    <s v="O110396"/>
    <x v="168"/>
    <x v="5"/>
    <x v="4"/>
    <x v="2"/>
    <x v="1"/>
    <n v="9"/>
    <n v="1599586"/>
    <d v="2026-09-24T00:00:00"/>
    <n v="9"/>
    <n v="24"/>
    <n v="2026"/>
    <x v="1"/>
    <s v="Q3"/>
    <x v="2"/>
  </r>
  <r>
    <s v="O105968"/>
    <x v="76"/>
    <x v="3"/>
    <x v="0"/>
    <x v="2"/>
    <x v="2"/>
    <n v="4"/>
    <n v="1598841"/>
    <d v="2025-12-29T00:00:00"/>
    <n v="12"/>
    <n v="29"/>
    <n v="2025"/>
    <x v="7"/>
    <s v="Q4"/>
    <x v="2"/>
  </r>
  <r>
    <s v="O105945"/>
    <x v="722"/>
    <x v="6"/>
    <x v="3"/>
    <x v="4"/>
    <x v="1"/>
    <n v="7"/>
    <n v="1597713"/>
    <d v="2025-12-28T00:00:00"/>
    <n v="12"/>
    <n v="28"/>
    <n v="2025"/>
    <x v="7"/>
    <s v="Q4"/>
    <x v="4"/>
  </r>
  <r>
    <s v="O101479"/>
    <x v="299"/>
    <x v="0"/>
    <x v="4"/>
    <x v="2"/>
    <x v="0"/>
    <n v="8"/>
    <n v="1597589"/>
    <d v="2025-03-31T00:00:00"/>
    <n v="3"/>
    <n v="31"/>
    <n v="2025"/>
    <x v="5"/>
    <s v="Q1"/>
    <x v="2"/>
  </r>
  <r>
    <s v="O102228"/>
    <x v="263"/>
    <x v="3"/>
    <x v="2"/>
    <x v="3"/>
    <x v="1"/>
    <n v="7"/>
    <n v="1596527"/>
    <d v="2025-05-16T00:00:00"/>
    <n v="5"/>
    <n v="16"/>
    <n v="2025"/>
    <x v="3"/>
    <s v="Q2"/>
    <x v="3"/>
  </r>
  <r>
    <s v="O108083"/>
    <x v="573"/>
    <x v="4"/>
    <x v="0"/>
    <x v="0"/>
    <x v="2"/>
    <n v="3"/>
    <n v="1595749"/>
    <d v="2026-07-05T00:00:00"/>
    <n v="7"/>
    <n v="5"/>
    <n v="2026"/>
    <x v="10"/>
    <s v="Q3"/>
    <x v="0"/>
  </r>
  <r>
    <s v="O105473"/>
    <x v="476"/>
    <x v="10"/>
    <x v="0"/>
    <x v="0"/>
    <x v="2"/>
    <n v="4"/>
    <n v="1595079"/>
    <d v="2025-11-29T00:00:00"/>
    <n v="11"/>
    <n v="29"/>
    <n v="2025"/>
    <x v="0"/>
    <s v="Q4"/>
    <x v="0"/>
  </r>
  <r>
    <s v="O103895"/>
    <x v="111"/>
    <x v="4"/>
    <x v="4"/>
    <x v="2"/>
    <x v="2"/>
    <n v="10"/>
    <n v="1594339"/>
    <d v="2025-08-25T00:00:00"/>
    <n v="8"/>
    <n v="25"/>
    <n v="2025"/>
    <x v="8"/>
    <s v="Q3"/>
    <x v="2"/>
  </r>
  <r>
    <s v="O111974"/>
    <x v="622"/>
    <x v="9"/>
    <x v="2"/>
    <x v="2"/>
    <x v="0"/>
    <n v="6"/>
    <n v="1593796"/>
    <d v="2026-12-29T00:00:00"/>
    <n v="12"/>
    <n v="29"/>
    <n v="2026"/>
    <x v="7"/>
    <s v="Q4"/>
    <x v="2"/>
  </r>
  <r>
    <s v="O103019"/>
    <x v="77"/>
    <x v="9"/>
    <x v="0"/>
    <x v="4"/>
    <x v="1"/>
    <n v="3"/>
    <n v="1593764"/>
    <d v="2025-03-07T00:00:00"/>
    <n v="3"/>
    <n v="7"/>
    <n v="2025"/>
    <x v="5"/>
    <s v="Q1"/>
    <x v="4"/>
  </r>
  <r>
    <s v="O107862"/>
    <x v="494"/>
    <x v="9"/>
    <x v="0"/>
    <x v="4"/>
    <x v="1"/>
    <n v="4"/>
    <n v="1592898"/>
    <d v="2026-04-23T00:00:00"/>
    <n v="4"/>
    <n v="23"/>
    <n v="2026"/>
    <x v="11"/>
    <s v="Q2"/>
    <x v="4"/>
  </r>
  <r>
    <s v="O100408"/>
    <x v="399"/>
    <x v="4"/>
    <x v="0"/>
    <x v="0"/>
    <x v="1"/>
    <n v="3"/>
    <n v="1592562"/>
    <d v="2025-01-25T00:00:00"/>
    <n v="1"/>
    <n v="25"/>
    <n v="2025"/>
    <x v="6"/>
    <s v="Q1"/>
    <x v="0"/>
  </r>
  <r>
    <s v="O111356"/>
    <x v="649"/>
    <x v="10"/>
    <x v="0"/>
    <x v="1"/>
    <x v="2"/>
    <n v="3"/>
    <n v="1591947"/>
    <d v="2026-11-21T00:00:00"/>
    <n v="11"/>
    <n v="21"/>
    <n v="2026"/>
    <x v="0"/>
    <s v="Q4"/>
    <x v="1"/>
  </r>
  <r>
    <s v="O110533"/>
    <x v="145"/>
    <x v="2"/>
    <x v="3"/>
    <x v="4"/>
    <x v="3"/>
    <n v="7"/>
    <n v="1591028"/>
    <d v="2026-02-10T00:00:00"/>
    <n v="2"/>
    <n v="10"/>
    <n v="2026"/>
    <x v="4"/>
    <m/>
    <x v="4"/>
  </r>
  <r>
    <s v="O111117"/>
    <x v="662"/>
    <x v="9"/>
    <x v="3"/>
    <x v="1"/>
    <x v="2"/>
    <n v="6"/>
    <n v="1590301"/>
    <d v="2026-07-11T00:00:00"/>
    <n v="7"/>
    <n v="11"/>
    <n v="2026"/>
    <x v="10"/>
    <s v="Q3"/>
    <x v="1"/>
  </r>
  <r>
    <s v="O108403"/>
    <x v="720"/>
    <x v="10"/>
    <x v="2"/>
    <x v="1"/>
    <x v="3"/>
    <n v="5"/>
    <n v="1590236"/>
    <d v="2026-05-26T00:00:00"/>
    <n v="5"/>
    <n v="26"/>
    <n v="2026"/>
    <x v="3"/>
    <s v="Q2"/>
    <x v="1"/>
  </r>
  <r>
    <s v="O104094"/>
    <x v="691"/>
    <x v="3"/>
    <x v="3"/>
    <x v="1"/>
    <x v="2"/>
    <n v="9"/>
    <n v="1589585"/>
    <d v="2025-06-09T00:00:00"/>
    <n v="6"/>
    <n v="9"/>
    <n v="2025"/>
    <x v="2"/>
    <m/>
    <x v="1"/>
  </r>
  <r>
    <s v="O100982"/>
    <x v="787"/>
    <x v="3"/>
    <x v="4"/>
    <x v="9"/>
    <x v="0"/>
    <n v="9"/>
    <n v="1589553"/>
    <d v="2025-01-03T00:00:00"/>
    <n v="1"/>
    <n v="3"/>
    <n v="2025"/>
    <x v="6"/>
    <s v="Q1"/>
    <x v="0"/>
  </r>
  <r>
    <s v="O107449"/>
    <x v="784"/>
    <x v="2"/>
    <x v="2"/>
    <x v="4"/>
    <x v="1"/>
    <n v="5"/>
    <n v="1588548"/>
    <d v="2026-03-29T00:00:00"/>
    <n v="3"/>
    <n v="29"/>
    <n v="2026"/>
    <x v="5"/>
    <s v="Q1"/>
    <x v="4"/>
  </r>
  <r>
    <s v="O109706"/>
    <x v="164"/>
    <x v="5"/>
    <x v="0"/>
    <x v="0"/>
    <x v="2"/>
    <n v="3"/>
    <n v="1588334"/>
    <d v="2026-08-13T00:00:00"/>
    <n v="8"/>
    <n v="13"/>
    <n v="2026"/>
    <x v="8"/>
    <s v="Q3"/>
    <x v="0"/>
  </r>
  <r>
    <s v="O108588"/>
    <x v="245"/>
    <x v="8"/>
    <x v="4"/>
    <x v="4"/>
    <x v="2"/>
    <n v="9"/>
    <n v="1587260"/>
    <d v="2026-06-06T00:00:00"/>
    <n v="6"/>
    <n v="6"/>
    <n v="2026"/>
    <x v="2"/>
    <s v="Q2"/>
    <x v="4"/>
  </r>
  <r>
    <s v="O107264"/>
    <x v="1"/>
    <x v="1"/>
    <x v="0"/>
    <x v="0"/>
    <x v="3"/>
    <n v="4"/>
    <n v="1586155"/>
    <d v="2026-03-18T00:00:00"/>
    <n v="3"/>
    <n v="18"/>
    <n v="2026"/>
    <x v="5"/>
    <s v="Q1"/>
    <x v="0"/>
  </r>
  <r>
    <s v="O101046"/>
    <x v="77"/>
    <x v="10"/>
    <x v="2"/>
    <x v="2"/>
    <x v="3"/>
    <n v="7"/>
    <n v="1585983"/>
    <d v="2025-05-03T00:00:00"/>
    <n v="5"/>
    <n v="3"/>
    <n v="2025"/>
    <x v="3"/>
    <s v="Q2"/>
    <x v="2"/>
  </r>
  <r>
    <s v="O103333"/>
    <x v="214"/>
    <x v="5"/>
    <x v="0"/>
    <x v="4"/>
    <x v="3"/>
    <n v="4"/>
    <n v="1585663"/>
    <d v="2025-07-22T00:00:00"/>
    <n v="7"/>
    <n v="22"/>
    <n v="2025"/>
    <x v="10"/>
    <s v="Q3"/>
    <x v="4"/>
  </r>
  <r>
    <s v="O101542"/>
    <x v="385"/>
    <x v="2"/>
    <x v="0"/>
    <x v="1"/>
    <x v="1"/>
    <n v="4"/>
    <n v="1585174"/>
    <d v="2025-04-04T00:00:00"/>
    <n v="4"/>
    <n v="4"/>
    <n v="2025"/>
    <x v="11"/>
    <s v="Q2"/>
    <x v="1"/>
  </r>
  <r>
    <s v="O103762"/>
    <x v="357"/>
    <x v="3"/>
    <x v="4"/>
    <x v="2"/>
    <x v="3"/>
    <n v="8"/>
    <n v="1585065"/>
    <d v="2025-08-17T00:00:00"/>
    <n v="8"/>
    <n v="17"/>
    <n v="2025"/>
    <x v="8"/>
    <s v="Q3"/>
    <x v="2"/>
  </r>
  <r>
    <s v="O103463"/>
    <x v="372"/>
    <x v="2"/>
    <x v="2"/>
    <x v="1"/>
    <x v="3"/>
    <n v="6"/>
    <n v="1584677"/>
    <d v="2025-07-30T00:00:00"/>
    <n v="7"/>
    <n v="30"/>
    <n v="2025"/>
    <x v="10"/>
    <s v="Q3"/>
    <x v="1"/>
  </r>
  <r>
    <s v="O103698"/>
    <x v="719"/>
    <x v="3"/>
    <x v="2"/>
    <x v="2"/>
    <x v="0"/>
    <n v="7"/>
    <n v="1583640"/>
    <d v="2025-08-13T00:00:00"/>
    <n v="8"/>
    <n v="13"/>
    <n v="2025"/>
    <x v="8"/>
    <s v="Q3"/>
    <x v="2"/>
  </r>
  <r>
    <s v="O110896"/>
    <x v="405"/>
    <x v="3"/>
    <x v="0"/>
    <x v="3"/>
    <x v="2"/>
    <n v="3"/>
    <n v="1582205"/>
    <d v="2026-10-24T00:00:00"/>
    <n v="10"/>
    <n v="24"/>
    <n v="2026"/>
    <x v="9"/>
    <s v="Q4"/>
    <x v="3"/>
  </r>
  <r>
    <s v="O101426"/>
    <x v="408"/>
    <x v="0"/>
    <x v="3"/>
    <x v="4"/>
    <x v="3"/>
    <n v="9"/>
    <n v="1582037"/>
    <d v="2025-03-28T00:00:00"/>
    <n v="3"/>
    <n v="28"/>
    <n v="2025"/>
    <x v="5"/>
    <s v="Q1"/>
    <x v="4"/>
  </r>
  <r>
    <s v="O100362"/>
    <x v="782"/>
    <x v="4"/>
    <x v="2"/>
    <x v="2"/>
    <x v="3"/>
    <n v="5"/>
    <n v="1581560"/>
    <d v="2025-01-22T00:00:00"/>
    <n v="1"/>
    <n v="22"/>
    <n v="2025"/>
    <x v="6"/>
    <s v="Q1"/>
    <x v="2"/>
  </r>
  <r>
    <s v="O110951"/>
    <x v="518"/>
    <x v="0"/>
    <x v="0"/>
    <x v="0"/>
    <x v="3"/>
    <n v="3"/>
    <n v="1581303"/>
    <d v="2026-10-28T00:00:00"/>
    <n v="10"/>
    <n v="28"/>
    <n v="2026"/>
    <x v="9"/>
    <s v="Q4"/>
    <x v="0"/>
  </r>
  <r>
    <s v="O102812"/>
    <x v="499"/>
    <x v="5"/>
    <x v="2"/>
    <x v="2"/>
    <x v="1"/>
    <n v="6"/>
    <n v="1581289"/>
    <d v="2025-06-20T00:00:00"/>
    <n v="6"/>
    <n v="20"/>
    <n v="2025"/>
    <x v="2"/>
    <s v="Q2"/>
    <x v="2"/>
  </r>
  <r>
    <s v="O100435"/>
    <x v="314"/>
    <x v="10"/>
    <x v="0"/>
    <x v="3"/>
    <x v="1"/>
    <n v="4"/>
    <n v="1580936"/>
    <d v="2025-01-27T00:00:00"/>
    <n v="1"/>
    <n v="27"/>
    <n v="2025"/>
    <x v="6"/>
    <s v="Q1"/>
    <x v="3"/>
  </r>
  <r>
    <s v="O106994"/>
    <x v="334"/>
    <x v="1"/>
    <x v="0"/>
    <x v="1"/>
    <x v="1"/>
    <n v="4"/>
    <n v="1580211"/>
    <d v="2026-01-03T00:00:00"/>
    <n v="1"/>
    <n v="3"/>
    <n v="2026"/>
    <x v="6"/>
    <s v="Q1"/>
    <x v="1"/>
  </r>
  <r>
    <s v="O110290"/>
    <x v="336"/>
    <x v="1"/>
    <x v="0"/>
    <x v="1"/>
    <x v="1"/>
    <n v="3"/>
    <n v="1580108"/>
    <d v="2026-09-18T00:00:00"/>
    <n v="9"/>
    <n v="18"/>
    <n v="2026"/>
    <x v="1"/>
    <s v="Q3"/>
    <x v="1"/>
  </r>
  <r>
    <s v="O103715"/>
    <x v="788"/>
    <x v="6"/>
    <x v="3"/>
    <x v="3"/>
    <x v="2"/>
    <n v="9"/>
    <n v="1579063"/>
    <d v="2025-08-14T00:00:00"/>
    <n v="8"/>
    <n v="14"/>
    <n v="2025"/>
    <x v="8"/>
    <s v="Q3"/>
    <x v="3"/>
  </r>
  <r>
    <s v="O111272"/>
    <x v="498"/>
    <x v="4"/>
    <x v="0"/>
    <x v="3"/>
    <x v="3"/>
    <n v="3"/>
    <n v="1578994"/>
    <d v="2026-11-16T00:00:00"/>
    <n v="11"/>
    <n v="16"/>
    <n v="2026"/>
    <x v="0"/>
    <s v="Q4"/>
    <x v="3"/>
  </r>
  <r>
    <s v="O103162"/>
    <x v="78"/>
    <x v="1"/>
    <x v="0"/>
    <x v="3"/>
    <x v="0"/>
    <n v="3"/>
    <n v="1578320"/>
    <d v="2025-12-07T00:00:00"/>
    <n v="12"/>
    <n v="7"/>
    <n v="2025"/>
    <x v="7"/>
    <s v="Q4"/>
    <x v="3"/>
  </r>
  <r>
    <s v="O101465"/>
    <x v="530"/>
    <x v="4"/>
    <x v="3"/>
    <x v="1"/>
    <x v="0"/>
    <n v="7"/>
    <n v="1577368"/>
    <d v="2025-03-30T00:00:00"/>
    <n v="3"/>
    <n v="30"/>
    <n v="2025"/>
    <x v="5"/>
    <s v="Q1"/>
    <x v="1"/>
  </r>
  <r>
    <s v="O110304"/>
    <x v="49"/>
    <x v="3"/>
    <x v="3"/>
    <x v="1"/>
    <x v="0"/>
    <n v="6"/>
    <n v="1576686"/>
    <d v="2026-09-18T00:00:00"/>
    <n v="9"/>
    <n v="18"/>
    <n v="2026"/>
    <x v="1"/>
    <s v="Q3"/>
    <x v="1"/>
  </r>
  <r>
    <s v="O100258"/>
    <x v="302"/>
    <x v="6"/>
    <x v="4"/>
    <x v="4"/>
    <x v="1"/>
    <n v="9"/>
    <n v="1576097"/>
    <d v="2025-01-16T00:00:00"/>
    <n v="1"/>
    <n v="16"/>
    <n v="2025"/>
    <x v="6"/>
    <s v="Q1"/>
    <x v="4"/>
  </r>
  <r>
    <s v="O104137"/>
    <x v="498"/>
    <x v="0"/>
    <x v="4"/>
    <x v="4"/>
    <x v="3"/>
    <n v="9"/>
    <n v="1575717"/>
    <d v="2025-09-09T00:00:00"/>
    <n v="9"/>
    <n v="9"/>
    <n v="2025"/>
    <x v="1"/>
    <s v="Q3"/>
    <x v="4"/>
  </r>
  <r>
    <s v="O103568"/>
    <x v="442"/>
    <x v="1"/>
    <x v="2"/>
    <x v="0"/>
    <x v="3"/>
    <n v="6"/>
    <n v="1575557"/>
    <d v="2025-05-08T00:00:00"/>
    <n v="5"/>
    <n v="8"/>
    <n v="2025"/>
    <x v="3"/>
    <s v="Q2"/>
    <x v="0"/>
  </r>
  <r>
    <s v="O106567"/>
    <x v="324"/>
    <x v="3"/>
    <x v="4"/>
    <x v="3"/>
    <x v="3"/>
    <n v="10"/>
    <n v="1575064"/>
    <d v="2026-03-02T00:00:00"/>
    <n v="3"/>
    <n v="2"/>
    <n v="2026"/>
    <x v="5"/>
    <m/>
    <x v="3"/>
  </r>
  <r>
    <s v="O101185"/>
    <x v="80"/>
    <x v="3"/>
    <x v="0"/>
    <x v="4"/>
    <x v="3"/>
    <n v="3"/>
    <n v="1574718"/>
    <d v="2025-03-13T00:00:00"/>
    <n v="3"/>
    <n v="13"/>
    <n v="2025"/>
    <x v="5"/>
    <s v="Q1"/>
    <x v="4"/>
  </r>
  <r>
    <s v="O106359"/>
    <x v="670"/>
    <x v="8"/>
    <x v="3"/>
    <x v="0"/>
    <x v="3"/>
    <n v="8"/>
    <n v="1574484"/>
    <d v="2026-01-22T00:00:00"/>
    <n v="1"/>
    <n v="22"/>
    <n v="2026"/>
    <x v="6"/>
    <s v="Q1"/>
    <x v="0"/>
  </r>
  <r>
    <s v="O105493"/>
    <x v="451"/>
    <x v="0"/>
    <x v="2"/>
    <x v="3"/>
    <x v="0"/>
    <n v="5"/>
    <n v="1573108"/>
    <d v="2025-11-30T00:00:00"/>
    <n v="11"/>
    <n v="30"/>
    <n v="2025"/>
    <x v="0"/>
    <s v="Q4"/>
    <x v="3"/>
  </r>
  <r>
    <s v="O108711"/>
    <x v="474"/>
    <x v="0"/>
    <x v="4"/>
    <x v="2"/>
    <x v="3"/>
    <n v="9"/>
    <n v="1572636"/>
    <d v="2026-06-14T00:00:00"/>
    <n v="6"/>
    <n v="14"/>
    <n v="2026"/>
    <x v="2"/>
    <s v="Q2"/>
    <x v="2"/>
  </r>
  <r>
    <s v="O102771"/>
    <x v="2"/>
    <x v="8"/>
    <x v="0"/>
    <x v="4"/>
    <x v="2"/>
    <n v="3"/>
    <n v="1572213"/>
    <d v="2025-06-18T00:00:00"/>
    <n v="6"/>
    <n v="18"/>
    <n v="2025"/>
    <x v="2"/>
    <s v="Q2"/>
    <x v="4"/>
  </r>
  <r>
    <s v="O110804"/>
    <x v="94"/>
    <x v="3"/>
    <x v="3"/>
    <x v="2"/>
    <x v="0"/>
    <n v="9"/>
    <n v="1572156"/>
    <d v="2026-10-19T00:00:00"/>
    <n v="10"/>
    <n v="19"/>
    <n v="2026"/>
    <x v="9"/>
    <s v="Q4"/>
    <x v="2"/>
  </r>
  <r>
    <s v="O106154"/>
    <x v="284"/>
    <x v="6"/>
    <x v="0"/>
    <x v="1"/>
    <x v="0"/>
    <n v="4"/>
    <n v="1571878"/>
    <d v="2026-09-01T00:00:00"/>
    <n v="9"/>
    <n v="1"/>
    <n v="2026"/>
    <x v="1"/>
    <s v="Q3"/>
    <x v="1"/>
  </r>
  <r>
    <s v="O100938"/>
    <x v="745"/>
    <x v="0"/>
    <x v="3"/>
    <x v="0"/>
    <x v="1"/>
    <n v="7"/>
    <n v="1571717"/>
    <d v="2025-02-26T00:00:00"/>
    <n v="2"/>
    <n v="26"/>
    <n v="2025"/>
    <x v="4"/>
    <s v="Q1"/>
    <x v="0"/>
  </r>
  <r>
    <s v="O108927"/>
    <x v="59"/>
    <x v="0"/>
    <x v="2"/>
    <x v="1"/>
    <x v="1"/>
    <n v="5"/>
    <n v="1571595"/>
    <d v="2026-06-27T00:00:00"/>
    <n v="6"/>
    <n v="27"/>
    <n v="2026"/>
    <x v="2"/>
    <s v="Q2"/>
    <x v="1"/>
  </r>
  <r>
    <s v="O110425"/>
    <x v="433"/>
    <x v="8"/>
    <x v="4"/>
    <x v="4"/>
    <x v="3"/>
    <n v="10"/>
    <n v="1571541"/>
    <d v="2026-09-26T00:00:00"/>
    <n v="9"/>
    <n v="26"/>
    <n v="2026"/>
    <x v="1"/>
    <s v="Q3"/>
    <x v="4"/>
  </r>
  <r>
    <s v="O108690"/>
    <x v="53"/>
    <x v="10"/>
    <x v="0"/>
    <x v="3"/>
    <x v="2"/>
    <n v="4"/>
    <n v="1571520"/>
    <d v="2026-12-06T00:00:00"/>
    <n v="12"/>
    <n v="6"/>
    <n v="2026"/>
    <x v="7"/>
    <s v="Q4"/>
    <x v="3"/>
  </r>
  <r>
    <s v="O106546"/>
    <x v="582"/>
    <x v="6"/>
    <x v="0"/>
    <x v="3"/>
    <x v="1"/>
    <n v="4"/>
    <n v="1571349"/>
    <d v="2026-02-02T00:00:00"/>
    <n v="2"/>
    <n v="2"/>
    <n v="2026"/>
    <x v="4"/>
    <s v="Q1"/>
    <x v="3"/>
  </r>
  <r>
    <s v="O100896"/>
    <x v="604"/>
    <x v="8"/>
    <x v="0"/>
    <x v="3"/>
    <x v="1"/>
    <n v="3"/>
    <n v="1571304"/>
    <d v="2025-02-24T00:00:00"/>
    <n v="2"/>
    <n v="24"/>
    <n v="2025"/>
    <x v="4"/>
    <s v="Q1"/>
    <x v="3"/>
  </r>
  <r>
    <s v="O107733"/>
    <x v="477"/>
    <x v="3"/>
    <x v="0"/>
    <x v="1"/>
    <x v="0"/>
    <n v="4"/>
    <n v="1571223"/>
    <d v="2026-04-15T00:00:00"/>
    <n v="4"/>
    <n v="15"/>
    <n v="2026"/>
    <x v="11"/>
    <s v="Q2"/>
    <x v="1"/>
  </r>
  <r>
    <s v="O109391"/>
    <x v="44"/>
    <x v="10"/>
    <x v="3"/>
    <x v="3"/>
    <x v="3"/>
    <n v="8"/>
    <n v="1571047"/>
    <d v="2026-07-25T00:00:00"/>
    <n v="7"/>
    <n v="25"/>
    <n v="2026"/>
    <x v="10"/>
    <s v="Q3"/>
    <x v="3"/>
  </r>
  <r>
    <s v="O109729"/>
    <x v="741"/>
    <x v="10"/>
    <x v="0"/>
    <x v="1"/>
    <x v="3"/>
    <n v="3"/>
    <n v="1570996"/>
    <d v="2026-08-15T00:00:00"/>
    <n v="8"/>
    <n v="15"/>
    <n v="2026"/>
    <x v="8"/>
    <s v="Q3"/>
    <x v="1"/>
  </r>
  <r>
    <s v="O106721"/>
    <x v="153"/>
    <x v="5"/>
    <x v="4"/>
    <x v="3"/>
    <x v="2"/>
    <n v="10"/>
    <n v="1570788"/>
    <d v="2026-02-13T00:00:00"/>
    <n v="2"/>
    <n v="13"/>
    <n v="2026"/>
    <x v="4"/>
    <s v="Q1"/>
    <x v="3"/>
  </r>
  <r>
    <s v="O108004"/>
    <x v="304"/>
    <x v="5"/>
    <x v="3"/>
    <x v="1"/>
    <x v="2"/>
    <n v="9"/>
    <n v="1570118"/>
    <d v="2026-02-05T00:00:00"/>
    <n v="2"/>
    <n v="5"/>
    <n v="2026"/>
    <x v="4"/>
    <s v="Q1"/>
    <x v="1"/>
  </r>
  <r>
    <s v="O109117"/>
    <x v="91"/>
    <x v="4"/>
    <x v="2"/>
    <x v="4"/>
    <x v="1"/>
    <n v="6"/>
    <n v="1570006"/>
    <d v="2026-08-07T00:00:00"/>
    <n v="8"/>
    <n v="7"/>
    <n v="2026"/>
    <x v="8"/>
    <s v="Q3"/>
    <x v="4"/>
  </r>
  <r>
    <s v="O111911"/>
    <x v="494"/>
    <x v="10"/>
    <x v="3"/>
    <x v="2"/>
    <x v="3"/>
    <n v="6"/>
    <n v="1568869"/>
    <d v="2026-12-25T00:00:00"/>
    <n v="12"/>
    <n v="25"/>
    <n v="2026"/>
    <x v="7"/>
    <s v="Q4"/>
    <x v="2"/>
  </r>
  <r>
    <s v="O110532"/>
    <x v="707"/>
    <x v="5"/>
    <x v="4"/>
    <x v="2"/>
    <x v="2"/>
    <n v="7"/>
    <n v="1568806"/>
    <d v="2026-02-10T00:00:00"/>
    <n v="2"/>
    <n v="10"/>
    <n v="2026"/>
    <x v="4"/>
    <s v="Q1"/>
    <x v="2"/>
  </r>
  <r>
    <s v="O108637"/>
    <x v="765"/>
    <x v="1"/>
    <x v="4"/>
    <x v="2"/>
    <x v="3"/>
    <n v="8"/>
    <n v="1568183"/>
    <d v="2026-09-06T00:00:00"/>
    <n v="9"/>
    <n v="6"/>
    <n v="2026"/>
    <x v="1"/>
    <s v="Q3"/>
    <x v="2"/>
  </r>
  <r>
    <s v="O103058"/>
    <x v="625"/>
    <x v="10"/>
    <x v="0"/>
    <x v="1"/>
    <x v="1"/>
    <n v="3"/>
    <n v="1568121"/>
    <d v="2025-05-07T00:00:00"/>
    <n v="5"/>
    <n v="7"/>
    <n v="2025"/>
    <x v="3"/>
    <s v="Q2"/>
    <x v="1"/>
  </r>
  <r>
    <s v="O102972"/>
    <x v="461"/>
    <x v="6"/>
    <x v="0"/>
    <x v="4"/>
    <x v="2"/>
    <n v="3"/>
    <n v="1567146"/>
    <d v="2025-06-30T00:00:00"/>
    <n v="6"/>
    <n v="30"/>
    <n v="2025"/>
    <x v="2"/>
    <s v="Q2"/>
    <x v="4"/>
  </r>
  <r>
    <s v="O105395"/>
    <x v="731"/>
    <x v="9"/>
    <x v="4"/>
    <x v="3"/>
    <x v="1"/>
    <n v="9"/>
    <n v="1567104"/>
    <d v="2025-11-24T00:00:00"/>
    <n v="11"/>
    <n v="24"/>
    <n v="2025"/>
    <x v="0"/>
    <s v="Q4"/>
    <x v="3"/>
  </r>
  <r>
    <s v="O102839"/>
    <x v="289"/>
    <x v="8"/>
    <x v="4"/>
    <x v="3"/>
    <x v="3"/>
    <n v="9"/>
    <n v="1566946"/>
    <d v="2025-06-22T00:00:00"/>
    <n v="6"/>
    <n v="22"/>
    <n v="2025"/>
    <x v="2"/>
    <s v="Q2"/>
    <x v="3"/>
  </r>
  <r>
    <s v="O106828"/>
    <x v="313"/>
    <x v="9"/>
    <x v="0"/>
    <x v="2"/>
    <x v="2"/>
    <n v="3"/>
    <n v="1566737"/>
    <d v="2026-02-19T00:00:00"/>
    <n v="2"/>
    <n v="19"/>
    <n v="2026"/>
    <x v="4"/>
    <s v="Q1"/>
    <x v="2"/>
  </r>
  <r>
    <s v="O101699"/>
    <x v="467"/>
    <x v="0"/>
    <x v="3"/>
    <x v="2"/>
    <x v="0"/>
    <n v="7"/>
    <n v="1566229"/>
    <d v="2025-04-14T00:00:00"/>
    <n v="4"/>
    <n v="14"/>
    <n v="2025"/>
    <x v="11"/>
    <m/>
    <x v="2"/>
  </r>
  <r>
    <s v="O104636"/>
    <x v="118"/>
    <x v="4"/>
    <x v="3"/>
    <x v="1"/>
    <x v="2"/>
    <n v="9"/>
    <n v="1566100"/>
    <d v="2025-09-10T00:00:00"/>
    <n v="9"/>
    <n v="10"/>
    <n v="2025"/>
    <x v="1"/>
    <s v="Q3"/>
    <x v="1"/>
  </r>
  <r>
    <s v="O100343"/>
    <x v="202"/>
    <x v="3"/>
    <x v="0"/>
    <x v="2"/>
    <x v="3"/>
    <n v="4"/>
    <n v="1565718"/>
    <d v="2025-01-21T00:00:00"/>
    <n v="1"/>
    <n v="21"/>
    <n v="2025"/>
    <x v="6"/>
    <s v="Q1"/>
    <x v="2"/>
  </r>
  <r>
    <s v="O104673"/>
    <x v="478"/>
    <x v="6"/>
    <x v="4"/>
    <x v="3"/>
    <x v="3"/>
    <n v="7"/>
    <n v="1565647"/>
    <d v="2025-11-10T00:00:00"/>
    <n v="11"/>
    <n v="10"/>
    <n v="2025"/>
    <x v="0"/>
    <s v="Q4"/>
    <x v="3"/>
  </r>
  <r>
    <s v="O111524"/>
    <x v="191"/>
    <x v="10"/>
    <x v="0"/>
    <x v="3"/>
    <x v="2"/>
    <n v="3"/>
    <n v="1565534"/>
    <d v="2026-02-12T00:00:00"/>
    <n v="2"/>
    <n v="12"/>
    <n v="2026"/>
    <x v="4"/>
    <s v="Q1"/>
    <x v="3"/>
  </r>
  <r>
    <s v="O106843"/>
    <x v="329"/>
    <x v="3"/>
    <x v="0"/>
    <x v="4"/>
    <x v="3"/>
    <n v="4"/>
    <n v="1565166"/>
    <d v="2026-02-20T00:00:00"/>
    <n v="2"/>
    <n v="20"/>
    <n v="2026"/>
    <x v="4"/>
    <s v="Q1"/>
    <x v="4"/>
  </r>
  <r>
    <s v="O108366"/>
    <x v="571"/>
    <x v="5"/>
    <x v="4"/>
    <x v="4"/>
    <x v="1"/>
    <n v="8"/>
    <n v="1564991"/>
    <d v="2026-05-24T00:00:00"/>
    <n v="5"/>
    <n v="24"/>
    <n v="2026"/>
    <x v="3"/>
    <s v="Q2"/>
    <x v="4"/>
  </r>
  <r>
    <s v="O105976"/>
    <x v="591"/>
    <x v="1"/>
    <x v="3"/>
    <x v="3"/>
    <x v="2"/>
    <n v="6"/>
    <n v="1564840"/>
    <d v="2025-12-30T00:00:00"/>
    <n v="12"/>
    <n v="30"/>
    <n v="2025"/>
    <x v="7"/>
    <s v="Q4"/>
    <x v="3"/>
  </r>
  <r>
    <s v="O104427"/>
    <x v="445"/>
    <x v="2"/>
    <x v="0"/>
    <x v="2"/>
    <x v="1"/>
    <n v="3"/>
    <n v="1564447"/>
    <d v="2025-09-26T00:00:00"/>
    <n v="9"/>
    <n v="26"/>
    <n v="2025"/>
    <x v="1"/>
    <s v="Q3"/>
    <x v="2"/>
  </r>
  <r>
    <s v="O105272"/>
    <x v="218"/>
    <x v="6"/>
    <x v="0"/>
    <x v="0"/>
    <x v="2"/>
    <n v="4"/>
    <n v="1563930"/>
    <d v="2025-11-17T00:00:00"/>
    <n v="11"/>
    <n v="17"/>
    <n v="2025"/>
    <x v="0"/>
    <s v="Q4"/>
    <x v="0"/>
  </r>
  <r>
    <s v="O108797"/>
    <x v="668"/>
    <x v="2"/>
    <x v="0"/>
    <x v="0"/>
    <x v="1"/>
    <n v="3"/>
    <n v="1562709"/>
    <d v="2026-06-19T00:00:00"/>
    <n v="6"/>
    <n v="19"/>
    <n v="2026"/>
    <x v="2"/>
    <s v="Q2"/>
    <x v="0"/>
  </r>
  <r>
    <s v="O102161"/>
    <x v="236"/>
    <x v="5"/>
    <x v="2"/>
    <x v="3"/>
    <x v="0"/>
    <n v="5"/>
    <n v="1561954"/>
    <d v="2025-12-05T00:00:00"/>
    <n v="12"/>
    <n v="5"/>
    <n v="2025"/>
    <x v="7"/>
    <s v="Q4"/>
    <x v="3"/>
  </r>
  <r>
    <s v="O101710"/>
    <x v="290"/>
    <x v="8"/>
    <x v="2"/>
    <x v="0"/>
    <x v="0"/>
    <n v="5"/>
    <n v="1561903"/>
    <d v="2025-04-14T00:00:00"/>
    <n v="4"/>
    <n v="14"/>
    <n v="2025"/>
    <x v="11"/>
    <s v="Q2"/>
    <x v="0"/>
  </r>
  <r>
    <s v="O109178"/>
    <x v="587"/>
    <x v="0"/>
    <x v="4"/>
    <x v="3"/>
    <x v="3"/>
    <n v="9"/>
    <n v="1561641"/>
    <d v="2026-12-07T00:00:00"/>
    <n v="12"/>
    <n v="7"/>
    <n v="2026"/>
    <x v="7"/>
    <m/>
    <x v="3"/>
  </r>
  <r>
    <s v="O107023"/>
    <x v="598"/>
    <x v="8"/>
    <x v="3"/>
    <x v="3"/>
    <x v="2"/>
    <n v="9"/>
    <n v="1561632"/>
    <d v="2026-03-03T00:00:00"/>
    <n v="3"/>
    <n v="3"/>
    <n v="2026"/>
    <x v="5"/>
    <s v="Q1"/>
    <x v="3"/>
  </r>
  <r>
    <s v="O102295"/>
    <x v="586"/>
    <x v="1"/>
    <x v="0"/>
    <x v="1"/>
    <x v="3"/>
    <n v="4"/>
    <n v="1560665"/>
    <d v="2025-05-20T00:00:00"/>
    <n v="5"/>
    <n v="20"/>
    <n v="2025"/>
    <x v="3"/>
    <s v="Q2"/>
    <x v="1"/>
  </r>
  <r>
    <s v="O111265"/>
    <x v="85"/>
    <x v="5"/>
    <x v="4"/>
    <x v="0"/>
    <x v="1"/>
    <n v="9"/>
    <n v="1560270"/>
    <d v="2026-11-16T00:00:00"/>
    <n v="11"/>
    <n v="16"/>
    <n v="2026"/>
    <x v="0"/>
    <s v="Q4"/>
    <x v="0"/>
  </r>
  <r>
    <s v="O104762"/>
    <x v="450"/>
    <x v="2"/>
    <x v="3"/>
    <x v="2"/>
    <x v="2"/>
    <n v="6"/>
    <n v="1559377"/>
    <d v="2025-10-17T00:00:00"/>
    <n v="10"/>
    <n v="17"/>
    <n v="2025"/>
    <x v="9"/>
    <s v="Q4"/>
    <x v="2"/>
  </r>
  <r>
    <s v="O101276"/>
    <x v="138"/>
    <x v="0"/>
    <x v="0"/>
    <x v="4"/>
    <x v="3"/>
    <n v="3"/>
    <n v="1559214"/>
    <d v="2025-03-19T00:00:00"/>
    <n v="3"/>
    <n v="19"/>
    <n v="2025"/>
    <x v="5"/>
    <s v="Q1"/>
    <x v="4"/>
  </r>
  <r>
    <s v="O101598"/>
    <x v="548"/>
    <x v="10"/>
    <x v="0"/>
    <x v="1"/>
    <x v="3"/>
    <n v="4"/>
    <n v="1559177"/>
    <d v="2025-08-04T00:00:00"/>
    <n v="8"/>
    <n v="4"/>
    <n v="2025"/>
    <x v="8"/>
    <s v="Q3"/>
    <x v="1"/>
  </r>
  <r>
    <s v="O103327"/>
    <x v="789"/>
    <x v="8"/>
    <x v="4"/>
    <x v="4"/>
    <x v="1"/>
    <n v="7"/>
    <n v="1558356"/>
    <d v="2025-07-22T00:00:00"/>
    <n v="7"/>
    <n v="22"/>
    <n v="2025"/>
    <x v="10"/>
    <s v="Q3"/>
    <x v="4"/>
  </r>
  <r>
    <s v="O103830"/>
    <x v="433"/>
    <x v="0"/>
    <x v="0"/>
    <x v="3"/>
    <x v="2"/>
    <n v="3"/>
    <n v="1558180"/>
    <d v="2025-08-21T00:00:00"/>
    <n v="8"/>
    <n v="21"/>
    <n v="2025"/>
    <x v="8"/>
    <s v="Q3"/>
    <x v="3"/>
  </r>
  <r>
    <s v="O105169"/>
    <x v="112"/>
    <x v="5"/>
    <x v="0"/>
    <x v="3"/>
    <x v="3"/>
    <n v="4"/>
    <n v="1557401"/>
    <d v="2025-10-11T00:00:00"/>
    <n v="10"/>
    <n v="11"/>
    <n v="2025"/>
    <x v="9"/>
    <s v="Q4"/>
    <x v="3"/>
  </r>
  <r>
    <s v="O111971"/>
    <x v="498"/>
    <x v="2"/>
    <x v="0"/>
    <x v="3"/>
    <x v="1"/>
    <n v="3"/>
    <n v="1557292"/>
    <d v="2026-12-29T00:00:00"/>
    <n v="12"/>
    <n v="29"/>
    <n v="2026"/>
    <x v="7"/>
    <s v="Q4"/>
    <x v="3"/>
  </r>
  <r>
    <s v="O107541"/>
    <x v="131"/>
    <x v="2"/>
    <x v="0"/>
    <x v="0"/>
    <x v="1"/>
    <n v="3"/>
    <n v="1556699"/>
    <d v="2026-04-04T00:00:00"/>
    <n v="4"/>
    <n v="4"/>
    <n v="2026"/>
    <x v="11"/>
    <s v="Q2"/>
    <x v="0"/>
  </r>
  <r>
    <s v="O100492"/>
    <x v="599"/>
    <x v="5"/>
    <x v="2"/>
    <x v="2"/>
    <x v="1"/>
    <n v="5"/>
    <n v="1556296"/>
    <d v="2025-01-30T00:00:00"/>
    <n v="1"/>
    <n v="30"/>
    <n v="2025"/>
    <x v="6"/>
    <s v="Q1"/>
    <x v="2"/>
  </r>
  <r>
    <s v="O105852"/>
    <x v="111"/>
    <x v="9"/>
    <x v="3"/>
    <x v="0"/>
    <x v="2"/>
    <n v="8"/>
    <n v="1556244"/>
    <d v="2025-12-22T00:00:00"/>
    <n v="12"/>
    <n v="22"/>
    <n v="2025"/>
    <x v="7"/>
    <s v="Q4"/>
    <x v="0"/>
  </r>
  <r>
    <s v="O102027"/>
    <x v="111"/>
    <x v="1"/>
    <x v="4"/>
    <x v="1"/>
    <x v="1"/>
    <n v="7"/>
    <n v="1555755"/>
    <d v="2025-04-05T00:00:00"/>
    <n v="4"/>
    <n v="5"/>
    <n v="2025"/>
    <x v="11"/>
    <s v="Q2"/>
    <x v="1"/>
  </r>
  <r>
    <s v="O101404"/>
    <x v="532"/>
    <x v="1"/>
    <x v="4"/>
    <x v="0"/>
    <x v="2"/>
    <n v="10"/>
    <n v="1554628"/>
    <d v="2025-03-27T00:00:00"/>
    <n v="3"/>
    <n v="27"/>
    <n v="2025"/>
    <x v="5"/>
    <s v="Q1"/>
    <x v="0"/>
  </r>
  <r>
    <s v="O102528"/>
    <x v="517"/>
    <x v="8"/>
    <x v="3"/>
    <x v="2"/>
    <x v="2"/>
    <n v="9"/>
    <n v="1554335"/>
    <d v="2025-03-06T00:00:00"/>
    <n v="3"/>
    <n v="6"/>
    <n v="2025"/>
    <x v="5"/>
    <s v="Q1"/>
    <x v="2"/>
  </r>
  <r>
    <s v="O110501"/>
    <x v="782"/>
    <x v="6"/>
    <x v="0"/>
    <x v="3"/>
    <x v="3"/>
    <n v="4"/>
    <n v="1553554"/>
    <d v="2026-09-30T00:00:00"/>
    <n v="9"/>
    <n v="30"/>
    <n v="2026"/>
    <x v="1"/>
    <s v="Q3"/>
    <x v="3"/>
  </r>
  <r>
    <s v="O107778"/>
    <x v="285"/>
    <x v="0"/>
    <x v="4"/>
    <x v="3"/>
    <x v="1"/>
    <n v="9"/>
    <n v="1553498"/>
    <d v="2026-04-18T00:00:00"/>
    <n v="4"/>
    <n v="18"/>
    <n v="2026"/>
    <x v="11"/>
    <s v="Q2"/>
    <x v="3"/>
  </r>
  <r>
    <s v="O104209"/>
    <x v="563"/>
    <x v="10"/>
    <x v="0"/>
    <x v="1"/>
    <x v="0"/>
    <n v="3"/>
    <n v="1553010"/>
    <d v="2025-09-13T00:00:00"/>
    <n v="9"/>
    <n v="13"/>
    <n v="2025"/>
    <x v="1"/>
    <s v="Q3"/>
    <x v="1"/>
  </r>
  <r>
    <s v="O101713"/>
    <x v="396"/>
    <x v="2"/>
    <x v="4"/>
    <x v="3"/>
    <x v="1"/>
    <n v="8"/>
    <n v="1553000"/>
    <d v="2025-04-15T00:00:00"/>
    <n v="4"/>
    <n v="15"/>
    <n v="2025"/>
    <x v="11"/>
    <s v="Q2"/>
    <x v="3"/>
  </r>
  <r>
    <s v="O106261"/>
    <x v="142"/>
    <x v="10"/>
    <x v="0"/>
    <x v="3"/>
    <x v="3"/>
    <n v="3"/>
    <n v="1552923"/>
    <d v="2026-01-16T00:00:00"/>
    <n v="1"/>
    <n v="16"/>
    <n v="2026"/>
    <x v="6"/>
    <s v="Q1"/>
    <x v="3"/>
  </r>
  <r>
    <s v="O107024"/>
    <x v="500"/>
    <x v="2"/>
    <x v="4"/>
    <x v="0"/>
    <x v="2"/>
    <n v="7"/>
    <n v="1552551"/>
    <d v="2026-03-03T00:00:00"/>
    <n v="3"/>
    <n v="3"/>
    <n v="2026"/>
    <x v="5"/>
    <s v="Q1"/>
    <x v="0"/>
  </r>
  <r>
    <s v="O103372"/>
    <x v="49"/>
    <x v="4"/>
    <x v="2"/>
    <x v="4"/>
    <x v="2"/>
    <n v="6"/>
    <n v="1552264"/>
    <d v="2025-07-24T00:00:00"/>
    <n v="7"/>
    <n v="24"/>
    <n v="2025"/>
    <x v="10"/>
    <s v="Q3"/>
    <x v="4"/>
  </r>
  <r>
    <s v="O107181"/>
    <x v="576"/>
    <x v="4"/>
    <x v="0"/>
    <x v="0"/>
    <x v="3"/>
    <n v="3"/>
    <n v="1552077"/>
    <d v="2026-03-13T00:00:00"/>
    <n v="3"/>
    <n v="13"/>
    <n v="2026"/>
    <x v="5"/>
    <s v="Q1"/>
    <x v="0"/>
  </r>
  <r>
    <s v="O100370"/>
    <x v="324"/>
    <x v="10"/>
    <x v="0"/>
    <x v="0"/>
    <x v="3"/>
    <n v="3"/>
    <n v="1550905"/>
    <d v="2025-01-23T00:00:00"/>
    <n v="1"/>
    <n v="23"/>
    <n v="2025"/>
    <x v="6"/>
    <m/>
    <x v="0"/>
  </r>
  <r>
    <s v="O101066"/>
    <x v="474"/>
    <x v="4"/>
    <x v="4"/>
    <x v="3"/>
    <x v="2"/>
    <n v="8"/>
    <n v="1550483"/>
    <d v="2025-06-03T00:00:00"/>
    <n v="6"/>
    <n v="3"/>
    <n v="2025"/>
    <x v="2"/>
    <s v="Q2"/>
    <x v="3"/>
  </r>
  <r>
    <s v="O101221"/>
    <x v="535"/>
    <x v="9"/>
    <x v="3"/>
    <x v="1"/>
    <x v="3"/>
    <n v="8"/>
    <n v="1550450"/>
    <d v="2025-03-16T00:00:00"/>
    <n v="3"/>
    <n v="16"/>
    <n v="2025"/>
    <x v="5"/>
    <s v="Q1"/>
    <x v="1"/>
  </r>
  <r>
    <s v="O105648"/>
    <x v="790"/>
    <x v="4"/>
    <x v="4"/>
    <x v="4"/>
    <x v="3"/>
    <n v="9"/>
    <n v="1549722"/>
    <d v="2025-10-12T00:00:00"/>
    <n v="10"/>
    <n v="12"/>
    <n v="2025"/>
    <x v="9"/>
    <s v="Q4"/>
    <x v="4"/>
  </r>
  <r>
    <s v="O110264"/>
    <x v="343"/>
    <x v="2"/>
    <x v="3"/>
    <x v="1"/>
    <x v="1"/>
    <n v="6"/>
    <n v="1549274"/>
    <d v="2026-09-16T00:00:00"/>
    <n v="9"/>
    <n v="16"/>
    <n v="2026"/>
    <x v="1"/>
    <s v="Q3"/>
    <x v="1"/>
  </r>
  <r>
    <s v="O108542"/>
    <x v="349"/>
    <x v="3"/>
    <x v="2"/>
    <x v="0"/>
    <x v="1"/>
    <n v="5"/>
    <n v="1549229"/>
    <d v="2026-03-06T00:00:00"/>
    <n v="3"/>
    <n v="6"/>
    <n v="2026"/>
    <x v="5"/>
    <s v="Q1"/>
    <x v="0"/>
  </r>
  <r>
    <s v="O109691"/>
    <x v="773"/>
    <x v="5"/>
    <x v="3"/>
    <x v="1"/>
    <x v="1"/>
    <n v="7"/>
    <n v="1548449"/>
    <d v="2026-12-08T00:00:00"/>
    <n v="12"/>
    <n v="8"/>
    <n v="2026"/>
    <x v="7"/>
    <s v="Q4"/>
    <x v="1"/>
  </r>
  <r>
    <s v="O108499"/>
    <x v="380"/>
    <x v="5"/>
    <x v="0"/>
    <x v="4"/>
    <x v="3"/>
    <n v="3"/>
    <n v="1547679"/>
    <d v="2026-01-06T00:00:00"/>
    <n v="1"/>
    <n v="6"/>
    <n v="2026"/>
    <x v="6"/>
    <s v="Q1"/>
    <x v="4"/>
  </r>
  <r>
    <s v="O101477"/>
    <x v="450"/>
    <x v="0"/>
    <x v="4"/>
    <x v="2"/>
    <x v="0"/>
    <n v="7"/>
    <n v="1547656"/>
    <d v="2025-03-31T00:00:00"/>
    <n v="3"/>
    <n v="31"/>
    <n v="2025"/>
    <x v="5"/>
    <s v="Q1"/>
    <x v="2"/>
  </r>
  <r>
    <s v="O101016"/>
    <x v="711"/>
    <x v="5"/>
    <x v="3"/>
    <x v="3"/>
    <x v="0"/>
    <n v="8"/>
    <n v="1547420"/>
    <d v="2025-03-03T00:00:00"/>
    <n v="3"/>
    <n v="3"/>
    <n v="2025"/>
    <x v="5"/>
    <s v="Q1"/>
    <x v="3"/>
  </r>
  <r>
    <s v="O105192"/>
    <x v="791"/>
    <x v="8"/>
    <x v="4"/>
    <x v="1"/>
    <x v="3"/>
    <n v="10"/>
    <n v="1547261"/>
    <d v="2025-12-11T00:00:00"/>
    <n v="12"/>
    <n v="11"/>
    <n v="2025"/>
    <x v="7"/>
    <s v="Q4"/>
    <x v="1"/>
  </r>
  <r>
    <s v="O101105"/>
    <x v="599"/>
    <x v="8"/>
    <x v="3"/>
    <x v="2"/>
    <x v="3"/>
    <n v="9"/>
    <n v="1546768"/>
    <d v="2025-09-03T00:00:00"/>
    <n v="9"/>
    <n v="3"/>
    <n v="2025"/>
    <x v="1"/>
    <s v="Q3"/>
    <x v="2"/>
  </r>
  <r>
    <s v="O111413"/>
    <x v="723"/>
    <x v="9"/>
    <x v="0"/>
    <x v="2"/>
    <x v="3"/>
    <n v="4"/>
    <n v="1546397"/>
    <d v="2026-11-25T00:00:00"/>
    <n v="11"/>
    <n v="25"/>
    <n v="2026"/>
    <x v="0"/>
    <s v="Q4"/>
    <x v="2"/>
  </r>
  <r>
    <s v="O108846"/>
    <x v="98"/>
    <x v="3"/>
    <x v="4"/>
    <x v="3"/>
    <x v="3"/>
    <n v="7"/>
    <n v="1546348"/>
    <d v="2026-06-22T00:00:00"/>
    <n v="6"/>
    <n v="22"/>
    <n v="2026"/>
    <x v="2"/>
    <s v="Q2"/>
    <x v="3"/>
  </r>
  <r>
    <s v="O104342"/>
    <x v="243"/>
    <x v="5"/>
    <x v="0"/>
    <x v="3"/>
    <x v="0"/>
    <n v="3"/>
    <n v="1546312"/>
    <d v="2025-09-21T00:00:00"/>
    <n v="9"/>
    <n v="21"/>
    <n v="2025"/>
    <x v="1"/>
    <s v="Q3"/>
    <x v="3"/>
  </r>
  <r>
    <s v="O100901"/>
    <x v="241"/>
    <x v="6"/>
    <x v="0"/>
    <x v="3"/>
    <x v="0"/>
    <n v="4"/>
    <n v="1545700"/>
    <d v="2025-02-24T00:00:00"/>
    <n v="2"/>
    <n v="24"/>
    <n v="2025"/>
    <x v="4"/>
    <s v="Q1"/>
    <x v="3"/>
  </r>
  <r>
    <s v="O100842"/>
    <x v="753"/>
    <x v="10"/>
    <x v="2"/>
    <x v="2"/>
    <x v="3"/>
    <n v="5"/>
    <n v="1545691"/>
    <d v="2025-02-21T00:00:00"/>
    <n v="2"/>
    <n v="21"/>
    <n v="2025"/>
    <x v="4"/>
    <s v="Q1"/>
    <x v="2"/>
  </r>
  <r>
    <s v="O108028"/>
    <x v="741"/>
    <x v="0"/>
    <x v="0"/>
    <x v="2"/>
    <x v="3"/>
    <n v="4"/>
    <n v="1545676"/>
    <d v="2026-03-05T00:00:00"/>
    <n v="3"/>
    <n v="5"/>
    <n v="2026"/>
    <x v="5"/>
    <s v="Q1"/>
    <x v="2"/>
  </r>
  <r>
    <s v="O109851"/>
    <x v="407"/>
    <x v="6"/>
    <x v="2"/>
    <x v="3"/>
    <x v="2"/>
    <n v="5"/>
    <n v="1544817"/>
    <d v="2026-08-22T00:00:00"/>
    <n v="8"/>
    <n v="22"/>
    <n v="2026"/>
    <x v="8"/>
    <s v="Q3"/>
    <x v="3"/>
  </r>
  <r>
    <s v="O103915"/>
    <x v="179"/>
    <x v="8"/>
    <x v="3"/>
    <x v="4"/>
    <x v="0"/>
    <n v="9"/>
    <n v="1544762"/>
    <d v="2025-08-26T00:00:00"/>
    <n v="8"/>
    <n v="26"/>
    <n v="2025"/>
    <x v="8"/>
    <s v="Q3"/>
    <x v="4"/>
  </r>
  <r>
    <s v="O101815"/>
    <x v="0"/>
    <x v="0"/>
    <x v="0"/>
    <x v="3"/>
    <x v="3"/>
    <n v="4"/>
    <n v="1544372"/>
    <d v="2025-04-21T00:00:00"/>
    <n v="4"/>
    <n v="21"/>
    <n v="2025"/>
    <x v="11"/>
    <s v="Q2"/>
    <x v="3"/>
  </r>
  <r>
    <s v="O111168"/>
    <x v="350"/>
    <x v="10"/>
    <x v="0"/>
    <x v="2"/>
    <x v="0"/>
    <n v="3"/>
    <n v="1543291"/>
    <d v="2026-10-11T00:00:00"/>
    <n v="10"/>
    <n v="11"/>
    <n v="2026"/>
    <x v="9"/>
    <s v="Q4"/>
    <x v="2"/>
  </r>
  <r>
    <s v="O108528"/>
    <x v="136"/>
    <x v="0"/>
    <x v="4"/>
    <x v="2"/>
    <x v="0"/>
    <n v="9"/>
    <n v="1542217"/>
    <d v="2026-03-06T00:00:00"/>
    <n v="3"/>
    <n v="6"/>
    <n v="2026"/>
    <x v="5"/>
    <s v="Q1"/>
    <x v="2"/>
  </r>
  <r>
    <s v="O106161"/>
    <x v="176"/>
    <x v="8"/>
    <x v="0"/>
    <x v="1"/>
    <x v="3"/>
    <n v="3"/>
    <n v="1542137"/>
    <d v="2026-10-01T00:00:00"/>
    <n v="10"/>
    <n v="1"/>
    <n v="2026"/>
    <x v="9"/>
    <s v="Q4"/>
    <x v="1"/>
  </r>
  <r>
    <s v="O111834"/>
    <x v="11"/>
    <x v="6"/>
    <x v="3"/>
    <x v="4"/>
    <x v="3"/>
    <n v="7"/>
    <n v="1541925"/>
    <d v="2026-12-20T00:00:00"/>
    <n v="12"/>
    <n v="20"/>
    <n v="2026"/>
    <x v="7"/>
    <s v="Q4"/>
    <x v="4"/>
  </r>
  <r>
    <s v="O100162"/>
    <x v="476"/>
    <x v="1"/>
    <x v="2"/>
    <x v="0"/>
    <x v="2"/>
    <n v="5"/>
    <n v="1541510"/>
    <d v="2025-10-01T00:00:00"/>
    <n v="10"/>
    <n v="1"/>
    <n v="2025"/>
    <x v="9"/>
    <s v="Q4"/>
    <x v="0"/>
  </r>
  <r>
    <s v="O104986"/>
    <x v="31"/>
    <x v="8"/>
    <x v="0"/>
    <x v="3"/>
    <x v="0"/>
    <n v="3"/>
    <n v="1541442"/>
    <d v="2025-10-30T00:00:00"/>
    <n v="10"/>
    <n v="30"/>
    <n v="2025"/>
    <x v="9"/>
    <s v="Q4"/>
    <x v="3"/>
  </r>
  <r>
    <s v="O109298"/>
    <x v="405"/>
    <x v="1"/>
    <x v="4"/>
    <x v="4"/>
    <x v="0"/>
    <n v="9"/>
    <n v="1540631"/>
    <d v="2026-07-19T00:00:00"/>
    <n v="7"/>
    <n v="19"/>
    <n v="2026"/>
    <x v="10"/>
    <s v="Q3"/>
    <x v="4"/>
  </r>
  <r>
    <s v="O104530"/>
    <x v="37"/>
    <x v="9"/>
    <x v="0"/>
    <x v="0"/>
    <x v="2"/>
    <n v="3"/>
    <n v="1539459"/>
    <d v="2025-03-10T00:00:00"/>
    <n v="3"/>
    <n v="10"/>
    <n v="2025"/>
    <x v="5"/>
    <s v="Q1"/>
    <x v="0"/>
  </r>
  <r>
    <s v="O104925"/>
    <x v="583"/>
    <x v="10"/>
    <x v="0"/>
    <x v="3"/>
    <x v="3"/>
    <n v="4"/>
    <n v="1539289"/>
    <d v="2025-10-27T00:00:00"/>
    <n v="10"/>
    <n v="27"/>
    <n v="2025"/>
    <x v="9"/>
    <s v="Q4"/>
    <x v="3"/>
  </r>
  <r>
    <s v="O103220"/>
    <x v="466"/>
    <x v="5"/>
    <x v="4"/>
    <x v="3"/>
    <x v="3"/>
    <n v="9"/>
    <n v="1538749"/>
    <d v="2025-07-15T00:00:00"/>
    <n v="7"/>
    <n v="15"/>
    <n v="2025"/>
    <x v="10"/>
    <s v="Q3"/>
    <x v="3"/>
  </r>
  <r>
    <s v="O109140"/>
    <x v="159"/>
    <x v="10"/>
    <x v="2"/>
    <x v="1"/>
    <x v="3"/>
    <n v="6"/>
    <n v="1538171"/>
    <d v="2026-10-07T00:00:00"/>
    <n v="10"/>
    <n v="7"/>
    <n v="2026"/>
    <x v="9"/>
    <s v="Q4"/>
    <x v="1"/>
  </r>
  <r>
    <s v="O105686"/>
    <x v="35"/>
    <x v="8"/>
    <x v="4"/>
    <x v="4"/>
    <x v="1"/>
    <n v="10"/>
    <n v="1537928"/>
    <d v="2025-12-12T00:00:00"/>
    <n v="12"/>
    <n v="12"/>
    <n v="2025"/>
    <x v="7"/>
    <s v="Q4"/>
    <x v="4"/>
  </r>
  <r>
    <s v="O101935"/>
    <x v="270"/>
    <x v="5"/>
    <x v="2"/>
    <x v="3"/>
    <x v="1"/>
    <n v="5"/>
    <n v="1537310"/>
    <d v="2025-04-28T00:00:00"/>
    <n v="4"/>
    <n v="28"/>
    <n v="2025"/>
    <x v="11"/>
    <s v="Q2"/>
    <x v="3"/>
  </r>
  <r>
    <s v="O104250"/>
    <x v="372"/>
    <x v="5"/>
    <x v="3"/>
    <x v="4"/>
    <x v="1"/>
    <n v="6"/>
    <n v="1537290"/>
    <d v="2025-09-16T00:00:00"/>
    <n v="9"/>
    <n v="16"/>
    <n v="2025"/>
    <x v="1"/>
    <s v="Q3"/>
    <x v="4"/>
  </r>
  <r>
    <s v="O109425"/>
    <x v="360"/>
    <x v="4"/>
    <x v="3"/>
    <x v="4"/>
    <x v="2"/>
    <n v="8"/>
    <n v="1537185"/>
    <d v="2026-07-27T00:00:00"/>
    <n v="7"/>
    <n v="27"/>
    <n v="2026"/>
    <x v="10"/>
    <s v="Q3"/>
    <x v="4"/>
  </r>
  <r>
    <s v="O101522"/>
    <x v="670"/>
    <x v="10"/>
    <x v="3"/>
    <x v="4"/>
    <x v="3"/>
    <n v="7"/>
    <n v="1537184"/>
    <d v="2025-03-04T00:00:00"/>
    <n v="3"/>
    <n v="4"/>
    <n v="2025"/>
    <x v="5"/>
    <s v="Q1"/>
    <x v="4"/>
  </r>
  <r>
    <s v="O106456"/>
    <x v="707"/>
    <x v="4"/>
    <x v="0"/>
    <x v="3"/>
    <x v="1"/>
    <n v="3"/>
    <n v="1536203"/>
    <d v="2026-01-28T00:00:00"/>
    <n v="1"/>
    <n v="28"/>
    <n v="2026"/>
    <x v="6"/>
    <s v="Q1"/>
    <x v="3"/>
  </r>
  <r>
    <s v="O111861"/>
    <x v="747"/>
    <x v="10"/>
    <x v="3"/>
    <x v="1"/>
    <x v="1"/>
    <n v="6"/>
    <n v="1536080"/>
    <d v="2026-12-22T00:00:00"/>
    <n v="12"/>
    <n v="22"/>
    <n v="2026"/>
    <x v="7"/>
    <m/>
    <x v="1"/>
  </r>
  <r>
    <s v="O111092"/>
    <x v="141"/>
    <x v="4"/>
    <x v="4"/>
    <x v="3"/>
    <x v="1"/>
    <n v="7"/>
    <n v="1534684"/>
    <d v="2026-05-11T00:00:00"/>
    <n v="5"/>
    <n v="11"/>
    <n v="2026"/>
    <x v="3"/>
    <s v="Q2"/>
    <x v="3"/>
  </r>
  <r>
    <s v="O110649"/>
    <x v="562"/>
    <x v="3"/>
    <x v="3"/>
    <x v="4"/>
    <x v="1"/>
    <n v="7"/>
    <n v="1532710"/>
    <d v="2026-09-10T00:00:00"/>
    <n v="9"/>
    <n v="10"/>
    <n v="2026"/>
    <x v="1"/>
    <s v="Q3"/>
    <x v="4"/>
  </r>
  <r>
    <s v="O111472"/>
    <x v="670"/>
    <x v="5"/>
    <x v="0"/>
    <x v="2"/>
    <x v="0"/>
    <n v="4"/>
    <n v="1532428"/>
    <d v="2026-11-28T00:00:00"/>
    <n v="11"/>
    <n v="28"/>
    <n v="2026"/>
    <x v="0"/>
    <s v="Q4"/>
    <x v="2"/>
  </r>
  <r>
    <s v="O109969"/>
    <x v="706"/>
    <x v="0"/>
    <x v="4"/>
    <x v="4"/>
    <x v="1"/>
    <n v="8"/>
    <n v="1532198"/>
    <d v="2026-08-29T00:00:00"/>
    <n v="8"/>
    <n v="29"/>
    <n v="2026"/>
    <x v="8"/>
    <s v="Q3"/>
    <x v="4"/>
  </r>
  <r>
    <s v="O110887"/>
    <x v="96"/>
    <x v="8"/>
    <x v="0"/>
    <x v="3"/>
    <x v="0"/>
    <n v="4"/>
    <n v="1531894"/>
    <d v="2026-10-24T00:00:00"/>
    <n v="10"/>
    <n v="24"/>
    <n v="2026"/>
    <x v="9"/>
    <s v="Q4"/>
    <x v="3"/>
  </r>
  <r>
    <s v="O105009"/>
    <x v="512"/>
    <x v="0"/>
    <x v="0"/>
    <x v="0"/>
    <x v="0"/>
    <n v="4"/>
    <n v="1531736"/>
    <d v="2025-01-11T00:00:00"/>
    <n v="1"/>
    <n v="11"/>
    <n v="2025"/>
    <x v="6"/>
    <s v="Q1"/>
    <x v="0"/>
  </r>
  <r>
    <s v="O105485"/>
    <x v="266"/>
    <x v="10"/>
    <x v="4"/>
    <x v="0"/>
    <x v="0"/>
    <n v="8"/>
    <n v="1531682"/>
    <d v="2025-11-30T00:00:00"/>
    <n v="11"/>
    <n v="30"/>
    <n v="2025"/>
    <x v="0"/>
    <s v="Q4"/>
    <x v="0"/>
  </r>
  <r>
    <s v="O102844"/>
    <x v="495"/>
    <x v="2"/>
    <x v="3"/>
    <x v="4"/>
    <x v="0"/>
    <n v="6"/>
    <n v="1531355"/>
    <d v="2025-06-22T00:00:00"/>
    <n v="6"/>
    <n v="22"/>
    <n v="2025"/>
    <x v="2"/>
    <s v="Q2"/>
    <x v="4"/>
  </r>
  <r>
    <s v="O106216"/>
    <x v="467"/>
    <x v="5"/>
    <x v="4"/>
    <x v="1"/>
    <x v="2"/>
    <n v="7"/>
    <n v="1531272"/>
    <d v="2026-01-13T00:00:00"/>
    <n v="1"/>
    <n v="13"/>
    <n v="2026"/>
    <x v="6"/>
    <m/>
    <x v="1"/>
  </r>
  <r>
    <s v="O106995"/>
    <x v="618"/>
    <x v="1"/>
    <x v="3"/>
    <x v="2"/>
    <x v="2"/>
    <n v="8"/>
    <n v="1530279"/>
    <d v="2026-01-03T00:00:00"/>
    <n v="1"/>
    <n v="3"/>
    <n v="2026"/>
    <x v="6"/>
    <s v="Q1"/>
    <x v="2"/>
  </r>
  <r>
    <s v="O100559"/>
    <x v="215"/>
    <x v="6"/>
    <x v="4"/>
    <x v="1"/>
    <x v="0"/>
    <n v="9"/>
    <n v="1530048"/>
    <d v="2025-03-02T00:00:00"/>
    <n v="3"/>
    <n v="2"/>
    <n v="2025"/>
    <x v="5"/>
    <s v="Q1"/>
    <x v="1"/>
  </r>
  <r>
    <s v="O100859"/>
    <x v="540"/>
    <x v="6"/>
    <x v="2"/>
    <x v="2"/>
    <x v="1"/>
    <n v="6"/>
    <n v="1528782"/>
    <d v="2025-02-22T00:00:00"/>
    <n v="2"/>
    <n v="22"/>
    <n v="2025"/>
    <x v="4"/>
    <s v="Q1"/>
    <x v="2"/>
  </r>
  <r>
    <s v="O110958"/>
    <x v="517"/>
    <x v="0"/>
    <x v="4"/>
    <x v="2"/>
    <x v="2"/>
    <n v="8"/>
    <n v="1527472"/>
    <d v="2026-10-28T00:00:00"/>
    <n v="10"/>
    <n v="28"/>
    <n v="2026"/>
    <x v="9"/>
    <s v="Q4"/>
    <x v="2"/>
  </r>
  <r>
    <s v="O101902"/>
    <x v="413"/>
    <x v="4"/>
    <x v="0"/>
    <x v="4"/>
    <x v="1"/>
    <n v="4"/>
    <n v="1527266"/>
    <d v="2025-04-26T00:00:00"/>
    <n v="4"/>
    <n v="26"/>
    <n v="2025"/>
    <x v="11"/>
    <s v="Q2"/>
    <x v="4"/>
  </r>
  <r>
    <s v="O103539"/>
    <x v="177"/>
    <x v="9"/>
    <x v="2"/>
    <x v="0"/>
    <x v="2"/>
    <n v="5"/>
    <n v="1526217"/>
    <d v="2025-03-08T00:00:00"/>
    <n v="3"/>
    <n v="8"/>
    <n v="2025"/>
    <x v="5"/>
    <s v="Q1"/>
    <x v="0"/>
  </r>
  <r>
    <s v="O107146"/>
    <x v="69"/>
    <x v="9"/>
    <x v="4"/>
    <x v="0"/>
    <x v="3"/>
    <n v="10"/>
    <n v="1526130"/>
    <d v="2026-11-03T00:00:00"/>
    <n v="11"/>
    <n v="3"/>
    <n v="2026"/>
    <x v="0"/>
    <s v="Q4"/>
    <x v="0"/>
  </r>
  <r>
    <s v="O107185"/>
    <x v="506"/>
    <x v="8"/>
    <x v="0"/>
    <x v="3"/>
    <x v="3"/>
    <n v="4"/>
    <n v="1525006"/>
    <d v="2026-03-13T00:00:00"/>
    <n v="3"/>
    <n v="13"/>
    <n v="2026"/>
    <x v="5"/>
    <s v="Q1"/>
    <x v="3"/>
  </r>
  <r>
    <s v="O109128"/>
    <x v="747"/>
    <x v="0"/>
    <x v="2"/>
    <x v="3"/>
    <x v="3"/>
    <n v="5"/>
    <n v="1524894"/>
    <d v="2026-09-07T00:00:00"/>
    <n v="9"/>
    <n v="7"/>
    <n v="2026"/>
    <x v="1"/>
    <m/>
    <x v="3"/>
  </r>
  <r>
    <s v="O103077"/>
    <x v="758"/>
    <x v="6"/>
    <x v="3"/>
    <x v="0"/>
    <x v="2"/>
    <n v="9"/>
    <n v="1524458"/>
    <d v="2025-06-07T00:00:00"/>
    <n v="6"/>
    <n v="7"/>
    <n v="2025"/>
    <x v="2"/>
    <s v="Q2"/>
    <x v="0"/>
  </r>
  <r>
    <s v="O104897"/>
    <x v="648"/>
    <x v="3"/>
    <x v="0"/>
    <x v="3"/>
    <x v="3"/>
    <n v="4"/>
    <n v="1524413"/>
    <d v="2025-10-25T00:00:00"/>
    <n v="10"/>
    <n v="25"/>
    <n v="2025"/>
    <x v="9"/>
    <s v="Q4"/>
    <x v="3"/>
  </r>
  <r>
    <s v="O103376"/>
    <x v="552"/>
    <x v="1"/>
    <x v="4"/>
    <x v="3"/>
    <x v="3"/>
    <n v="9"/>
    <n v="1524300"/>
    <d v="2025-07-25T00:00:00"/>
    <n v="7"/>
    <n v="25"/>
    <n v="2025"/>
    <x v="10"/>
    <s v="Q3"/>
    <x v="3"/>
  </r>
  <r>
    <s v="O109477"/>
    <x v="342"/>
    <x v="2"/>
    <x v="3"/>
    <x v="1"/>
    <x v="3"/>
    <n v="7"/>
    <n v="1522793"/>
    <d v="2026-07-30T00:00:00"/>
    <n v="7"/>
    <n v="30"/>
    <n v="2026"/>
    <x v="10"/>
    <s v="Q3"/>
    <x v="1"/>
  </r>
  <r>
    <s v="O102039"/>
    <x v="498"/>
    <x v="9"/>
    <x v="0"/>
    <x v="3"/>
    <x v="0"/>
    <n v="4"/>
    <n v="1522409"/>
    <d v="2025-04-05T00:00:00"/>
    <n v="4"/>
    <n v="5"/>
    <n v="2025"/>
    <x v="11"/>
    <s v="Q2"/>
    <x v="3"/>
  </r>
  <r>
    <s v="O108113"/>
    <x v="625"/>
    <x v="0"/>
    <x v="3"/>
    <x v="0"/>
    <x v="0"/>
    <n v="6"/>
    <n v="1522212"/>
    <d v="2026-08-05T00:00:00"/>
    <n v="8"/>
    <n v="5"/>
    <n v="2026"/>
    <x v="8"/>
    <s v="Q3"/>
    <x v="0"/>
  </r>
  <r>
    <s v="O111164"/>
    <x v="397"/>
    <x v="10"/>
    <x v="4"/>
    <x v="3"/>
    <x v="0"/>
    <n v="10"/>
    <n v="1521649"/>
    <d v="2026-10-11T00:00:00"/>
    <n v="10"/>
    <n v="11"/>
    <n v="2026"/>
    <x v="9"/>
    <s v="Q4"/>
    <x v="3"/>
  </r>
  <r>
    <s v="O107563"/>
    <x v="114"/>
    <x v="2"/>
    <x v="0"/>
    <x v="4"/>
    <x v="2"/>
    <n v="3"/>
    <n v="1521131"/>
    <d v="2026-05-04T00:00:00"/>
    <n v="5"/>
    <n v="4"/>
    <n v="2026"/>
    <x v="3"/>
    <s v="Q2"/>
    <x v="4"/>
  </r>
  <r>
    <s v="O106685"/>
    <x v="249"/>
    <x v="8"/>
    <x v="4"/>
    <x v="3"/>
    <x v="1"/>
    <n v="9"/>
    <n v="1520842"/>
    <d v="2026-11-02T00:00:00"/>
    <n v="11"/>
    <n v="2"/>
    <n v="2026"/>
    <x v="0"/>
    <s v="Q4"/>
    <x v="3"/>
  </r>
  <r>
    <s v="O104481"/>
    <x v="24"/>
    <x v="4"/>
    <x v="0"/>
    <x v="2"/>
    <x v="0"/>
    <n v="3"/>
    <n v="1520460"/>
    <d v="2025-09-30T00:00:00"/>
    <n v="9"/>
    <n v="30"/>
    <n v="2025"/>
    <x v="1"/>
    <s v="Q3"/>
    <x v="2"/>
  </r>
  <r>
    <s v="O101099"/>
    <x v="479"/>
    <x v="8"/>
    <x v="4"/>
    <x v="3"/>
    <x v="2"/>
    <n v="10"/>
    <n v="1519999"/>
    <d v="2025-08-03T00:00:00"/>
    <n v="8"/>
    <n v="3"/>
    <n v="2025"/>
    <x v="8"/>
    <s v="Q3"/>
    <x v="3"/>
  </r>
  <r>
    <s v="O110596"/>
    <x v="109"/>
    <x v="10"/>
    <x v="4"/>
    <x v="2"/>
    <x v="2"/>
    <n v="7"/>
    <n v="1519932"/>
    <d v="2026-06-10T00:00:00"/>
    <n v="6"/>
    <n v="10"/>
    <n v="2026"/>
    <x v="2"/>
    <s v="Q2"/>
    <x v="2"/>
  </r>
  <r>
    <s v="O103266"/>
    <x v="792"/>
    <x v="8"/>
    <x v="0"/>
    <x v="0"/>
    <x v="0"/>
    <n v="3"/>
    <n v="1519293"/>
    <d v="2025-07-18T00:00:00"/>
    <n v="7"/>
    <n v="18"/>
    <n v="2025"/>
    <x v="10"/>
    <s v="Q3"/>
    <x v="0"/>
  </r>
  <r>
    <s v="O100003"/>
    <x v="231"/>
    <x v="9"/>
    <x v="4"/>
    <x v="0"/>
    <x v="2"/>
    <n v="9"/>
    <n v="1519118"/>
    <d v="2025-01-01T00:00:00"/>
    <n v="1"/>
    <n v="1"/>
    <n v="2025"/>
    <x v="6"/>
    <s v="Q1"/>
    <x v="0"/>
  </r>
  <r>
    <s v="O104197"/>
    <x v="518"/>
    <x v="3"/>
    <x v="0"/>
    <x v="3"/>
    <x v="1"/>
    <n v="3"/>
    <n v="1518000"/>
    <d v="2025-12-09T00:00:00"/>
    <n v="12"/>
    <n v="9"/>
    <n v="2025"/>
    <x v="7"/>
    <s v="Q4"/>
    <x v="3"/>
  </r>
  <r>
    <s v="O101679"/>
    <x v="157"/>
    <x v="2"/>
    <x v="0"/>
    <x v="3"/>
    <x v="3"/>
    <n v="3"/>
    <n v="1517657"/>
    <d v="2025-12-04T00:00:00"/>
    <n v="12"/>
    <n v="4"/>
    <n v="2025"/>
    <x v="7"/>
    <s v="Q4"/>
    <x v="3"/>
  </r>
  <r>
    <s v="O105924"/>
    <x v="119"/>
    <x v="6"/>
    <x v="2"/>
    <x v="3"/>
    <x v="0"/>
    <n v="6"/>
    <n v="1517640"/>
    <d v="2025-12-26T00:00:00"/>
    <n v="12"/>
    <n v="26"/>
    <n v="2025"/>
    <x v="7"/>
    <s v="Q4"/>
    <x v="3"/>
  </r>
  <r>
    <s v="O103432"/>
    <x v="554"/>
    <x v="6"/>
    <x v="3"/>
    <x v="0"/>
    <x v="0"/>
    <n v="6"/>
    <n v="1517477"/>
    <d v="2025-07-28T00:00:00"/>
    <n v="7"/>
    <n v="28"/>
    <n v="2025"/>
    <x v="10"/>
    <s v="Q3"/>
    <x v="0"/>
  </r>
  <r>
    <s v="O104037"/>
    <x v="610"/>
    <x v="1"/>
    <x v="3"/>
    <x v="4"/>
    <x v="2"/>
    <n v="7"/>
    <n v="1515690"/>
    <d v="2025-03-09T00:00:00"/>
    <n v="3"/>
    <n v="9"/>
    <n v="2025"/>
    <x v="5"/>
    <s v="Q1"/>
    <x v="4"/>
  </r>
  <r>
    <s v="O106870"/>
    <x v="654"/>
    <x v="8"/>
    <x v="3"/>
    <x v="0"/>
    <x v="0"/>
    <n v="7"/>
    <n v="1515466"/>
    <d v="2026-02-22T00:00:00"/>
    <n v="2"/>
    <n v="22"/>
    <n v="2026"/>
    <x v="4"/>
    <s v="Q1"/>
    <x v="0"/>
  </r>
  <r>
    <s v="O105084"/>
    <x v="430"/>
    <x v="8"/>
    <x v="0"/>
    <x v="4"/>
    <x v="3"/>
    <n v="3"/>
    <n v="1515142"/>
    <d v="2025-05-11T00:00:00"/>
    <n v="5"/>
    <n v="11"/>
    <n v="2025"/>
    <x v="3"/>
    <s v="Q2"/>
    <x v="4"/>
  </r>
  <r>
    <s v="O107490"/>
    <x v="20"/>
    <x v="5"/>
    <x v="4"/>
    <x v="4"/>
    <x v="3"/>
    <n v="7"/>
    <n v="1515074"/>
    <d v="2026-03-31T00:00:00"/>
    <n v="3"/>
    <n v="31"/>
    <n v="2026"/>
    <x v="5"/>
    <s v="Q1"/>
    <x v="4"/>
  </r>
  <r>
    <s v="O108604"/>
    <x v="125"/>
    <x v="3"/>
    <x v="0"/>
    <x v="3"/>
    <x v="0"/>
    <n v="3"/>
    <n v="1514822"/>
    <d v="2026-07-06T00:00:00"/>
    <n v="7"/>
    <n v="6"/>
    <n v="2026"/>
    <x v="10"/>
    <s v="Q3"/>
    <x v="3"/>
  </r>
  <r>
    <s v="O110713"/>
    <x v="714"/>
    <x v="6"/>
    <x v="3"/>
    <x v="3"/>
    <x v="3"/>
    <n v="8"/>
    <n v="1514602"/>
    <d v="2026-10-13T00:00:00"/>
    <n v="10"/>
    <n v="13"/>
    <n v="2026"/>
    <x v="9"/>
    <s v="Q4"/>
    <x v="3"/>
  </r>
  <r>
    <s v="O110766"/>
    <x v="618"/>
    <x v="0"/>
    <x v="2"/>
    <x v="1"/>
    <x v="2"/>
    <n v="6"/>
    <n v="1514186"/>
    <d v="2026-10-17T00:00:00"/>
    <n v="10"/>
    <n v="17"/>
    <n v="2026"/>
    <x v="9"/>
    <s v="Q4"/>
    <x v="1"/>
  </r>
  <r>
    <s v="O111585"/>
    <x v="519"/>
    <x v="4"/>
    <x v="2"/>
    <x v="4"/>
    <x v="3"/>
    <n v="6"/>
    <n v="1512991"/>
    <d v="2026-05-12T00:00:00"/>
    <n v="5"/>
    <n v="12"/>
    <n v="2026"/>
    <x v="3"/>
    <s v="Q2"/>
    <x v="4"/>
  </r>
  <r>
    <s v="O104729"/>
    <x v="474"/>
    <x v="4"/>
    <x v="4"/>
    <x v="4"/>
    <x v="2"/>
    <n v="9"/>
    <n v="1512908"/>
    <d v="2025-10-15T00:00:00"/>
    <n v="10"/>
    <n v="15"/>
    <n v="2025"/>
    <x v="9"/>
    <s v="Q4"/>
    <x v="4"/>
  </r>
  <r>
    <s v="O107831"/>
    <x v="713"/>
    <x v="1"/>
    <x v="0"/>
    <x v="1"/>
    <x v="3"/>
    <n v="3"/>
    <n v="1512793"/>
    <d v="2026-04-21T00:00:00"/>
    <n v="4"/>
    <n v="21"/>
    <n v="2026"/>
    <x v="11"/>
    <s v="Q2"/>
    <x v="1"/>
  </r>
  <r>
    <s v="O103619"/>
    <x v="704"/>
    <x v="5"/>
    <x v="4"/>
    <x v="4"/>
    <x v="1"/>
    <n v="9"/>
    <n v="1512209"/>
    <d v="2025-08-08T00:00:00"/>
    <n v="8"/>
    <n v="8"/>
    <n v="2025"/>
    <x v="8"/>
    <s v="Q3"/>
    <x v="4"/>
  </r>
  <r>
    <s v="O106105"/>
    <x v="300"/>
    <x v="5"/>
    <x v="0"/>
    <x v="4"/>
    <x v="2"/>
    <n v="4"/>
    <n v="1511783"/>
    <d v="2026-06-01T00:00:00"/>
    <n v="6"/>
    <n v="1"/>
    <n v="2026"/>
    <x v="2"/>
    <s v="Q2"/>
    <x v="4"/>
  </r>
  <r>
    <s v="O104700"/>
    <x v="689"/>
    <x v="3"/>
    <x v="3"/>
    <x v="1"/>
    <x v="1"/>
    <n v="7"/>
    <n v="1511521"/>
    <d v="2025-10-13T00:00:00"/>
    <n v="10"/>
    <n v="13"/>
    <n v="2025"/>
    <x v="9"/>
    <s v="Q4"/>
    <x v="1"/>
  </r>
  <r>
    <s v="O104863"/>
    <x v="674"/>
    <x v="2"/>
    <x v="0"/>
    <x v="3"/>
    <x v="2"/>
    <n v="3"/>
    <n v="1510704"/>
    <d v="2025-10-23T00:00:00"/>
    <n v="10"/>
    <n v="23"/>
    <n v="2025"/>
    <x v="9"/>
    <s v="Q4"/>
    <x v="3"/>
  </r>
  <r>
    <s v="O109725"/>
    <x v="292"/>
    <x v="2"/>
    <x v="0"/>
    <x v="3"/>
    <x v="1"/>
    <n v="3"/>
    <n v="1509559"/>
    <d v="2026-08-14T00:00:00"/>
    <n v="8"/>
    <n v="14"/>
    <n v="2026"/>
    <x v="8"/>
    <s v="Q3"/>
    <x v="3"/>
  </r>
  <r>
    <s v="O105302"/>
    <x v="397"/>
    <x v="1"/>
    <x v="0"/>
    <x v="0"/>
    <x v="2"/>
    <n v="4"/>
    <n v="1508022"/>
    <d v="2025-11-19T00:00:00"/>
    <n v="11"/>
    <n v="19"/>
    <n v="2025"/>
    <x v="0"/>
    <s v="Q4"/>
    <x v="0"/>
  </r>
  <r>
    <s v="O101260"/>
    <x v="678"/>
    <x v="4"/>
    <x v="2"/>
    <x v="0"/>
    <x v="3"/>
    <n v="5"/>
    <n v="1507904"/>
    <d v="2025-03-18T00:00:00"/>
    <n v="3"/>
    <n v="18"/>
    <n v="2025"/>
    <x v="5"/>
    <s v="Q1"/>
    <x v="0"/>
  </r>
  <r>
    <s v="O110102"/>
    <x v="68"/>
    <x v="8"/>
    <x v="2"/>
    <x v="0"/>
    <x v="2"/>
    <n v="5"/>
    <n v="1507847"/>
    <d v="2026-06-09T00:00:00"/>
    <n v="6"/>
    <n v="9"/>
    <n v="2026"/>
    <x v="2"/>
    <s v="Q2"/>
    <x v="0"/>
  </r>
  <r>
    <s v="O103496"/>
    <x v="536"/>
    <x v="6"/>
    <x v="0"/>
    <x v="1"/>
    <x v="3"/>
    <n v="4"/>
    <n v="1506921"/>
    <d v="2025-01-08T00:00:00"/>
    <n v="1"/>
    <n v="8"/>
    <n v="2025"/>
    <x v="6"/>
    <s v="Q1"/>
    <x v="1"/>
  </r>
  <r>
    <s v="O103330"/>
    <x v="597"/>
    <x v="2"/>
    <x v="2"/>
    <x v="4"/>
    <x v="2"/>
    <n v="6"/>
    <n v="1506664"/>
    <d v="2025-07-22T00:00:00"/>
    <n v="7"/>
    <n v="22"/>
    <n v="2025"/>
    <x v="10"/>
    <s v="Q3"/>
    <x v="4"/>
  </r>
  <r>
    <s v="O107018"/>
    <x v="543"/>
    <x v="2"/>
    <x v="0"/>
    <x v="2"/>
    <x v="2"/>
    <n v="3"/>
    <n v="1506076"/>
    <d v="2026-03-03T00:00:00"/>
    <n v="3"/>
    <n v="3"/>
    <n v="2026"/>
    <x v="5"/>
    <s v="Q1"/>
    <x v="2"/>
  </r>
  <r>
    <s v="O109306"/>
    <x v="92"/>
    <x v="9"/>
    <x v="0"/>
    <x v="2"/>
    <x v="0"/>
    <n v="4"/>
    <n v="1505945"/>
    <d v="2026-07-20T00:00:00"/>
    <n v="7"/>
    <n v="20"/>
    <n v="2026"/>
    <x v="10"/>
    <s v="Q3"/>
    <x v="2"/>
  </r>
  <r>
    <s v="O105448"/>
    <x v="668"/>
    <x v="1"/>
    <x v="2"/>
    <x v="3"/>
    <x v="3"/>
    <n v="5"/>
    <n v="1505841"/>
    <d v="2025-11-27T00:00:00"/>
    <n v="11"/>
    <n v="27"/>
    <n v="2025"/>
    <x v="0"/>
    <s v="Q4"/>
    <x v="3"/>
  </r>
  <r>
    <s v="O101507"/>
    <x v="159"/>
    <x v="1"/>
    <x v="2"/>
    <x v="1"/>
    <x v="3"/>
    <n v="6"/>
    <n v="1505607"/>
    <d v="2025-02-04T00:00:00"/>
    <n v="2"/>
    <n v="4"/>
    <n v="2025"/>
    <x v="4"/>
    <s v="Q1"/>
    <x v="1"/>
  </r>
  <r>
    <s v="O101896"/>
    <x v="636"/>
    <x v="9"/>
    <x v="4"/>
    <x v="1"/>
    <x v="1"/>
    <n v="8"/>
    <n v="1505578"/>
    <d v="2025-04-26T00:00:00"/>
    <n v="4"/>
    <n v="26"/>
    <n v="2025"/>
    <x v="11"/>
    <s v="Q2"/>
    <x v="1"/>
  </r>
  <r>
    <s v="O105415"/>
    <x v="125"/>
    <x v="0"/>
    <x v="0"/>
    <x v="3"/>
    <x v="3"/>
    <n v="4"/>
    <n v="1505460"/>
    <d v="2025-11-25T00:00:00"/>
    <n v="11"/>
    <n v="25"/>
    <n v="2025"/>
    <x v="0"/>
    <s v="Q4"/>
    <x v="3"/>
  </r>
  <r>
    <s v="O108009"/>
    <x v="762"/>
    <x v="10"/>
    <x v="4"/>
    <x v="1"/>
    <x v="3"/>
    <n v="7"/>
    <n v="1505368"/>
    <d v="2026-02-05T00:00:00"/>
    <n v="2"/>
    <n v="5"/>
    <n v="2026"/>
    <x v="4"/>
    <s v="Q1"/>
    <x v="1"/>
  </r>
  <r>
    <s v="O101827"/>
    <x v="97"/>
    <x v="3"/>
    <x v="0"/>
    <x v="0"/>
    <x v="2"/>
    <n v="3"/>
    <n v="1505174"/>
    <d v="2025-04-21T00:00:00"/>
    <n v="4"/>
    <n v="21"/>
    <n v="2025"/>
    <x v="11"/>
    <s v="Q2"/>
    <x v="0"/>
  </r>
  <r>
    <s v="O111231"/>
    <x v="97"/>
    <x v="4"/>
    <x v="4"/>
    <x v="0"/>
    <x v="0"/>
    <n v="10"/>
    <n v="1504571"/>
    <d v="2026-11-14T00:00:00"/>
    <n v="11"/>
    <n v="14"/>
    <n v="2026"/>
    <x v="0"/>
    <s v="Q4"/>
    <x v="0"/>
  </r>
  <r>
    <s v="O106435"/>
    <x v="40"/>
    <x v="2"/>
    <x v="4"/>
    <x v="0"/>
    <x v="0"/>
    <n v="8"/>
    <n v="1504482"/>
    <d v="2026-01-26T00:00:00"/>
    <n v="1"/>
    <n v="26"/>
    <n v="2026"/>
    <x v="6"/>
    <s v="Q1"/>
    <x v="0"/>
  </r>
  <r>
    <s v="O104605"/>
    <x v="313"/>
    <x v="3"/>
    <x v="4"/>
    <x v="1"/>
    <x v="2"/>
    <n v="10"/>
    <n v="1503766"/>
    <d v="2025-07-10T00:00:00"/>
    <n v="7"/>
    <n v="10"/>
    <n v="2025"/>
    <x v="10"/>
    <s v="Q3"/>
    <x v="1"/>
  </r>
  <r>
    <s v="O103882"/>
    <x v="515"/>
    <x v="10"/>
    <x v="4"/>
    <x v="0"/>
    <x v="0"/>
    <n v="8"/>
    <n v="1503300"/>
    <d v="2025-08-24T00:00:00"/>
    <n v="8"/>
    <n v="24"/>
    <n v="2025"/>
    <x v="8"/>
    <s v="Q3"/>
    <x v="0"/>
  </r>
  <r>
    <s v="O104489"/>
    <x v="584"/>
    <x v="2"/>
    <x v="4"/>
    <x v="0"/>
    <x v="1"/>
    <n v="10"/>
    <n v="1503212"/>
    <d v="2025-09-30T00:00:00"/>
    <n v="9"/>
    <n v="30"/>
    <n v="2025"/>
    <x v="1"/>
    <s v="Q3"/>
    <x v="0"/>
  </r>
  <r>
    <s v="O102428"/>
    <x v="419"/>
    <x v="6"/>
    <x v="3"/>
    <x v="3"/>
    <x v="1"/>
    <n v="9"/>
    <n v="1502458"/>
    <d v="2025-05-28T00:00:00"/>
    <n v="5"/>
    <n v="28"/>
    <n v="2025"/>
    <x v="3"/>
    <s v="Q2"/>
    <x v="3"/>
  </r>
  <r>
    <s v="O105766"/>
    <x v="143"/>
    <x v="9"/>
    <x v="4"/>
    <x v="2"/>
    <x v="1"/>
    <n v="7"/>
    <n v="1501009"/>
    <d v="2025-12-17T00:00:00"/>
    <n v="12"/>
    <n v="17"/>
    <n v="2025"/>
    <x v="7"/>
    <s v="Q4"/>
    <x v="2"/>
  </r>
  <r>
    <s v="O104475"/>
    <x v="419"/>
    <x v="1"/>
    <x v="2"/>
    <x v="0"/>
    <x v="0"/>
    <n v="5"/>
    <n v="1500940"/>
    <d v="2025-09-29T00:00:00"/>
    <n v="9"/>
    <n v="29"/>
    <n v="2025"/>
    <x v="1"/>
    <s v="Q3"/>
    <x v="0"/>
  </r>
  <r>
    <s v="O101616"/>
    <x v="189"/>
    <x v="10"/>
    <x v="2"/>
    <x v="0"/>
    <x v="1"/>
    <n v="5"/>
    <n v="1500681"/>
    <d v="2025-09-04T00:00:00"/>
    <n v="9"/>
    <n v="4"/>
    <n v="2025"/>
    <x v="1"/>
    <s v="Q3"/>
    <x v="0"/>
  </r>
  <r>
    <s v="O109332"/>
    <x v="729"/>
    <x v="5"/>
    <x v="4"/>
    <x v="0"/>
    <x v="1"/>
    <n v="9"/>
    <n v="1500275"/>
    <d v="2026-07-21T00:00:00"/>
    <n v="7"/>
    <n v="21"/>
    <n v="2026"/>
    <x v="10"/>
    <s v="Q3"/>
    <x v="0"/>
  </r>
  <r>
    <s v="O110732"/>
    <x v="494"/>
    <x v="4"/>
    <x v="5"/>
    <x v="2"/>
    <x v="3"/>
    <n v="10"/>
    <n v="1499683"/>
    <d v="2026-10-14T00:00:00"/>
    <n v="10"/>
    <n v="14"/>
    <n v="2026"/>
    <x v="9"/>
    <s v="Q4"/>
    <x v="2"/>
  </r>
  <r>
    <s v="O106457"/>
    <x v="96"/>
    <x v="1"/>
    <x v="2"/>
    <x v="1"/>
    <x v="0"/>
    <n v="4"/>
    <n v="1499050"/>
    <d v="2026-01-28T00:00:00"/>
    <n v="1"/>
    <n v="28"/>
    <n v="2026"/>
    <x v="6"/>
    <s v="Q1"/>
    <x v="1"/>
  </r>
  <r>
    <s v="O105253"/>
    <x v="550"/>
    <x v="0"/>
    <x v="4"/>
    <x v="2"/>
    <x v="0"/>
    <n v="8"/>
    <n v="1498625"/>
    <d v="2025-11-16T00:00:00"/>
    <n v="11"/>
    <n v="16"/>
    <n v="2025"/>
    <x v="0"/>
    <s v="Q4"/>
    <x v="2"/>
  </r>
  <r>
    <s v="O107112"/>
    <x v="793"/>
    <x v="2"/>
    <x v="3"/>
    <x v="2"/>
    <x v="1"/>
    <n v="8"/>
    <n v="1497473"/>
    <d v="2026-09-03T00:00:00"/>
    <n v="9"/>
    <n v="3"/>
    <n v="2026"/>
    <x v="1"/>
    <s v="Q3"/>
    <x v="2"/>
  </r>
  <r>
    <s v="O101640"/>
    <x v="745"/>
    <x v="1"/>
    <x v="3"/>
    <x v="0"/>
    <x v="0"/>
    <n v="6"/>
    <n v="1497460"/>
    <d v="2025-10-04T00:00:00"/>
    <n v="10"/>
    <n v="4"/>
    <n v="2025"/>
    <x v="9"/>
    <s v="Q4"/>
    <x v="0"/>
  </r>
  <r>
    <s v="O110025"/>
    <x v="773"/>
    <x v="5"/>
    <x v="4"/>
    <x v="2"/>
    <x v="2"/>
    <n v="8"/>
    <n v="1497451"/>
    <d v="2026-02-09T00:00:00"/>
    <n v="2"/>
    <n v="9"/>
    <n v="2026"/>
    <x v="4"/>
    <s v="Q1"/>
    <x v="2"/>
  </r>
  <r>
    <s v="O105872"/>
    <x v="288"/>
    <x v="4"/>
    <x v="0"/>
    <x v="2"/>
    <x v="0"/>
    <n v="3"/>
    <n v="1496464"/>
    <d v="2025-12-23T00:00:00"/>
    <n v="12"/>
    <n v="23"/>
    <n v="2025"/>
    <x v="7"/>
    <s v="Q4"/>
    <x v="2"/>
  </r>
  <r>
    <s v="O109606"/>
    <x v="321"/>
    <x v="8"/>
    <x v="4"/>
    <x v="0"/>
    <x v="3"/>
    <n v="9"/>
    <n v="1496094"/>
    <d v="2026-07-08T00:00:00"/>
    <n v="7"/>
    <n v="8"/>
    <n v="2026"/>
    <x v="10"/>
    <s v="Q3"/>
    <x v="0"/>
  </r>
  <r>
    <s v="O108886"/>
    <x v="312"/>
    <x v="5"/>
    <x v="2"/>
    <x v="4"/>
    <x v="2"/>
    <n v="5"/>
    <n v="1496024"/>
    <d v="2026-06-24T00:00:00"/>
    <n v="6"/>
    <n v="24"/>
    <n v="2026"/>
    <x v="2"/>
    <s v="Q2"/>
    <x v="4"/>
  </r>
  <r>
    <s v="O102003"/>
    <x v="193"/>
    <x v="3"/>
    <x v="5"/>
    <x v="3"/>
    <x v="1"/>
    <n v="10"/>
    <n v="1495609"/>
    <d v="2025-02-05T00:00:00"/>
    <n v="2"/>
    <n v="5"/>
    <n v="2025"/>
    <x v="4"/>
    <s v="Q1"/>
    <x v="3"/>
  </r>
  <r>
    <s v="O109255"/>
    <x v="368"/>
    <x v="9"/>
    <x v="4"/>
    <x v="3"/>
    <x v="1"/>
    <n v="8"/>
    <n v="1495069"/>
    <d v="2026-07-17T00:00:00"/>
    <n v="7"/>
    <n v="17"/>
    <n v="2026"/>
    <x v="10"/>
    <s v="Q3"/>
    <x v="3"/>
  </r>
  <r>
    <s v="O108906"/>
    <x v="631"/>
    <x v="1"/>
    <x v="2"/>
    <x v="4"/>
    <x v="1"/>
    <n v="4"/>
    <n v="1494821"/>
    <d v="2026-06-26T00:00:00"/>
    <n v="6"/>
    <n v="26"/>
    <n v="2026"/>
    <x v="2"/>
    <s v="Q2"/>
    <x v="4"/>
  </r>
  <r>
    <s v="O110242"/>
    <x v="274"/>
    <x v="6"/>
    <x v="0"/>
    <x v="1"/>
    <x v="2"/>
    <n v="3"/>
    <n v="1494599"/>
    <d v="2026-09-15T00:00:00"/>
    <n v="9"/>
    <n v="15"/>
    <n v="2026"/>
    <x v="1"/>
    <s v="Q3"/>
    <x v="1"/>
  </r>
  <r>
    <s v="O107385"/>
    <x v="0"/>
    <x v="10"/>
    <x v="2"/>
    <x v="3"/>
    <x v="1"/>
    <n v="4"/>
    <n v="1493624"/>
    <d v="2026-03-25T00:00:00"/>
    <n v="3"/>
    <n v="25"/>
    <n v="2026"/>
    <x v="5"/>
    <s v="Q1"/>
    <x v="3"/>
  </r>
  <r>
    <s v="O111748"/>
    <x v="589"/>
    <x v="5"/>
    <x v="0"/>
    <x v="3"/>
    <x v="2"/>
    <n v="4"/>
    <n v="1493051"/>
    <d v="2026-12-15T00:00:00"/>
    <n v="12"/>
    <n v="15"/>
    <n v="2026"/>
    <x v="7"/>
    <s v="Q4"/>
    <x v="3"/>
  </r>
  <r>
    <s v="O108340"/>
    <x v="450"/>
    <x v="3"/>
    <x v="4"/>
    <x v="1"/>
    <x v="0"/>
    <n v="9"/>
    <n v="1492578"/>
    <d v="2026-05-22T00:00:00"/>
    <n v="5"/>
    <n v="22"/>
    <n v="2026"/>
    <x v="3"/>
    <s v="Q2"/>
    <x v="1"/>
  </r>
  <r>
    <s v="O106100"/>
    <x v="569"/>
    <x v="3"/>
    <x v="5"/>
    <x v="1"/>
    <x v="3"/>
    <n v="10"/>
    <n v="1492405"/>
    <d v="2026-06-01T00:00:00"/>
    <n v="6"/>
    <n v="1"/>
    <n v="2026"/>
    <x v="2"/>
    <s v="Q2"/>
    <x v="1"/>
  </r>
  <r>
    <s v="O101218"/>
    <x v="551"/>
    <x v="8"/>
    <x v="2"/>
    <x v="3"/>
    <x v="1"/>
    <n v="6"/>
    <n v="1491989"/>
    <d v="2025-03-15T00:00:00"/>
    <n v="3"/>
    <n v="15"/>
    <n v="2025"/>
    <x v="5"/>
    <s v="Q1"/>
    <x v="3"/>
  </r>
  <r>
    <s v="O110704"/>
    <x v="318"/>
    <x v="6"/>
    <x v="3"/>
    <x v="1"/>
    <x v="2"/>
    <n v="6"/>
    <n v="1491394"/>
    <d v="2026-10-13T00:00:00"/>
    <n v="10"/>
    <n v="13"/>
    <n v="2026"/>
    <x v="9"/>
    <s v="Q4"/>
    <x v="1"/>
  </r>
  <r>
    <s v="O111431"/>
    <x v="351"/>
    <x v="3"/>
    <x v="0"/>
    <x v="4"/>
    <x v="0"/>
    <n v="4"/>
    <n v="1491285"/>
    <d v="2026-11-26T00:00:00"/>
    <n v="11"/>
    <n v="26"/>
    <n v="2026"/>
    <x v="0"/>
    <s v="Q4"/>
    <x v="4"/>
  </r>
  <r>
    <s v="O106206"/>
    <x v="765"/>
    <x v="6"/>
    <x v="3"/>
    <x v="1"/>
    <x v="2"/>
    <n v="6"/>
    <n v="1490843"/>
    <d v="2026-12-01T00:00:00"/>
    <n v="12"/>
    <n v="1"/>
    <n v="2026"/>
    <x v="7"/>
    <s v="Q4"/>
    <x v="1"/>
  </r>
  <r>
    <s v="O108577"/>
    <x v="247"/>
    <x v="8"/>
    <x v="2"/>
    <x v="1"/>
    <x v="0"/>
    <n v="4"/>
    <n v="1490097"/>
    <d v="2026-06-06T00:00:00"/>
    <n v="6"/>
    <n v="6"/>
    <n v="2026"/>
    <x v="2"/>
    <s v="Q2"/>
    <x v="1"/>
  </r>
  <r>
    <s v="O100353"/>
    <x v="105"/>
    <x v="9"/>
    <x v="2"/>
    <x v="2"/>
    <x v="2"/>
    <n v="6"/>
    <n v="1489550"/>
    <d v="2025-01-22T00:00:00"/>
    <n v="1"/>
    <n v="22"/>
    <n v="2025"/>
    <x v="6"/>
    <s v="Q1"/>
    <x v="2"/>
  </r>
  <r>
    <s v="O101418"/>
    <x v="276"/>
    <x v="1"/>
    <x v="0"/>
    <x v="3"/>
    <x v="2"/>
    <n v="3"/>
    <n v="1489233"/>
    <d v="2025-03-28T00:00:00"/>
    <n v="3"/>
    <n v="28"/>
    <n v="2025"/>
    <x v="5"/>
    <s v="Q1"/>
    <x v="3"/>
  </r>
  <r>
    <s v="O100326"/>
    <x v="187"/>
    <x v="8"/>
    <x v="4"/>
    <x v="0"/>
    <x v="1"/>
    <n v="9"/>
    <n v="1489081"/>
    <d v="2025-01-20T00:00:00"/>
    <n v="1"/>
    <n v="20"/>
    <n v="2025"/>
    <x v="6"/>
    <s v="Q1"/>
    <x v="0"/>
  </r>
  <r>
    <s v="O103839"/>
    <x v="727"/>
    <x v="9"/>
    <x v="3"/>
    <x v="3"/>
    <x v="1"/>
    <n v="7"/>
    <n v="1488717"/>
    <d v="2025-08-22T00:00:00"/>
    <n v="8"/>
    <n v="22"/>
    <n v="2025"/>
    <x v="8"/>
    <s v="Q3"/>
    <x v="3"/>
  </r>
  <r>
    <s v="O101719"/>
    <x v="41"/>
    <x v="2"/>
    <x v="3"/>
    <x v="1"/>
    <x v="3"/>
    <n v="8"/>
    <n v="1487292"/>
    <d v="2025-04-15T00:00:00"/>
    <n v="4"/>
    <n v="15"/>
    <n v="2025"/>
    <x v="11"/>
    <s v="Q2"/>
    <x v="1"/>
  </r>
  <r>
    <s v="O100316"/>
    <x v="755"/>
    <x v="3"/>
    <x v="4"/>
    <x v="1"/>
    <x v="3"/>
    <n v="7"/>
    <n v="1486786"/>
    <d v="2025-01-20T00:00:00"/>
    <n v="1"/>
    <n v="20"/>
    <n v="2025"/>
    <x v="6"/>
    <s v="Q1"/>
    <x v="1"/>
  </r>
  <r>
    <s v="O106702"/>
    <x v="650"/>
    <x v="5"/>
    <x v="4"/>
    <x v="1"/>
    <x v="0"/>
    <n v="8"/>
    <n v="1486596"/>
    <d v="2026-12-02T00:00:00"/>
    <n v="12"/>
    <n v="2"/>
    <n v="2026"/>
    <x v="7"/>
    <s v="Q4"/>
    <x v="1"/>
  </r>
  <r>
    <s v="O111989"/>
    <x v="665"/>
    <x v="3"/>
    <x v="4"/>
    <x v="0"/>
    <x v="3"/>
    <n v="7"/>
    <n v="1486482"/>
    <d v="2026-12-30T00:00:00"/>
    <n v="12"/>
    <n v="30"/>
    <n v="2026"/>
    <x v="7"/>
    <s v="Q4"/>
    <x v="0"/>
  </r>
  <r>
    <s v="O102619"/>
    <x v="558"/>
    <x v="8"/>
    <x v="5"/>
    <x v="2"/>
    <x v="3"/>
    <n v="10"/>
    <n v="1486122"/>
    <d v="2025-09-06T00:00:00"/>
    <n v="9"/>
    <n v="6"/>
    <n v="2025"/>
    <x v="1"/>
    <s v="Q3"/>
    <x v="2"/>
  </r>
  <r>
    <s v="O110196"/>
    <x v="433"/>
    <x v="3"/>
    <x v="3"/>
    <x v="3"/>
    <x v="2"/>
    <n v="6"/>
    <n v="1485802"/>
    <d v="2026-12-09T00:00:00"/>
    <n v="12"/>
    <n v="9"/>
    <n v="2026"/>
    <x v="7"/>
    <s v="Q4"/>
    <x v="3"/>
  </r>
  <r>
    <s v="O104660"/>
    <x v="354"/>
    <x v="3"/>
    <x v="4"/>
    <x v="3"/>
    <x v="1"/>
    <n v="8"/>
    <n v="1485283"/>
    <d v="2025-11-10T00:00:00"/>
    <n v="11"/>
    <n v="10"/>
    <n v="2025"/>
    <x v="0"/>
    <s v="Q4"/>
    <x v="3"/>
  </r>
  <r>
    <s v="O102892"/>
    <x v="698"/>
    <x v="0"/>
    <x v="4"/>
    <x v="3"/>
    <x v="0"/>
    <n v="10"/>
    <n v="1484914"/>
    <d v="2025-06-25T00:00:00"/>
    <n v="6"/>
    <n v="25"/>
    <n v="2025"/>
    <x v="2"/>
    <s v="Q2"/>
    <x v="3"/>
  </r>
  <r>
    <s v="O110369"/>
    <x v="321"/>
    <x v="1"/>
    <x v="2"/>
    <x v="1"/>
    <x v="0"/>
    <n v="6"/>
    <n v="1484056"/>
    <d v="2026-09-22T00:00:00"/>
    <n v="9"/>
    <n v="22"/>
    <n v="2026"/>
    <x v="1"/>
    <s v="Q3"/>
    <x v="1"/>
  </r>
  <r>
    <s v="O109899"/>
    <x v="683"/>
    <x v="9"/>
    <x v="5"/>
    <x v="1"/>
    <x v="1"/>
    <n v="10"/>
    <n v="1483876"/>
    <d v="2026-08-25T00:00:00"/>
    <n v="8"/>
    <n v="25"/>
    <n v="2026"/>
    <x v="8"/>
    <s v="Q3"/>
    <x v="1"/>
  </r>
  <r>
    <s v="O102261"/>
    <x v="321"/>
    <x v="5"/>
    <x v="4"/>
    <x v="2"/>
    <x v="3"/>
    <n v="8"/>
    <n v="1483569"/>
    <d v="2025-05-18T00:00:00"/>
    <n v="5"/>
    <n v="18"/>
    <n v="2025"/>
    <x v="3"/>
    <s v="Q2"/>
    <x v="2"/>
  </r>
  <r>
    <s v="O105973"/>
    <x v="95"/>
    <x v="4"/>
    <x v="4"/>
    <x v="0"/>
    <x v="3"/>
    <n v="9"/>
    <n v="1483485"/>
    <d v="2025-12-29T00:00:00"/>
    <n v="12"/>
    <n v="29"/>
    <n v="2025"/>
    <x v="7"/>
    <s v="Q4"/>
    <x v="0"/>
  </r>
  <r>
    <s v="O106590"/>
    <x v="313"/>
    <x v="10"/>
    <x v="4"/>
    <x v="0"/>
    <x v="2"/>
    <n v="7"/>
    <n v="1482842"/>
    <d v="2026-05-02T00:00:00"/>
    <n v="5"/>
    <n v="2"/>
    <n v="2026"/>
    <x v="3"/>
    <s v="Q2"/>
    <x v="0"/>
  </r>
  <r>
    <s v="O105772"/>
    <x v="579"/>
    <x v="1"/>
    <x v="4"/>
    <x v="3"/>
    <x v="2"/>
    <n v="7"/>
    <n v="1482590"/>
    <d v="2025-12-17T00:00:00"/>
    <n v="12"/>
    <n v="17"/>
    <n v="2025"/>
    <x v="7"/>
    <s v="Q4"/>
    <x v="3"/>
  </r>
  <r>
    <s v="O108513"/>
    <x v="221"/>
    <x v="1"/>
    <x v="4"/>
    <x v="2"/>
    <x v="3"/>
    <n v="9"/>
    <n v="1481699"/>
    <d v="2026-02-06T00:00:00"/>
    <n v="2"/>
    <n v="6"/>
    <n v="2026"/>
    <x v="4"/>
    <s v="Q1"/>
    <x v="2"/>
  </r>
  <r>
    <s v="O107333"/>
    <x v="159"/>
    <x v="0"/>
    <x v="3"/>
    <x v="2"/>
    <x v="0"/>
    <n v="7"/>
    <n v="1481677"/>
    <d v="2026-03-22T00:00:00"/>
    <n v="3"/>
    <n v="22"/>
    <n v="2026"/>
    <x v="5"/>
    <s v="Q1"/>
    <x v="2"/>
  </r>
  <r>
    <s v="O111682"/>
    <x v="146"/>
    <x v="6"/>
    <x v="0"/>
    <x v="0"/>
    <x v="1"/>
    <n v="4"/>
    <n v="1480628"/>
    <d v="2026-11-12T00:00:00"/>
    <n v="11"/>
    <n v="12"/>
    <n v="2026"/>
    <x v="0"/>
    <s v="Q4"/>
    <x v="0"/>
  </r>
  <r>
    <s v="O101698"/>
    <x v="490"/>
    <x v="8"/>
    <x v="0"/>
    <x v="0"/>
    <x v="0"/>
    <n v="4"/>
    <n v="1480032"/>
    <d v="2025-04-14T00:00:00"/>
    <n v="4"/>
    <n v="14"/>
    <n v="2025"/>
    <x v="11"/>
    <s v="Q2"/>
    <x v="0"/>
  </r>
  <r>
    <s v="O100699"/>
    <x v="696"/>
    <x v="6"/>
    <x v="0"/>
    <x v="4"/>
    <x v="2"/>
    <n v="3"/>
    <n v="1479826"/>
    <d v="2025-12-02T00:00:00"/>
    <n v="12"/>
    <n v="2"/>
    <n v="2025"/>
    <x v="7"/>
    <s v="Q4"/>
    <x v="4"/>
  </r>
  <r>
    <s v="O109101"/>
    <x v="335"/>
    <x v="9"/>
    <x v="2"/>
    <x v="2"/>
    <x v="3"/>
    <n v="4"/>
    <n v="1479812"/>
    <d v="2026-07-07T00:00:00"/>
    <n v="7"/>
    <n v="7"/>
    <n v="2026"/>
    <x v="10"/>
    <s v="Q3"/>
    <x v="2"/>
  </r>
  <r>
    <s v="O102098"/>
    <x v="725"/>
    <x v="3"/>
    <x v="2"/>
    <x v="4"/>
    <x v="2"/>
    <n v="4"/>
    <n v="1479460"/>
    <d v="2025-08-05T00:00:00"/>
    <n v="8"/>
    <n v="5"/>
    <n v="2025"/>
    <x v="8"/>
    <m/>
    <x v="4"/>
  </r>
  <r>
    <s v="O100291"/>
    <x v="773"/>
    <x v="2"/>
    <x v="0"/>
    <x v="4"/>
    <x v="3"/>
    <n v="3"/>
    <n v="1479010"/>
    <d v="2025-01-18T00:00:00"/>
    <n v="1"/>
    <n v="18"/>
    <n v="2025"/>
    <x v="6"/>
    <s v="Q1"/>
    <x v="4"/>
  </r>
  <r>
    <s v="O102269"/>
    <x v="531"/>
    <x v="5"/>
    <x v="0"/>
    <x v="4"/>
    <x v="1"/>
    <n v="3"/>
    <n v="1478741"/>
    <d v="2025-05-18T00:00:00"/>
    <n v="5"/>
    <n v="18"/>
    <n v="2025"/>
    <x v="3"/>
    <s v="Q2"/>
    <x v="4"/>
  </r>
  <r>
    <s v="O103085"/>
    <x v="13"/>
    <x v="5"/>
    <x v="4"/>
    <x v="2"/>
    <x v="2"/>
    <n v="8"/>
    <n v="1478645"/>
    <d v="2025-07-07T00:00:00"/>
    <n v="7"/>
    <n v="7"/>
    <n v="2025"/>
    <x v="10"/>
    <s v="Q3"/>
    <x v="2"/>
  </r>
  <r>
    <s v="O101677"/>
    <x v="513"/>
    <x v="1"/>
    <x v="0"/>
    <x v="0"/>
    <x v="3"/>
    <n v="4"/>
    <n v="1478572"/>
    <d v="2025-12-04T00:00:00"/>
    <n v="12"/>
    <n v="4"/>
    <n v="2025"/>
    <x v="7"/>
    <s v="Q4"/>
    <x v="0"/>
  </r>
  <r>
    <s v="O109286"/>
    <x v="439"/>
    <x v="10"/>
    <x v="4"/>
    <x v="0"/>
    <x v="3"/>
    <n v="7"/>
    <n v="1478311"/>
    <d v="2026-07-19T00:00:00"/>
    <n v="7"/>
    <n v="19"/>
    <n v="2026"/>
    <x v="10"/>
    <s v="Q3"/>
    <x v="0"/>
  </r>
  <r>
    <s v="O108944"/>
    <x v="296"/>
    <x v="8"/>
    <x v="3"/>
    <x v="2"/>
    <x v="1"/>
    <n v="7"/>
    <n v="1478029"/>
    <d v="2026-06-28T00:00:00"/>
    <n v="6"/>
    <n v="28"/>
    <n v="2026"/>
    <x v="2"/>
    <s v="Q2"/>
    <x v="2"/>
  </r>
  <r>
    <s v="O109368"/>
    <x v="775"/>
    <x v="8"/>
    <x v="4"/>
    <x v="2"/>
    <x v="3"/>
    <n v="7"/>
    <n v="1477084"/>
    <d v="2026-07-24T00:00:00"/>
    <n v="7"/>
    <n v="24"/>
    <n v="2026"/>
    <x v="10"/>
    <s v="Q3"/>
    <x v="2"/>
  </r>
  <r>
    <s v="O100110"/>
    <x v="275"/>
    <x v="0"/>
    <x v="0"/>
    <x v="0"/>
    <x v="1"/>
    <n v="4"/>
    <n v="1475371"/>
    <d v="2025-07-01T00:00:00"/>
    <n v="7"/>
    <n v="1"/>
    <n v="2025"/>
    <x v="10"/>
    <s v="Q3"/>
    <x v="0"/>
  </r>
  <r>
    <s v="O108387"/>
    <x v="167"/>
    <x v="1"/>
    <x v="3"/>
    <x v="4"/>
    <x v="1"/>
    <n v="7"/>
    <n v="1474602"/>
    <d v="2026-05-25T00:00:00"/>
    <n v="5"/>
    <n v="25"/>
    <n v="2026"/>
    <x v="3"/>
    <s v="Q2"/>
    <x v="4"/>
  </r>
  <r>
    <s v="O101308"/>
    <x v="794"/>
    <x v="3"/>
    <x v="4"/>
    <x v="3"/>
    <x v="0"/>
    <n v="10"/>
    <n v="1474038"/>
    <d v="2025-03-21T00:00:00"/>
    <n v="3"/>
    <n v="21"/>
    <n v="2025"/>
    <x v="5"/>
    <s v="Q1"/>
    <x v="3"/>
  </r>
  <r>
    <s v="O108172"/>
    <x v="190"/>
    <x v="10"/>
    <x v="4"/>
    <x v="3"/>
    <x v="0"/>
    <n v="9"/>
    <n v="1473685"/>
    <d v="2026-12-05T00:00:00"/>
    <n v="12"/>
    <n v="5"/>
    <n v="2026"/>
    <x v="7"/>
    <s v="Q4"/>
    <x v="3"/>
  </r>
  <r>
    <s v="O104583"/>
    <x v="285"/>
    <x v="3"/>
    <x v="4"/>
    <x v="2"/>
    <x v="1"/>
    <n v="9"/>
    <n v="1473582"/>
    <d v="2025-06-10T00:00:00"/>
    <n v="6"/>
    <n v="10"/>
    <n v="2025"/>
    <x v="2"/>
    <s v="Q2"/>
    <x v="2"/>
  </r>
  <r>
    <s v="O107147"/>
    <x v="390"/>
    <x v="0"/>
    <x v="4"/>
    <x v="4"/>
    <x v="1"/>
    <n v="9"/>
    <n v="1473395"/>
    <d v="2026-11-03T00:00:00"/>
    <n v="11"/>
    <n v="3"/>
    <n v="2026"/>
    <x v="0"/>
    <s v="Q4"/>
    <x v="4"/>
  </r>
  <r>
    <s v="O109433"/>
    <x v="159"/>
    <x v="3"/>
    <x v="4"/>
    <x v="3"/>
    <x v="2"/>
    <n v="8"/>
    <n v="1472907"/>
    <d v="2026-07-28T00:00:00"/>
    <n v="7"/>
    <n v="28"/>
    <n v="2026"/>
    <x v="10"/>
    <s v="Q3"/>
    <x v="3"/>
  </r>
  <r>
    <s v="O104683"/>
    <x v="332"/>
    <x v="2"/>
    <x v="3"/>
    <x v="3"/>
    <x v="3"/>
    <n v="6"/>
    <n v="1472785"/>
    <d v="2025-12-10T00:00:00"/>
    <n v="12"/>
    <n v="10"/>
    <n v="2025"/>
    <x v="7"/>
    <s v="Q4"/>
    <x v="3"/>
  </r>
  <r>
    <s v="O109821"/>
    <x v="163"/>
    <x v="9"/>
    <x v="2"/>
    <x v="2"/>
    <x v="2"/>
    <n v="5"/>
    <n v="1472435"/>
    <d v="2026-08-20T00:00:00"/>
    <n v="8"/>
    <n v="20"/>
    <n v="2026"/>
    <x v="8"/>
    <s v="Q3"/>
    <x v="2"/>
  </r>
  <r>
    <s v="O104597"/>
    <x v="656"/>
    <x v="3"/>
    <x v="4"/>
    <x v="4"/>
    <x v="2"/>
    <n v="9"/>
    <n v="1471140"/>
    <d v="2025-07-10T00:00:00"/>
    <n v="7"/>
    <n v="10"/>
    <n v="2025"/>
    <x v="10"/>
    <s v="Q3"/>
    <x v="4"/>
  </r>
  <r>
    <s v="O109744"/>
    <x v="221"/>
    <x v="4"/>
    <x v="2"/>
    <x v="4"/>
    <x v="0"/>
    <n v="5"/>
    <n v="1471125"/>
    <d v="2026-08-15T00:00:00"/>
    <n v="8"/>
    <n v="15"/>
    <n v="2026"/>
    <x v="8"/>
    <s v="Q3"/>
    <x v="4"/>
  </r>
  <r>
    <s v="O104457"/>
    <x v="58"/>
    <x v="2"/>
    <x v="4"/>
    <x v="3"/>
    <x v="2"/>
    <n v="10"/>
    <n v="1470352"/>
    <d v="2025-09-28T00:00:00"/>
    <n v="9"/>
    <n v="28"/>
    <n v="2025"/>
    <x v="1"/>
    <s v="Q3"/>
    <x v="3"/>
  </r>
  <r>
    <s v="O107357"/>
    <x v="746"/>
    <x v="5"/>
    <x v="3"/>
    <x v="4"/>
    <x v="2"/>
    <n v="6"/>
    <n v="1470306"/>
    <d v="2026-03-23T00:00:00"/>
    <n v="3"/>
    <n v="23"/>
    <n v="2026"/>
    <x v="5"/>
    <s v="Q1"/>
    <x v="4"/>
  </r>
  <r>
    <s v="O104414"/>
    <x v="22"/>
    <x v="8"/>
    <x v="2"/>
    <x v="4"/>
    <x v="2"/>
    <n v="5"/>
    <n v="1470283"/>
    <d v="2025-09-26T00:00:00"/>
    <n v="9"/>
    <n v="26"/>
    <n v="2025"/>
    <x v="1"/>
    <s v="Q3"/>
    <x v="4"/>
  </r>
  <r>
    <s v="O103754"/>
    <x v="162"/>
    <x v="4"/>
    <x v="4"/>
    <x v="1"/>
    <x v="3"/>
    <n v="10"/>
    <n v="1469855"/>
    <d v="2025-08-17T00:00:00"/>
    <n v="8"/>
    <n v="17"/>
    <n v="2025"/>
    <x v="8"/>
    <s v="Q3"/>
    <x v="1"/>
  </r>
  <r>
    <s v="O111688"/>
    <x v="357"/>
    <x v="6"/>
    <x v="4"/>
    <x v="0"/>
    <x v="0"/>
    <n v="9"/>
    <n v="1469308"/>
    <d v="2026-12-12T00:00:00"/>
    <n v="12"/>
    <n v="12"/>
    <n v="2026"/>
    <x v="7"/>
    <s v="Q4"/>
    <x v="0"/>
  </r>
  <r>
    <s v="O110066"/>
    <x v="232"/>
    <x v="6"/>
    <x v="2"/>
    <x v="4"/>
    <x v="0"/>
    <n v="6"/>
    <n v="1467466"/>
    <d v="2026-04-09T00:00:00"/>
    <n v="4"/>
    <n v="9"/>
    <n v="2026"/>
    <x v="11"/>
    <s v="Q2"/>
    <x v="4"/>
  </r>
  <r>
    <s v="O107550"/>
    <x v="81"/>
    <x v="2"/>
    <x v="4"/>
    <x v="2"/>
    <x v="3"/>
    <n v="10"/>
    <n v="1466592"/>
    <d v="2026-04-04T00:00:00"/>
    <n v="4"/>
    <n v="4"/>
    <n v="2026"/>
    <x v="11"/>
    <s v="Q2"/>
    <x v="2"/>
  </r>
  <r>
    <s v="O102312"/>
    <x v="705"/>
    <x v="3"/>
    <x v="5"/>
    <x v="2"/>
    <x v="0"/>
    <n v="10"/>
    <n v="1466347"/>
    <d v="2025-05-21T00:00:00"/>
    <n v="5"/>
    <n v="21"/>
    <n v="2025"/>
    <x v="3"/>
    <s v="Q2"/>
    <x v="2"/>
  </r>
  <r>
    <s v="O102284"/>
    <x v="720"/>
    <x v="3"/>
    <x v="0"/>
    <x v="0"/>
    <x v="3"/>
    <n v="3"/>
    <n v="1466277"/>
    <d v="2025-05-19T00:00:00"/>
    <n v="5"/>
    <n v="19"/>
    <n v="2025"/>
    <x v="3"/>
    <s v="Q2"/>
    <x v="0"/>
  </r>
  <r>
    <s v="O101467"/>
    <x v="370"/>
    <x v="3"/>
    <x v="3"/>
    <x v="4"/>
    <x v="1"/>
    <n v="8"/>
    <n v="1465915"/>
    <d v="2025-03-31T00:00:00"/>
    <n v="3"/>
    <n v="31"/>
    <n v="2025"/>
    <x v="5"/>
    <s v="Q1"/>
    <x v="4"/>
  </r>
  <r>
    <s v="O109369"/>
    <x v="7"/>
    <x v="3"/>
    <x v="4"/>
    <x v="4"/>
    <x v="2"/>
    <n v="8"/>
    <n v="1464783"/>
    <d v="2026-07-24T00:00:00"/>
    <n v="7"/>
    <n v="24"/>
    <n v="2026"/>
    <x v="10"/>
    <s v="Q3"/>
    <x v="4"/>
  </r>
  <r>
    <s v="O104550"/>
    <x v="571"/>
    <x v="9"/>
    <x v="4"/>
    <x v="2"/>
    <x v="3"/>
    <n v="7"/>
    <n v="1464234"/>
    <d v="2025-04-10T00:00:00"/>
    <n v="4"/>
    <n v="10"/>
    <n v="2025"/>
    <x v="11"/>
    <s v="Q2"/>
    <x v="2"/>
  </r>
  <r>
    <s v="O108986"/>
    <x v="481"/>
    <x v="9"/>
    <x v="4"/>
    <x v="4"/>
    <x v="3"/>
    <n v="9"/>
    <n v="1463981"/>
    <d v="2026-06-30T00:00:00"/>
    <n v="6"/>
    <n v="30"/>
    <n v="2026"/>
    <x v="2"/>
    <s v="Q2"/>
    <x v="4"/>
  </r>
  <r>
    <s v="O105056"/>
    <x v="390"/>
    <x v="1"/>
    <x v="2"/>
    <x v="2"/>
    <x v="1"/>
    <n v="5"/>
    <n v="1463393"/>
    <d v="2025-04-11T00:00:00"/>
    <n v="4"/>
    <n v="11"/>
    <n v="2025"/>
    <x v="11"/>
    <s v="Q2"/>
    <x v="2"/>
  </r>
  <r>
    <s v="O105514"/>
    <x v="51"/>
    <x v="3"/>
    <x v="4"/>
    <x v="1"/>
    <x v="0"/>
    <n v="8"/>
    <n v="1462864"/>
    <d v="2025-01-12T00:00:00"/>
    <n v="1"/>
    <n v="12"/>
    <n v="2025"/>
    <x v="6"/>
    <m/>
    <x v="1"/>
  </r>
  <r>
    <s v="O105865"/>
    <x v="75"/>
    <x v="1"/>
    <x v="4"/>
    <x v="3"/>
    <x v="0"/>
    <n v="9"/>
    <n v="1462371"/>
    <d v="2025-12-23T00:00:00"/>
    <n v="12"/>
    <n v="23"/>
    <n v="2025"/>
    <x v="7"/>
    <m/>
    <x v="3"/>
  </r>
  <r>
    <s v="O103158"/>
    <x v="704"/>
    <x v="9"/>
    <x v="0"/>
    <x v="0"/>
    <x v="3"/>
    <n v="3"/>
    <n v="1461653"/>
    <d v="2025-11-07T00:00:00"/>
    <n v="11"/>
    <n v="7"/>
    <n v="2025"/>
    <x v="0"/>
    <s v="Q4"/>
    <x v="0"/>
  </r>
  <r>
    <s v="O107141"/>
    <x v="512"/>
    <x v="0"/>
    <x v="3"/>
    <x v="2"/>
    <x v="2"/>
    <n v="7"/>
    <n v="1461646"/>
    <d v="2026-10-03T00:00:00"/>
    <n v="10"/>
    <n v="3"/>
    <n v="2026"/>
    <x v="9"/>
    <s v="Q4"/>
    <x v="2"/>
  </r>
  <r>
    <s v="O107434"/>
    <x v="369"/>
    <x v="10"/>
    <x v="0"/>
    <x v="0"/>
    <x v="1"/>
    <n v="3"/>
    <n v="1461363"/>
    <d v="2026-03-28T00:00:00"/>
    <n v="3"/>
    <n v="28"/>
    <n v="2026"/>
    <x v="5"/>
    <m/>
    <x v="0"/>
  </r>
  <r>
    <s v="O108537"/>
    <x v="169"/>
    <x v="9"/>
    <x v="0"/>
    <x v="1"/>
    <x v="3"/>
    <n v="3"/>
    <n v="1460982"/>
    <d v="2026-03-06T00:00:00"/>
    <n v="3"/>
    <n v="6"/>
    <n v="2026"/>
    <x v="5"/>
    <m/>
    <x v="1"/>
  </r>
  <r>
    <s v="O105744"/>
    <x v="312"/>
    <x v="9"/>
    <x v="3"/>
    <x v="2"/>
    <x v="2"/>
    <n v="8"/>
    <n v="1460418"/>
    <d v="2025-12-15T00:00:00"/>
    <n v="12"/>
    <n v="15"/>
    <n v="2025"/>
    <x v="7"/>
    <s v="Q4"/>
    <x v="2"/>
  </r>
  <r>
    <s v="O100077"/>
    <x v="294"/>
    <x v="4"/>
    <x v="4"/>
    <x v="2"/>
    <x v="2"/>
    <n v="7"/>
    <n v="1460123"/>
    <d v="2025-05-01T00:00:00"/>
    <n v="5"/>
    <n v="1"/>
    <n v="2025"/>
    <x v="3"/>
    <s v="Q2"/>
    <x v="2"/>
  </r>
  <r>
    <s v="O102208"/>
    <x v="175"/>
    <x v="4"/>
    <x v="5"/>
    <x v="4"/>
    <x v="3"/>
    <n v="10"/>
    <n v="1459385"/>
    <d v="2025-05-15T00:00:00"/>
    <n v="5"/>
    <n v="15"/>
    <n v="2025"/>
    <x v="3"/>
    <s v="Q2"/>
    <x v="4"/>
  </r>
  <r>
    <s v="O110211"/>
    <x v="62"/>
    <x v="10"/>
    <x v="3"/>
    <x v="1"/>
    <x v="1"/>
    <n v="6"/>
    <n v="1459090"/>
    <d v="2026-09-13T00:00:00"/>
    <n v="9"/>
    <n v="13"/>
    <n v="2026"/>
    <x v="1"/>
    <s v="Q3"/>
    <x v="1"/>
  </r>
  <r>
    <s v="O104225"/>
    <x v="550"/>
    <x v="3"/>
    <x v="2"/>
    <x v="1"/>
    <x v="3"/>
    <n v="5"/>
    <n v="1458700"/>
    <d v="2025-09-14T00:00:00"/>
    <n v="9"/>
    <n v="14"/>
    <n v="2025"/>
    <x v="1"/>
    <s v="Q3"/>
    <x v="1"/>
  </r>
  <r>
    <s v="O111960"/>
    <x v="693"/>
    <x v="2"/>
    <x v="3"/>
    <x v="3"/>
    <x v="3"/>
    <n v="8"/>
    <n v="1458605"/>
    <d v="2026-12-28T00:00:00"/>
    <n v="12"/>
    <n v="28"/>
    <n v="2026"/>
    <x v="7"/>
    <s v="Q4"/>
    <x v="3"/>
  </r>
  <r>
    <s v="O102169"/>
    <x v="466"/>
    <x v="9"/>
    <x v="2"/>
    <x v="1"/>
    <x v="2"/>
    <n v="5"/>
    <n v="1458453"/>
    <d v="2025-12-05T00:00:00"/>
    <n v="12"/>
    <n v="5"/>
    <n v="2025"/>
    <x v="7"/>
    <s v="Q4"/>
    <x v="1"/>
  </r>
  <r>
    <s v="O101987"/>
    <x v="265"/>
    <x v="9"/>
    <x v="4"/>
    <x v="0"/>
    <x v="2"/>
    <n v="8"/>
    <n v="1458343"/>
    <d v="2025-01-05T00:00:00"/>
    <n v="1"/>
    <n v="5"/>
    <n v="2025"/>
    <x v="6"/>
    <s v="Q1"/>
    <x v="0"/>
  </r>
  <r>
    <s v="O107583"/>
    <x v="644"/>
    <x v="3"/>
    <x v="0"/>
    <x v="2"/>
    <x v="3"/>
    <n v="4"/>
    <n v="1458169"/>
    <d v="2026-06-04T00:00:00"/>
    <n v="6"/>
    <n v="4"/>
    <n v="2026"/>
    <x v="2"/>
    <s v="Q2"/>
    <x v="2"/>
  </r>
  <r>
    <s v="O100295"/>
    <x v="572"/>
    <x v="6"/>
    <x v="0"/>
    <x v="1"/>
    <x v="2"/>
    <n v="4"/>
    <n v="1458129"/>
    <d v="2025-01-18T00:00:00"/>
    <n v="1"/>
    <n v="18"/>
    <n v="2025"/>
    <x v="6"/>
    <s v="Q1"/>
    <x v="1"/>
  </r>
  <r>
    <s v="O106602"/>
    <x v="527"/>
    <x v="10"/>
    <x v="2"/>
    <x v="3"/>
    <x v="1"/>
    <n v="4"/>
    <n v="1457990"/>
    <d v="2026-06-02T00:00:00"/>
    <n v="6"/>
    <n v="2"/>
    <n v="2026"/>
    <x v="2"/>
    <m/>
    <x v="3"/>
  </r>
  <r>
    <s v="O100063"/>
    <x v="499"/>
    <x v="1"/>
    <x v="5"/>
    <x v="1"/>
    <x v="2"/>
    <n v="10"/>
    <n v="1457737"/>
    <d v="2025-04-01T00:00:00"/>
    <n v="4"/>
    <n v="1"/>
    <n v="2025"/>
    <x v="11"/>
    <s v="Q2"/>
    <x v="1"/>
  </r>
  <r>
    <s v="O100977"/>
    <x v="326"/>
    <x v="2"/>
    <x v="2"/>
    <x v="1"/>
    <x v="0"/>
    <n v="4"/>
    <n v="1457234"/>
    <d v="2025-01-03T00:00:00"/>
    <n v="1"/>
    <n v="3"/>
    <n v="2025"/>
    <x v="6"/>
    <s v="Q1"/>
    <x v="1"/>
  </r>
  <r>
    <s v="O105971"/>
    <x v="388"/>
    <x v="5"/>
    <x v="4"/>
    <x v="2"/>
    <x v="3"/>
    <n v="10"/>
    <n v="1456754"/>
    <d v="2025-12-29T00:00:00"/>
    <n v="12"/>
    <n v="29"/>
    <n v="2025"/>
    <x v="7"/>
    <s v="Q4"/>
    <x v="2"/>
  </r>
  <r>
    <s v="O102021"/>
    <x v="632"/>
    <x v="3"/>
    <x v="3"/>
    <x v="3"/>
    <x v="1"/>
    <n v="8"/>
    <n v="1456238"/>
    <d v="2025-03-05T00:00:00"/>
    <n v="3"/>
    <n v="5"/>
    <n v="2025"/>
    <x v="5"/>
    <s v="Q1"/>
    <x v="3"/>
  </r>
  <r>
    <s v="O107063"/>
    <x v="751"/>
    <x v="6"/>
    <x v="2"/>
    <x v="1"/>
    <x v="1"/>
    <n v="4"/>
    <n v="1456224"/>
    <d v="2026-06-03T00:00:00"/>
    <n v="6"/>
    <n v="3"/>
    <n v="2026"/>
    <x v="2"/>
    <s v="Q2"/>
    <x v="1"/>
  </r>
  <r>
    <s v="O102048"/>
    <x v="615"/>
    <x v="10"/>
    <x v="4"/>
    <x v="0"/>
    <x v="0"/>
    <n v="8"/>
    <n v="1455085"/>
    <d v="2025-05-05T00:00:00"/>
    <n v="5"/>
    <n v="5"/>
    <n v="2025"/>
    <x v="3"/>
    <s v="Q2"/>
    <x v="0"/>
  </r>
  <r>
    <s v="O102521"/>
    <x v="615"/>
    <x v="6"/>
    <x v="4"/>
    <x v="3"/>
    <x v="1"/>
    <n v="7"/>
    <n v="1454587"/>
    <d v="2025-03-06T00:00:00"/>
    <n v="3"/>
    <n v="6"/>
    <n v="2025"/>
    <x v="5"/>
    <s v="Q1"/>
    <x v="3"/>
  </r>
  <r>
    <s v="O103852"/>
    <x v="12"/>
    <x v="6"/>
    <x v="0"/>
    <x v="2"/>
    <x v="2"/>
    <n v="3"/>
    <n v="1454309"/>
    <d v="2025-08-22T00:00:00"/>
    <n v="8"/>
    <n v="22"/>
    <n v="2025"/>
    <x v="8"/>
    <s v="Q3"/>
    <x v="2"/>
  </r>
  <r>
    <s v="O101675"/>
    <x v="207"/>
    <x v="4"/>
    <x v="4"/>
    <x v="3"/>
    <x v="0"/>
    <n v="7"/>
    <n v="1453875"/>
    <d v="2025-12-04T00:00:00"/>
    <n v="12"/>
    <n v="4"/>
    <n v="2025"/>
    <x v="7"/>
    <s v="Q4"/>
    <x v="3"/>
  </r>
  <r>
    <s v="O101834"/>
    <x v="440"/>
    <x v="1"/>
    <x v="4"/>
    <x v="2"/>
    <x v="1"/>
    <n v="7"/>
    <n v="1453114"/>
    <d v="2025-04-22T00:00:00"/>
    <n v="4"/>
    <n v="22"/>
    <n v="2025"/>
    <x v="11"/>
    <s v="Q2"/>
    <x v="2"/>
  </r>
  <r>
    <s v="O101718"/>
    <x v="394"/>
    <x v="1"/>
    <x v="4"/>
    <x v="4"/>
    <x v="3"/>
    <n v="7"/>
    <n v="1453061"/>
    <d v="2025-04-15T00:00:00"/>
    <n v="4"/>
    <n v="15"/>
    <n v="2025"/>
    <x v="11"/>
    <s v="Q2"/>
    <x v="4"/>
  </r>
  <r>
    <s v="O103567"/>
    <x v="112"/>
    <x v="10"/>
    <x v="2"/>
    <x v="0"/>
    <x v="1"/>
    <n v="5"/>
    <n v="1453058"/>
    <d v="2025-05-08T00:00:00"/>
    <n v="5"/>
    <n v="8"/>
    <n v="2025"/>
    <x v="3"/>
    <s v="Q2"/>
    <x v="0"/>
  </r>
  <r>
    <s v="O109260"/>
    <x v="225"/>
    <x v="4"/>
    <x v="0"/>
    <x v="2"/>
    <x v="1"/>
    <n v="3"/>
    <n v="1452962"/>
    <d v="2026-07-17T00:00:00"/>
    <n v="7"/>
    <n v="17"/>
    <n v="2026"/>
    <x v="10"/>
    <s v="Q3"/>
    <x v="2"/>
  </r>
  <r>
    <s v="O106540"/>
    <x v="671"/>
    <x v="8"/>
    <x v="2"/>
    <x v="3"/>
    <x v="1"/>
    <n v="5"/>
    <n v="1452922"/>
    <d v="2026-02-02T00:00:00"/>
    <n v="2"/>
    <n v="2"/>
    <n v="2026"/>
    <x v="4"/>
    <s v="Q1"/>
    <x v="3"/>
  </r>
  <r>
    <s v="O111502"/>
    <x v="404"/>
    <x v="0"/>
    <x v="5"/>
    <x v="2"/>
    <x v="1"/>
    <n v="10"/>
    <n v="1452613"/>
    <d v="2026-11-30T00:00:00"/>
    <n v="11"/>
    <n v="30"/>
    <n v="2026"/>
    <x v="0"/>
    <s v="Q4"/>
    <x v="2"/>
  </r>
  <r>
    <s v="O100375"/>
    <x v="90"/>
    <x v="2"/>
    <x v="0"/>
    <x v="2"/>
    <x v="2"/>
    <n v="3"/>
    <n v="1451812"/>
    <d v="2025-01-23T00:00:00"/>
    <n v="1"/>
    <n v="23"/>
    <n v="2025"/>
    <x v="6"/>
    <s v="Q1"/>
    <x v="2"/>
  </r>
  <r>
    <s v="O101767"/>
    <x v="235"/>
    <x v="9"/>
    <x v="4"/>
    <x v="2"/>
    <x v="1"/>
    <n v="7"/>
    <n v="1451765"/>
    <d v="2025-04-18T00:00:00"/>
    <n v="4"/>
    <n v="18"/>
    <n v="2025"/>
    <x v="11"/>
    <s v="Q2"/>
    <x v="2"/>
  </r>
  <r>
    <s v="O101495"/>
    <x v="68"/>
    <x v="10"/>
    <x v="2"/>
    <x v="3"/>
    <x v="3"/>
    <n v="4"/>
    <n v="1451750"/>
    <d v="2025-01-04T00:00:00"/>
    <n v="1"/>
    <n v="4"/>
    <n v="2025"/>
    <x v="6"/>
    <s v="Q1"/>
    <x v="3"/>
  </r>
  <r>
    <s v="O106487"/>
    <x v="688"/>
    <x v="5"/>
    <x v="3"/>
    <x v="3"/>
    <x v="1"/>
    <n v="7"/>
    <n v="1451581"/>
    <d v="2026-01-30T00:00:00"/>
    <n v="1"/>
    <n v="30"/>
    <n v="2026"/>
    <x v="6"/>
    <s v="Q1"/>
    <x v="3"/>
  </r>
  <r>
    <s v="O106463"/>
    <x v="617"/>
    <x v="0"/>
    <x v="3"/>
    <x v="4"/>
    <x v="2"/>
    <n v="6"/>
    <n v="1451098"/>
    <d v="2026-01-28T00:00:00"/>
    <n v="1"/>
    <n v="28"/>
    <n v="2026"/>
    <x v="6"/>
    <s v="Q1"/>
    <x v="4"/>
  </r>
  <r>
    <s v="O109413"/>
    <x v="625"/>
    <x v="2"/>
    <x v="4"/>
    <x v="4"/>
    <x v="1"/>
    <n v="9"/>
    <n v="1451048"/>
    <d v="2026-07-26T00:00:00"/>
    <n v="7"/>
    <n v="26"/>
    <n v="2026"/>
    <x v="10"/>
    <s v="Q3"/>
    <x v="4"/>
  </r>
  <r>
    <s v="O108089"/>
    <x v="25"/>
    <x v="5"/>
    <x v="0"/>
    <x v="0"/>
    <x v="0"/>
    <n v="4"/>
    <n v="1450047"/>
    <d v="2026-07-05T00:00:00"/>
    <n v="7"/>
    <n v="5"/>
    <n v="2026"/>
    <x v="10"/>
    <s v="Q3"/>
    <x v="0"/>
  </r>
  <r>
    <s v="O109888"/>
    <x v="96"/>
    <x v="0"/>
    <x v="4"/>
    <x v="0"/>
    <x v="1"/>
    <n v="9"/>
    <n v="1449982"/>
    <d v="2026-08-24T00:00:00"/>
    <n v="8"/>
    <n v="24"/>
    <n v="2026"/>
    <x v="8"/>
    <s v="Q3"/>
    <x v="0"/>
  </r>
  <r>
    <s v="O100012"/>
    <x v="751"/>
    <x v="8"/>
    <x v="3"/>
    <x v="0"/>
    <x v="0"/>
    <n v="6"/>
    <n v="1449324"/>
    <d v="2025-01-01T00:00:00"/>
    <n v="1"/>
    <n v="1"/>
    <n v="2025"/>
    <x v="6"/>
    <s v="Q1"/>
    <x v="0"/>
  </r>
  <r>
    <s v="O100437"/>
    <x v="123"/>
    <x v="2"/>
    <x v="0"/>
    <x v="4"/>
    <x v="3"/>
    <n v="3"/>
    <n v="1449121"/>
    <d v="2025-01-27T00:00:00"/>
    <n v="1"/>
    <n v="27"/>
    <n v="2025"/>
    <x v="6"/>
    <s v="Q1"/>
    <x v="4"/>
  </r>
  <r>
    <s v="O103193"/>
    <x v="727"/>
    <x v="2"/>
    <x v="3"/>
    <x v="3"/>
    <x v="3"/>
    <n v="6"/>
    <n v="1448735"/>
    <d v="2025-07-13T00:00:00"/>
    <n v="7"/>
    <n v="13"/>
    <n v="2025"/>
    <x v="10"/>
    <s v="Q3"/>
    <x v="3"/>
  </r>
  <r>
    <s v="O108625"/>
    <x v="461"/>
    <x v="0"/>
    <x v="0"/>
    <x v="4"/>
    <x v="1"/>
    <n v="3"/>
    <n v="1448359"/>
    <d v="2026-08-06T00:00:00"/>
    <n v="8"/>
    <n v="6"/>
    <n v="2026"/>
    <x v="8"/>
    <s v="Q3"/>
    <x v="4"/>
  </r>
  <r>
    <s v="O100664"/>
    <x v="188"/>
    <x v="10"/>
    <x v="0"/>
    <x v="1"/>
    <x v="2"/>
    <n v="3"/>
    <n v="1447782"/>
    <d v="2025-10-02T00:00:00"/>
    <n v="10"/>
    <n v="2"/>
    <n v="2025"/>
    <x v="9"/>
    <s v="Q4"/>
    <x v="1"/>
  </r>
  <r>
    <s v="O102031"/>
    <x v="572"/>
    <x v="0"/>
    <x v="0"/>
    <x v="3"/>
    <x v="1"/>
    <n v="3"/>
    <n v="1447266"/>
    <d v="2025-04-05T00:00:00"/>
    <n v="4"/>
    <n v="5"/>
    <n v="2025"/>
    <x v="11"/>
    <s v="Q2"/>
    <x v="3"/>
  </r>
  <r>
    <s v="O101590"/>
    <x v="478"/>
    <x v="2"/>
    <x v="4"/>
    <x v="4"/>
    <x v="2"/>
    <n v="8"/>
    <n v="1447059"/>
    <d v="2025-07-04T00:00:00"/>
    <n v="7"/>
    <n v="4"/>
    <n v="2025"/>
    <x v="10"/>
    <s v="Q3"/>
    <x v="4"/>
  </r>
  <r>
    <s v="O108881"/>
    <x v="356"/>
    <x v="4"/>
    <x v="2"/>
    <x v="0"/>
    <x v="1"/>
    <n v="5"/>
    <n v="1446829"/>
    <d v="2026-06-24T00:00:00"/>
    <n v="6"/>
    <n v="24"/>
    <n v="2026"/>
    <x v="2"/>
    <m/>
    <x v="0"/>
  </r>
  <r>
    <s v="O109618"/>
    <x v="710"/>
    <x v="1"/>
    <x v="3"/>
    <x v="2"/>
    <x v="1"/>
    <n v="7"/>
    <n v="1446657"/>
    <d v="2026-08-08T00:00:00"/>
    <n v="8"/>
    <n v="8"/>
    <n v="2026"/>
    <x v="8"/>
    <s v="Q3"/>
    <x v="2"/>
  </r>
  <r>
    <s v="O110255"/>
    <x v="180"/>
    <x v="3"/>
    <x v="3"/>
    <x v="4"/>
    <x v="2"/>
    <n v="7"/>
    <n v="1446656"/>
    <d v="2026-09-15T00:00:00"/>
    <n v="9"/>
    <n v="15"/>
    <n v="2026"/>
    <x v="1"/>
    <s v="Q3"/>
    <x v="4"/>
  </r>
  <r>
    <s v="O107732"/>
    <x v="552"/>
    <x v="4"/>
    <x v="0"/>
    <x v="4"/>
    <x v="3"/>
    <n v="4"/>
    <n v="1446571"/>
    <d v="2026-04-15T00:00:00"/>
    <n v="4"/>
    <n v="15"/>
    <n v="2026"/>
    <x v="11"/>
    <s v="Q2"/>
    <x v="4"/>
  </r>
  <r>
    <s v="O108992"/>
    <x v="135"/>
    <x v="5"/>
    <x v="0"/>
    <x v="4"/>
    <x v="2"/>
    <n v="3"/>
    <n v="1446427"/>
    <d v="2026-01-07T00:00:00"/>
    <n v="1"/>
    <n v="7"/>
    <n v="2026"/>
    <x v="6"/>
    <s v="Q1"/>
    <x v="4"/>
  </r>
  <r>
    <s v="O106942"/>
    <x v="459"/>
    <x v="0"/>
    <x v="5"/>
    <x v="0"/>
    <x v="2"/>
    <n v="10"/>
    <n v="1446245"/>
    <d v="2026-02-26T00:00:00"/>
    <n v="2"/>
    <n v="26"/>
    <n v="2026"/>
    <x v="4"/>
    <s v="Q1"/>
    <x v="0"/>
  </r>
  <r>
    <s v="O111845"/>
    <x v="64"/>
    <x v="10"/>
    <x v="3"/>
    <x v="0"/>
    <x v="1"/>
    <n v="7"/>
    <n v="1446147"/>
    <d v="2026-12-21T00:00:00"/>
    <n v="12"/>
    <n v="21"/>
    <n v="2026"/>
    <x v="7"/>
    <s v="Q4"/>
    <x v="0"/>
  </r>
  <r>
    <s v="O104401"/>
    <x v="525"/>
    <x v="4"/>
    <x v="0"/>
    <x v="4"/>
    <x v="0"/>
    <n v="3"/>
    <n v="1445706"/>
    <d v="2025-09-25T00:00:00"/>
    <n v="9"/>
    <n v="25"/>
    <n v="2025"/>
    <x v="1"/>
    <s v="Q3"/>
    <x v="4"/>
  </r>
  <r>
    <s v="O105556"/>
    <x v="666"/>
    <x v="3"/>
    <x v="4"/>
    <x v="3"/>
    <x v="2"/>
    <n v="10"/>
    <n v="1445630"/>
    <d v="2025-04-12T00:00:00"/>
    <n v="4"/>
    <n v="12"/>
    <n v="2025"/>
    <x v="11"/>
    <m/>
    <x v="3"/>
  </r>
  <r>
    <s v="O103669"/>
    <x v="393"/>
    <x v="5"/>
    <x v="0"/>
    <x v="4"/>
    <x v="0"/>
    <n v="3"/>
    <n v="1444652"/>
    <d v="2025-11-08T00:00:00"/>
    <n v="11"/>
    <n v="8"/>
    <n v="2025"/>
    <x v="0"/>
    <s v="Q4"/>
    <x v="4"/>
  </r>
  <r>
    <s v="O108602"/>
    <x v="515"/>
    <x v="9"/>
    <x v="4"/>
    <x v="2"/>
    <x v="3"/>
    <n v="7"/>
    <n v="1443775"/>
    <d v="2026-07-06T00:00:00"/>
    <n v="7"/>
    <n v="6"/>
    <n v="2026"/>
    <x v="10"/>
    <s v="Q3"/>
    <x v="2"/>
  </r>
  <r>
    <s v="O111567"/>
    <x v="35"/>
    <x v="3"/>
    <x v="0"/>
    <x v="4"/>
    <x v="2"/>
    <n v="3"/>
    <n v="1443718"/>
    <d v="2026-04-12T00:00:00"/>
    <n v="4"/>
    <n v="12"/>
    <n v="2026"/>
    <x v="11"/>
    <s v="Q2"/>
    <x v="4"/>
  </r>
  <r>
    <s v="O106124"/>
    <x v="209"/>
    <x v="4"/>
    <x v="3"/>
    <x v="4"/>
    <x v="1"/>
    <n v="7"/>
    <n v="1443478"/>
    <d v="2026-08-01T00:00:00"/>
    <n v="8"/>
    <n v="1"/>
    <n v="2026"/>
    <x v="8"/>
    <s v="Q3"/>
    <x v="4"/>
  </r>
  <r>
    <s v="O103790"/>
    <x v="137"/>
    <x v="2"/>
    <x v="3"/>
    <x v="4"/>
    <x v="1"/>
    <n v="7"/>
    <n v="1443379"/>
    <d v="2025-08-19T00:00:00"/>
    <n v="8"/>
    <n v="19"/>
    <n v="2025"/>
    <x v="8"/>
    <s v="Q3"/>
    <x v="4"/>
  </r>
  <r>
    <s v="O106286"/>
    <x v="440"/>
    <x v="9"/>
    <x v="2"/>
    <x v="1"/>
    <x v="1"/>
    <n v="4"/>
    <n v="1443351"/>
    <d v="2026-01-17T00:00:00"/>
    <n v="1"/>
    <n v="17"/>
    <n v="2026"/>
    <x v="6"/>
    <s v="Q1"/>
    <x v="1"/>
  </r>
  <r>
    <s v="O104326"/>
    <x v="272"/>
    <x v="3"/>
    <x v="3"/>
    <x v="2"/>
    <x v="0"/>
    <n v="6"/>
    <n v="1443233"/>
    <d v="2025-09-20T00:00:00"/>
    <n v="9"/>
    <n v="20"/>
    <n v="2025"/>
    <x v="1"/>
    <s v="Q3"/>
    <x v="2"/>
  </r>
  <r>
    <s v="O107782"/>
    <x v="693"/>
    <x v="4"/>
    <x v="0"/>
    <x v="0"/>
    <x v="3"/>
    <n v="3"/>
    <n v="1442671"/>
    <d v="2026-04-18T00:00:00"/>
    <n v="4"/>
    <n v="18"/>
    <n v="2026"/>
    <x v="11"/>
    <s v="Q2"/>
    <x v="0"/>
  </r>
  <r>
    <s v="O110446"/>
    <x v="90"/>
    <x v="3"/>
    <x v="4"/>
    <x v="0"/>
    <x v="0"/>
    <n v="7"/>
    <n v="1442394"/>
    <d v="2026-09-27T00:00:00"/>
    <n v="9"/>
    <n v="27"/>
    <n v="2026"/>
    <x v="1"/>
    <s v="Q3"/>
    <x v="0"/>
  </r>
  <r>
    <s v="O101497"/>
    <x v="201"/>
    <x v="1"/>
    <x v="2"/>
    <x v="1"/>
    <x v="3"/>
    <n v="4"/>
    <n v="1442151"/>
    <d v="2025-01-04T00:00:00"/>
    <n v="1"/>
    <n v="4"/>
    <n v="2025"/>
    <x v="6"/>
    <s v="Q1"/>
    <x v="1"/>
  </r>
  <r>
    <s v="O105665"/>
    <x v="34"/>
    <x v="5"/>
    <x v="2"/>
    <x v="2"/>
    <x v="3"/>
    <n v="6"/>
    <n v="1441254"/>
    <d v="2025-11-12T00:00:00"/>
    <n v="11"/>
    <n v="12"/>
    <n v="2025"/>
    <x v="0"/>
    <s v="Q4"/>
    <x v="2"/>
  </r>
  <r>
    <s v="O110990"/>
    <x v="94"/>
    <x v="0"/>
    <x v="2"/>
    <x v="3"/>
    <x v="0"/>
    <n v="4"/>
    <n v="1440575"/>
    <d v="2026-10-30T00:00:00"/>
    <n v="10"/>
    <n v="30"/>
    <n v="2026"/>
    <x v="9"/>
    <s v="Q4"/>
    <x v="3"/>
  </r>
  <r>
    <s v="O107918"/>
    <x v="199"/>
    <x v="0"/>
    <x v="0"/>
    <x v="3"/>
    <x v="3"/>
    <n v="3"/>
    <n v="1440451"/>
    <d v="2026-04-26T00:00:00"/>
    <n v="4"/>
    <n v="26"/>
    <n v="2026"/>
    <x v="11"/>
    <s v="Q2"/>
    <x v="3"/>
  </r>
  <r>
    <s v="O104334"/>
    <x v="491"/>
    <x v="1"/>
    <x v="2"/>
    <x v="3"/>
    <x v="1"/>
    <n v="5"/>
    <n v="1440272"/>
    <d v="2025-09-21T00:00:00"/>
    <n v="9"/>
    <n v="21"/>
    <n v="2025"/>
    <x v="1"/>
    <m/>
    <x v="3"/>
  </r>
  <r>
    <s v="O110736"/>
    <x v="341"/>
    <x v="5"/>
    <x v="0"/>
    <x v="0"/>
    <x v="0"/>
    <n v="4"/>
    <n v="1439375"/>
    <d v="2026-10-15T00:00:00"/>
    <n v="10"/>
    <n v="15"/>
    <n v="2026"/>
    <x v="9"/>
    <m/>
    <x v="0"/>
  </r>
  <r>
    <s v="O108391"/>
    <x v="13"/>
    <x v="3"/>
    <x v="2"/>
    <x v="4"/>
    <x v="2"/>
    <n v="4"/>
    <n v="1439296"/>
    <d v="2026-05-25T00:00:00"/>
    <n v="5"/>
    <n v="25"/>
    <n v="2026"/>
    <x v="3"/>
    <s v="Q2"/>
    <x v="4"/>
  </r>
  <r>
    <s v="O107274"/>
    <x v="607"/>
    <x v="1"/>
    <x v="0"/>
    <x v="3"/>
    <x v="3"/>
    <n v="3"/>
    <n v="1438966"/>
    <d v="2026-03-18T00:00:00"/>
    <n v="3"/>
    <n v="18"/>
    <n v="2026"/>
    <x v="5"/>
    <s v="Q1"/>
    <x v="3"/>
  </r>
  <r>
    <s v="O101536"/>
    <x v="384"/>
    <x v="6"/>
    <x v="0"/>
    <x v="4"/>
    <x v="1"/>
    <n v="3"/>
    <n v="1438926"/>
    <d v="2025-04-04T00:00:00"/>
    <n v="4"/>
    <n v="4"/>
    <n v="2025"/>
    <x v="11"/>
    <s v="Q2"/>
    <x v="4"/>
  </r>
  <r>
    <s v="O105560"/>
    <x v="400"/>
    <x v="1"/>
    <x v="2"/>
    <x v="3"/>
    <x v="2"/>
    <n v="5"/>
    <n v="1438624"/>
    <d v="2025-04-12T00:00:00"/>
    <n v="4"/>
    <n v="12"/>
    <n v="2025"/>
    <x v="11"/>
    <s v="Q2"/>
    <x v="3"/>
  </r>
  <r>
    <s v="O102371"/>
    <x v="304"/>
    <x v="6"/>
    <x v="2"/>
    <x v="2"/>
    <x v="2"/>
    <n v="4"/>
    <n v="1438478"/>
    <d v="2025-05-24T00:00:00"/>
    <n v="5"/>
    <n v="24"/>
    <n v="2025"/>
    <x v="3"/>
    <s v="Q2"/>
    <x v="2"/>
  </r>
  <r>
    <s v="O104176"/>
    <x v="636"/>
    <x v="6"/>
    <x v="3"/>
    <x v="0"/>
    <x v="3"/>
    <n v="6"/>
    <n v="1438309"/>
    <d v="2025-11-09T00:00:00"/>
    <n v="11"/>
    <n v="9"/>
    <n v="2025"/>
    <x v="0"/>
    <s v="Q4"/>
    <x v="0"/>
  </r>
  <r>
    <s v="O106736"/>
    <x v="31"/>
    <x v="2"/>
    <x v="2"/>
    <x v="4"/>
    <x v="1"/>
    <n v="4"/>
    <n v="1438170"/>
    <d v="2026-02-14T00:00:00"/>
    <n v="2"/>
    <n v="14"/>
    <n v="2026"/>
    <x v="4"/>
    <s v="Q1"/>
    <x v="4"/>
  </r>
  <r>
    <s v="O111160"/>
    <x v="700"/>
    <x v="3"/>
    <x v="2"/>
    <x v="1"/>
    <x v="1"/>
    <n v="4"/>
    <n v="1438167"/>
    <d v="2026-09-11T00:00:00"/>
    <n v="9"/>
    <n v="11"/>
    <n v="2026"/>
    <x v="1"/>
    <s v="Q3"/>
    <x v="1"/>
  </r>
  <r>
    <s v="O111577"/>
    <x v="536"/>
    <x v="6"/>
    <x v="2"/>
    <x v="4"/>
    <x v="3"/>
    <n v="4"/>
    <n v="1436871"/>
    <d v="2026-05-12T00:00:00"/>
    <n v="5"/>
    <n v="12"/>
    <n v="2026"/>
    <x v="3"/>
    <s v="Q2"/>
    <x v="4"/>
  </r>
  <r>
    <s v="O111871"/>
    <x v="406"/>
    <x v="9"/>
    <x v="3"/>
    <x v="4"/>
    <x v="3"/>
    <n v="8"/>
    <n v="1436610"/>
    <d v="2026-12-23T00:00:00"/>
    <n v="12"/>
    <n v="23"/>
    <n v="2026"/>
    <x v="7"/>
    <s v="Q4"/>
    <x v="4"/>
  </r>
  <r>
    <s v="O104182"/>
    <x v="159"/>
    <x v="2"/>
    <x v="2"/>
    <x v="2"/>
    <x v="0"/>
    <n v="5"/>
    <n v="1435909"/>
    <d v="2025-12-09T00:00:00"/>
    <n v="12"/>
    <n v="9"/>
    <n v="2025"/>
    <x v="7"/>
    <s v="Q4"/>
    <x v="2"/>
  </r>
  <r>
    <s v="O102099"/>
    <x v="318"/>
    <x v="0"/>
    <x v="4"/>
    <x v="4"/>
    <x v="1"/>
    <n v="9"/>
    <n v="1435147"/>
    <d v="2025-08-05T00:00:00"/>
    <n v="8"/>
    <n v="5"/>
    <n v="2025"/>
    <x v="8"/>
    <s v="Q3"/>
    <x v="4"/>
  </r>
  <r>
    <s v="O111559"/>
    <x v="159"/>
    <x v="10"/>
    <x v="0"/>
    <x v="2"/>
    <x v="4"/>
    <n v="4"/>
    <n v="1434679"/>
    <d v="2026-04-12T00:00:00"/>
    <n v="4"/>
    <n v="12"/>
    <n v="2026"/>
    <x v="11"/>
    <s v="Q2"/>
    <x v="2"/>
  </r>
  <r>
    <s v="O108517"/>
    <x v="556"/>
    <x v="1"/>
    <x v="3"/>
    <x v="4"/>
    <x v="0"/>
    <n v="7"/>
    <n v="1434506"/>
    <d v="2026-02-06T00:00:00"/>
    <n v="2"/>
    <n v="6"/>
    <n v="2026"/>
    <x v="4"/>
    <s v="Q1"/>
    <x v="4"/>
  </r>
  <r>
    <s v="O107973"/>
    <x v="124"/>
    <x v="9"/>
    <x v="0"/>
    <x v="1"/>
    <x v="2"/>
    <n v="4"/>
    <n v="1434085"/>
    <d v="2026-04-30T00:00:00"/>
    <n v="4"/>
    <n v="30"/>
    <n v="2026"/>
    <x v="11"/>
    <s v="Q2"/>
    <x v="1"/>
  </r>
  <r>
    <s v="O111175"/>
    <x v="345"/>
    <x v="9"/>
    <x v="3"/>
    <x v="3"/>
    <x v="1"/>
    <n v="8"/>
    <n v="1434035"/>
    <d v="2026-10-11T00:00:00"/>
    <n v="10"/>
    <n v="11"/>
    <n v="2026"/>
    <x v="9"/>
    <s v="Q4"/>
    <x v="3"/>
  </r>
  <r>
    <s v="O100649"/>
    <x v="760"/>
    <x v="6"/>
    <x v="4"/>
    <x v="4"/>
    <x v="3"/>
    <n v="7"/>
    <n v="1433878"/>
    <d v="2025-09-02T00:00:00"/>
    <n v="9"/>
    <n v="2"/>
    <n v="2025"/>
    <x v="1"/>
    <s v="Q3"/>
    <x v="4"/>
  </r>
  <r>
    <s v="O107798"/>
    <x v="720"/>
    <x v="9"/>
    <x v="0"/>
    <x v="2"/>
    <x v="1"/>
    <n v="3"/>
    <n v="1432625"/>
    <d v="2026-04-19T00:00:00"/>
    <n v="4"/>
    <n v="19"/>
    <n v="2026"/>
    <x v="11"/>
    <s v="Q2"/>
    <x v="2"/>
  </r>
  <r>
    <s v="O104084"/>
    <x v="82"/>
    <x v="1"/>
    <x v="4"/>
    <x v="4"/>
    <x v="2"/>
    <n v="8"/>
    <n v="1432352"/>
    <d v="2025-06-09T00:00:00"/>
    <n v="6"/>
    <n v="9"/>
    <n v="2025"/>
    <x v="2"/>
    <s v="Q2"/>
    <x v="4"/>
  </r>
  <r>
    <s v="O109076"/>
    <x v="675"/>
    <x v="3"/>
    <x v="4"/>
    <x v="4"/>
    <x v="1"/>
    <n v="9"/>
    <n v="1431863"/>
    <d v="2026-06-07T00:00:00"/>
    <n v="6"/>
    <n v="7"/>
    <n v="2026"/>
    <x v="2"/>
    <s v="Q2"/>
    <x v="4"/>
  </r>
  <r>
    <s v="O109698"/>
    <x v="594"/>
    <x v="6"/>
    <x v="4"/>
    <x v="2"/>
    <x v="2"/>
    <n v="9"/>
    <n v="1431842"/>
    <d v="2026-08-13T00:00:00"/>
    <n v="8"/>
    <n v="13"/>
    <n v="2026"/>
    <x v="8"/>
    <s v="Q3"/>
    <x v="2"/>
  </r>
  <r>
    <s v="O108001"/>
    <x v="530"/>
    <x v="6"/>
    <x v="4"/>
    <x v="4"/>
    <x v="0"/>
    <n v="9"/>
    <n v="1431818"/>
    <d v="2026-02-05T00:00:00"/>
    <n v="2"/>
    <n v="5"/>
    <n v="2026"/>
    <x v="4"/>
    <s v="Q1"/>
    <x v="4"/>
  </r>
  <r>
    <s v="O100685"/>
    <x v="667"/>
    <x v="3"/>
    <x v="3"/>
    <x v="2"/>
    <x v="0"/>
    <n v="7"/>
    <n v="1431816"/>
    <d v="2025-11-02T00:00:00"/>
    <n v="11"/>
    <n v="2"/>
    <n v="2025"/>
    <x v="0"/>
    <s v="Q4"/>
    <x v="2"/>
  </r>
  <r>
    <s v="O100791"/>
    <x v="726"/>
    <x v="4"/>
    <x v="0"/>
    <x v="1"/>
    <x v="1"/>
    <n v="4"/>
    <n v="1431637"/>
    <d v="2025-02-17T00:00:00"/>
    <n v="2"/>
    <n v="17"/>
    <n v="2025"/>
    <x v="4"/>
    <s v="Q1"/>
    <x v="1"/>
  </r>
  <r>
    <s v="O105187"/>
    <x v="213"/>
    <x v="6"/>
    <x v="2"/>
    <x v="4"/>
    <x v="1"/>
    <n v="4"/>
    <n v="1431337"/>
    <d v="2025-12-11T00:00:00"/>
    <n v="12"/>
    <n v="11"/>
    <n v="2025"/>
    <x v="7"/>
    <m/>
    <x v="4"/>
  </r>
  <r>
    <s v="O100659"/>
    <x v="650"/>
    <x v="5"/>
    <x v="2"/>
    <x v="1"/>
    <x v="0"/>
    <n v="4"/>
    <n v="1431197"/>
    <d v="2025-09-02T00:00:00"/>
    <n v="9"/>
    <n v="2"/>
    <n v="2025"/>
    <x v="1"/>
    <s v="Q3"/>
    <x v="1"/>
  </r>
  <r>
    <s v="O109226"/>
    <x v="327"/>
    <x v="5"/>
    <x v="3"/>
    <x v="1"/>
    <x v="1"/>
    <n v="8"/>
    <n v="1430960"/>
    <d v="2026-07-15T00:00:00"/>
    <n v="7"/>
    <n v="15"/>
    <n v="2026"/>
    <x v="10"/>
    <s v="Q3"/>
    <x v="1"/>
  </r>
  <r>
    <s v="O110779"/>
    <x v="780"/>
    <x v="5"/>
    <x v="4"/>
    <x v="3"/>
    <x v="2"/>
    <n v="10"/>
    <n v="1430671"/>
    <d v="2026-10-17T00:00:00"/>
    <n v="10"/>
    <n v="17"/>
    <n v="2026"/>
    <x v="9"/>
    <s v="Q4"/>
    <x v="3"/>
  </r>
  <r>
    <s v="O101800"/>
    <x v="314"/>
    <x v="6"/>
    <x v="0"/>
    <x v="1"/>
    <x v="3"/>
    <n v="3"/>
    <n v="1430350"/>
    <d v="2025-04-20T00:00:00"/>
    <n v="4"/>
    <n v="20"/>
    <n v="2025"/>
    <x v="11"/>
    <s v="Q2"/>
    <x v="1"/>
  </r>
  <r>
    <s v="O108841"/>
    <x v="740"/>
    <x v="0"/>
    <x v="2"/>
    <x v="2"/>
    <x v="3"/>
    <n v="5"/>
    <n v="1430194"/>
    <d v="2026-06-22T00:00:00"/>
    <n v="6"/>
    <n v="22"/>
    <n v="2026"/>
    <x v="2"/>
    <s v="Q2"/>
    <x v="2"/>
  </r>
  <r>
    <s v="O102240"/>
    <x v="75"/>
    <x v="3"/>
    <x v="0"/>
    <x v="1"/>
    <x v="3"/>
    <n v="4"/>
    <n v="1429717"/>
    <d v="2025-05-17T00:00:00"/>
    <n v="5"/>
    <n v="17"/>
    <n v="2025"/>
    <x v="3"/>
    <m/>
    <x v="1"/>
  </r>
  <r>
    <s v="O102221"/>
    <x v="221"/>
    <x v="8"/>
    <x v="4"/>
    <x v="3"/>
    <x v="3"/>
    <n v="7"/>
    <n v="1429481"/>
    <d v="2025-05-15T00:00:00"/>
    <n v="5"/>
    <n v="15"/>
    <n v="2025"/>
    <x v="3"/>
    <s v="Q2"/>
    <x v="3"/>
  </r>
  <r>
    <s v="O103264"/>
    <x v="478"/>
    <x v="10"/>
    <x v="0"/>
    <x v="3"/>
    <x v="3"/>
    <n v="3"/>
    <n v="1426992"/>
    <d v="2025-07-18T00:00:00"/>
    <n v="7"/>
    <n v="18"/>
    <n v="2025"/>
    <x v="10"/>
    <s v="Q3"/>
    <x v="3"/>
  </r>
  <r>
    <s v="O104152"/>
    <x v="556"/>
    <x v="2"/>
    <x v="0"/>
    <x v="4"/>
    <x v="1"/>
    <n v="3"/>
    <n v="1426665"/>
    <d v="2025-10-09T00:00:00"/>
    <n v="10"/>
    <n v="9"/>
    <n v="2025"/>
    <x v="9"/>
    <s v="Q4"/>
    <x v="4"/>
  </r>
  <r>
    <s v="O109273"/>
    <x v="437"/>
    <x v="3"/>
    <x v="2"/>
    <x v="5"/>
    <x v="0"/>
    <n v="4"/>
    <n v="1426393"/>
    <d v="2026-07-18T00:00:00"/>
    <n v="7"/>
    <n v="18"/>
    <n v="2026"/>
    <x v="10"/>
    <s v="Q3"/>
    <x v="5"/>
  </r>
  <r>
    <s v="O100877"/>
    <x v="784"/>
    <x v="9"/>
    <x v="4"/>
    <x v="4"/>
    <x v="0"/>
    <n v="9"/>
    <n v="1426375"/>
    <d v="2025-02-23T00:00:00"/>
    <n v="2"/>
    <n v="23"/>
    <n v="2025"/>
    <x v="4"/>
    <s v="Q1"/>
    <x v="4"/>
  </r>
  <r>
    <s v="O101860"/>
    <x v="451"/>
    <x v="10"/>
    <x v="4"/>
    <x v="0"/>
    <x v="3"/>
    <n v="10"/>
    <n v="1425464"/>
    <d v="2025-04-23T00:00:00"/>
    <n v="4"/>
    <n v="23"/>
    <n v="2025"/>
    <x v="11"/>
    <s v="Q2"/>
    <x v="0"/>
  </r>
  <r>
    <s v="O108333"/>
    <x v="402"/>
    <x v="9"/>
    <x v="4"/>
    <x v="3"/>
    <x v="1"/>
    <n v="10"/>
    <n v="1425416"/>
    <d v="2026-05-22T00:00:00"/>
    <n v="5"/>
    <n v="22"/>
    <n v="2026"/>
    <x v="3"/>
    <s v="Q2"/>
    <x v="3"/>
  </r>
  <r>
    <s v="O101417"/>
    <x v="265"/>
    <x v="5"/>
    <x v="0"/>
    <x v="3"/>
    <x v="2"/>
    <n v="3"/>
    <n v="1425119"/>
    <d v="2025-03-28T00:00:00"/>
    <n v="3"/>
    <n v="28"/>
    <n v="2025"/>
    <x v="5"/>
    <s v="Q1"/>
    <x v="3"/>
  </r>
  <r>
    <s v="O109016"/>
    <x v="698"/>
    <x v="8"/>
    <x v="0"/>
    <x v="0"/>
    <x v="1"/>
    <n v="3"/>
    <n v="1424912"/>
    <d v="2026-02-07T00:00:00"/>
    <n v="2"/>
    <n v="7"/>
    <n v="2026"/>
    <x v="4"/>
    <s v="Q1"/>
    <x v="0"/>
  </r>
  <r>
    <s v="O102328"/>
    <x v="747"/>
    <x v="0"/>
    <x v="0"/>
    <x v="2"/>
    <x v="1"/>
    <n v="3"/>
    <n v="1424767"/>
    <d v="2025-05-22T00:00:00"/>
    <n v="5"/>
    <n v="22"/>
    <n v="2025"/>
    <x v="3"/>
    <m/>
    <x v="2"/>
  </r>
  <r>
    <s v="O107995"/>
    <x v="714"/>
    <x v="10"/>
    <x v="0"/>
    <x v="3"/>
    <x v="3"/>
    <n v="3"/>
    <n v="1424743"/>
    <d v="2026-01-05T00:00:00"/>
    <n v="1"/>
    <n v="5"/>
    <n v="2026"/>
    <x v="6"/>
    <s v="Q1"/>
    <x v="3"/>
  </r>
  <r>
    <s v="O103203"/>
    <x v="345"/>
    <x v="6"/>
    <x v="0"/>
    <x v="2"/>
    <x v="1"/>
    <n v="3"/>
    <n v="1424012"/>
    <d v="2025-07-14T00:00:00"/>
    <n v="7"/>
    <n v="14"/>
    <n v="2025"/>
    <x v="10"/>
    <s v="Q3"/>
    <x v="2"/>
  </r>
  <r>
    <s v="O101429"/>
    <x v="65"/>
    <x v="6"/>
    <x v="2"/>
    <x v="3"/>
    <x v="0"/>
    <n v="6"/>
    <n v="1423228"/>
    <d v="2025-03-28T00:00:00"/>
    <n v="3"/>
    <n v="28"/>
    <n v="2025"/>
    <x v="5"/>
    <s v="Q1"/>
    <x v="3"/>
  </r>
  <r>
    <s v="O106245"/>
    <x v="207"/>
    <x v="3"/>
    <x v="4"/>
    <x v="4"/>
    <x v="0"/>
    <n v="9"/>
    <n v="1422679"/>
    <d v="2026-01-15T00:00:00"/>
    <n v="1"/>
    <n v="15"/>
    <n v="2026"/>
    <x v="6"/>
    <s v="Q1"/>
    <x v="4"/>
  </r>
  <r>
    <s v="O102973"/>
    <x v="766"/>
    <x v="0"/>
    <x v="4"/>
    <x v="4"/>
    <x v="1"/>
    <n v="7"/>
    <n v="1422354"/>
    <d v="2025-06-30T00:00:00"/>
    <n v="6"/>
    <n v="30"/>
    <n v="2025"/>
    <x v="2"/>
    <s v="Q2"/>
    <x v="4"/>
  </r>
  <r>
    <s v="O109454"/>
    <x v="660"/>
    <x v="5"/>
    <x v="0"/>
    <x v="2"/>
    <x v="0"/>
    <n v="3"/>
    <n v="1422067"/>
    <d v="2026-07-29T00:00:00"/>
    <n v="7"/>
    <n v="29"/>
    <n v="2026"/>
    <x v="10"/>
    <m/>
    <x v="2"/>
  </r>
  <r>
    <s v="O103007"/>
    <x v="719"/>
    <x v="6"/>
    <x v="5"/>
    <x v="1"/>
    <x v="2"/>
    <n v="10"/>
    <n v="1421308"/>
    <d v="2025-02-07T00:00:00"/>
    <n v="2"/>
    <n v="7"/>
    <n v="2025"/>
    <x v="4"/>
    <s v="Q1"/>
    <x v="1"/>
  </r>
  <r>
    <s v="O100117"/>
    <x v="40"/>
    <x v="6"/>
    <x v="4"/>
    <x v="3"/>
    <x v="1"/>
    <n v="8"/>
    <n v="1421086"/>
    <d v="2025-08-01T00:00:00"/>
    <n v="8"/>
    <n v="1"/>
    <n v="2025"/>
    <x v="8"/>
    <s v="Q3"/>
    <x v="3"/>
  </r>
  <r>
    <s v="O111119"/>
    <x v="69"/>
    <x v="9"/>
    <x v="4"/>
    <x v="4"/>
    <x v="2"/>
    <n v="9"/>
    <n v="1420757"/>
    <d v="2026-07-11T00:00:00"/>
    <n v="7"/>
    <n v="11"/>
    <n v="2026"/>
    <x v="10"/>
    <s v="Q3"/>
    <x v="4"/>
  </r>
  <r>
    <s v="O109058"/>
    <x v="346"/>
    <x v="4"/>
    <x v="0"/>
    <x v="4"/>
    <x v="1"/>
    <n v="3"/>
    <n v="1420467"/>
    <d v="2026-05-07T00:00:00"/>
    <n v="5"/>
    <n v="7"/>
    <n v="2026"/>
    <x v="3"/>
    <m/>
    <x v="4"/>
  </r>
  <r>
    <s v="O103001"/>
    <x v="624"/>
    <x v="2"/>
    <x v="2"/>
    <x v="0"/>
    <x v="3"/>
    <n v="4"/>
    <n v="1420348"/>
    <d v="2025-02-07T00:00:00"/>
    <n v="2"/>
    <n v="7"/>
    <n v="2025"/>
    <x v="4"/>
    <s v="Q1"/>
    <x v="0"/>
  </r>
  <r>
    <s v="O106045"/>
    <x v="393"/>
    <x v="5"/>
    <x v="4"/>
    <x v="2"/>
    <x v="3"/>
    <n v="9"/>
    <n v="1420132"/>
    <d v="2026-03-01T00:00:00"/>
    <n v="3"/>
    <n v="1"/>
    <n v="2026"/>
    <x v="5"/>
    <s v="Q1"/>
    <x v="2"/>
  </r>
  <r>
    <s v="O109537"/>
    <x v="43"/>
    <x v="6"/>
    <x v="2"/>
    <x v="0"/>
    <x v="0"/>
    <n v="4"/>
    <n v="1419696"/>
    <d v="2026-03-08T00:00:00"/>
    <n v="3"/>
    <n v="8"/>
    <n v="2026"/>
    <x v="5"/>
    <s v="Q1"/>
    <x v="0"/>
  </r>
  <r>
    <s v="O104914"/>
    <x v="719"/>
    <x v="6"/>
    <x v="0"/>
    <x v="4"/>
    <x v="0"/>
    <n v="4"/>
    <n v="1419547"/>
    <d v="2025-10-26T00:00:00"/>
    <n v="10"/>
    <n v="26"/>
    <n v="2025"/>
    <x v="9"/>
    <s v="Q4"/>
    <x v="4"/>
  </r>
  <r>
    <s v="O102929"/>
    <x v="79"/>
    <x v="9"/>
    <x v="4"/>
    <x v="1"/>
    <x v="1"/>
    <n v="7"/>
    <n v="1419533"/>
    <d v="2025-06-27T00:00:00"/>
    <n v="6"/>
    <n v="27"/>
    <n v="2025"/>
    <x v="2"/>
    <s v="Q2"/>
    <x v="1"/>
  </r>
  <r>
    <s v="O110300"/>
    <x v="65"/>
    <x v="6"/>
    <x v="5"/>
    <x v="2"/>
    <x v="3"/>
    <n v="10"/>
    <n v="1418958"/>
    <d v="2026-09-18T00:00:00"/>
    <n v="9"/>
    <n v="18"/>
    <n v="2026"/>
    <x v="1"/>
    <s v="Q3"/>
    <x v="2"/>
  </r>
  <r>
    <s v="O100465"/>
    <x v="708"/>
    <x v="9"/>
    <x v="3"/>
    <x v="1"/>
    <x v="0"/>
    <n v="8"/>
    <n v="1418665"/>
    <d v="2025-01-29T00:00:00"/>
    <n v="1"/>
    <n v="29"/>
    <n v="2025"/>
    <x v="6"/>
    <s v="Q1"/>
    <x v="1"/>
  </r>
  <r>
    <s v="O103800"/>
    <x v="532"/>
    <x v="10"/>
    <x v="2"/>
    <x v="2"/>
    <x v="3"/>
    <n v="4"/>
    <n v="1418418"/>
    <d v="2025-08-19T00:00:00"/>
    <n v="8"/>
    <n v="19"/>
    <n v="2025"/>
    <x v="8"/>
    <s v="Q3"/>
    <x v="2"/>
  </r>
  <r>
    <s v="O103510"/>
    <x v="60"/>
    <x v="5"/>
    <x v="0"/>
    <x v="0"/>
    <x v="0"/>
    <n v="3"/>
    <n v="1417957"/>
    <d v="2025-02-08T00:00:00"/>
    <n v="2"/>
    <n v="8"/>
    <n v="2025"/>
    <x v="4"/>
    <s v="Q1"/>
    <x v="0"/>
  </r>
  <r>
    <s v="O111398"/>
    <x v="731"/>
    <x v="5"/>
    <x v="2"/>
    <x v="4"/>
    <x v="1"/>
    <n v="4"/>
    <n v="1417848"/>
    <d v="2026-11-24T00:00:00"/>
    <n v="11"/>
    <n v="24"/>
    <n v="2026"/>
    <x v="0"/>
    <s v="Q4"/>
    <x v="4"/>
  </r>
  <r>
    <s v="O107422"/>
    <x v="489"/>
    <x v="8"/>
    <x v="4"/>
    <x v="0"/>
    <x v="0"/>
    <n v="10"/>
    <n v="1417627"/>
    <d v="2026-03-27T00:00:00"/>
    <n v="3"/>
    <n v="27"/>
    <n v="2026"/>
    <x v="5"/>
    <s v="Q1"/>
    <x v="0"/>
  </r>
  <r>
    <s v="O104212"/>
    <x v="35"/>
    <x v="2"/>
    <x v="2"/>
    <x v="3"/>
    <x v="3"/>
    <n v="4"/>
    <n v="1416940"/>
    <d v="2025-09-13T00:00:00"/>
    <n v="9"/>
    <n v="13"/>
    <n v="2025"/>
    <x v="1"/>
    <s v="Q3"/>
    <x v="3"/>
  </r>
  <r>
    <s v="O106875"/>
    <x v="582"/>
    <x v="1"/>
    <x v="5"/>
    <x v="4"/>
    <x v="0"/>
    <n v="10"/>
    <n v="1416238"/>
    <d v="2026-02-22T00:00:00"/>
    <n v="2"/>
    <n v="22"/>
    <n v="2026"/>
    <x v="4"/>
    <s v="Q1"/>
    <x v="4"/>
  </r>
  <r>
    <s v="O104874"/>
    <x v="702"/>
    <x v="2"/>
    <x v="0"/>
    <x v="1"/>
    <x v="0"/>
    <n v="4"/>
    <n v="1415946"/>
    <d v="2025-10-24T00:00:00"/>
    <n v="10"/>
    <n v="24"/>
    <n v="2025"/>
    <x v="9"/>
    <s v="Q4"/>
    <x v="1"/>
  </r>
  <r>
    <s v="O101096"/>
    <x v="644"/>
    <x v="4"/>
    <x v="0"/>
    <x v="4"/>
    <x v="0"/>
    <n v="3"/>
    <n v="1415567"/>
    <d v="2025-08-03T00:00:00"/>
    <n v="8"/>
    <n v="3"/>
    <n v="2025"/>
    <x v="8"/>
    <s v="Q3"/>
    <x v="4"/>
  </r>
  <r>
    <s v="O102705"/>
    <x v="779"/>
    <x v="9"/>
    <x v="4"/>
    <x v="1"/>
    <x v="1"/>
    <n v="9"/>
    <n v="1415185"/>
    <d v="2025-06-14T00:00:00"/>
    <n v="6"/>
    <n v="14"/>
    <n v="2025"/>
    <x v="2"/>
    <s v="Q2"/>
    <x v="1"/>
  </r>
  <r>
    <s v="O105794"/>
    <x v="345"/>
    <x v="6"/>
    <x v="3"/>
    <x v="0"/>
    <x v="3"/>
    <n v="6"/>
    <n v="1415123"/>
    <d v="2025-12-18T00:00:00"/>
    <n v="12"/>
    <n v="18"/>
    <n v="2025"/>
    <x v="7"/>
    <s v="Q4"/>
    <x v="0"/>
  </r>
  <r>
    <s v="O103339"/>
    <x v="194"/>
    <x v="10"/>
    <x v="2"/>
    <x v="0"/>
    <x v="0"/>
    <n v="5"/>
    <n v="1414982"/>
    <d v="2025-07-22T00:00:00"/>
    <n v="7"/>
    <n v="22"/>
    <n v="2025"/>
    <x v="10"/>
    <s v="Q3"/>
    <x v="0"/>
  </r>
  <r>
    <s v="O110454"/>
    <x v="366"/>
    <x v="0"/>
    <x v="5"/>
    <x v="2"/>
    <x v="2"/>
    <n v="10"/>
    <n v="1414933"/>
    <d v="2026-09-28T00:00:00"/>
    <n v="9"/>
    <n v="28"/>
    <n v="2026"/>
    <x v="1"/>
    <s v="Q3"/>
    <x v="2"/>
  </r>
  <r>
    <s v="O102386"/>
    <x v="584"/>
    <x v="4"/>
    <x v="2"/>
    <x v="0"/>
    <x v="0"/>
    <n v="6"/>
    <n v="1414912"/>
    <d v="2025-05-25T00:00:00"/>
    <n v="5"/>
    <n v="25"/>
    <n v="2025"/>
    <x v="3"/>
    <s v="Q2"/>
    <x v="0"/>
  </r>
  <r>
    <s v="O109783"/>
    <x v="537"/>
    <x v="8"/>
    <x v="4"/>
    <x v="3"/>
    <x v="2"/>
    <n v="9"/>
    <n v="1414603"/>
    <d v="2026-08-18T00:00:00"/>
    <n v="8"/>
    <n v="18"/>
    <n v="2026"/>
    <x v="8"/>
    <s v="Q3"/>
    <x v="3"/>
  </r>
  <r>
    <s v="O110380"/>
    <x v="143"/>
    <x v="1"/>
    <x v="4"/>
    <x v="1"/>
    <x v="0"/>
    <n v="9"/>
    <n v="1414177"/>
    <d v="2026-09-23T00:00:00"/>
    <n v="9"/>
    <n v="23"/>
    <n v="2026"/>
    <x v="1"/>
    <s v="Q3"/>
    <x v="1"/>
  </r>
  <r>
    <s v="O102135"/>
    <x v="793"/>
    <x v="8"/>
    <x v="4"/>
    <x v="0"/>
    <x v="1"/>
    <n v="8"/>
    <n v="1413952"/>
    <d v="2025-10-05T00:00:00"/>
    <n v="10"/>
    <n v="5"/>
    <n v="2025"/>
    <x v="9"/>
    <s v="Q4"/>
    <x v="0"/>
  </r>
  <r>
    <s v="O102997"/>
    <x v="705"/>
    <x v="1"/>
    <x v="0"/>
    <x v="4"/>
    <x v="0"/>
    <n v="3"/>
    <n v="1413696"/>
    <d v="2025-02-07T00:00:00"/>
    <n v="2"/>
    <n v="7"/>
    <n v="2025"/>
    <x v="4"/>
    <s v="Q1"/>
    <x v="4"/>
  </r>
  <r>
    <s v="O104306"/>
    <x v="509"/>
    <x v="6"/>
    <x v="0"/>
    <x v="1"/>
    <x v="1"/>
    <n v="4"/>
    <n v="1413611"/>
    <d v="2025-09-19T00:00:00"/>
    <n v="9"/>
    <n v="19"/>
    <n v="2025"/>
    <x v="1"/>
    <s v="Q3"/>
    <x v="1"/>
  </r>
  <r>
    <s v="O107650"/>
    <x v="703"/>
    <x v="10"/>
    <x v="2"/>
    <x v="4"/>
    <x v="1"/>
    <n v="5"/>
    <n v="1413189"/>
    <d v="2026-10-04T00:00:00"/>
    <n v="10"/>
    <n v="4"/>
    <n v="2026"/>
    <x v="9"/>
    <s v="Q4"/>
    <x v="4"/>
  </r>
  <r>
    <s v="O106638"/>
    <x v="531"/>
    <x v="6"/>
    <x v="2"/>
    <x v="3"/>
    <x v="2"/>
    <n v="4"/>
    <n v="1413042"/>
    <d v="2026-08-02T00:00:00"/>
    <n v="8"/>
    <n v="2"/>
    <n v="2026"/>
    <x v="8"/>
    <s v="Q3"/>
    <x v="3"/>
  </r>
  <r>
    <s v="O105955"/>
    <x v="144"/>
    <x v="8"/>
    <x v="0"/>
    <x v="2"/>
    <x v="3"/>
    <n v="3"/>
    <n v="1412244"/>
    <d v="2025-12-28T00:00:00"/>
    <n v="12"/>
    <n v="28"/>
    <n v="2025"/>
    <x v="7"/>
    <s v="Q4"/>
    <x v="2"/>
  </r>
  <r>
    <s v="O101821"/>
    <x v="725"/>
    <x v="8"/>
    <x v="0"/>
    <x v="2"/>
    <x v="3"/>
    <n v="3"/>
    <n v="1412210"/>
    <d v="2025-04-21T00:00:00"/>
    <n v="4"/>
    <n v="21"/>
    <n v="2025"/>
    <x v="11"/>
    <m/>
    <x v="2"/>
  </r>
  <r>
    <s v="O109759"/>
    <x v="500"/>
    <x v="9"/>
    <x v="0"/>
    <x v="2"/>
    <x v="3"/>
    <n v="4"/>
    <n v="1411860"/>
    <d v="2026-08-16T00:00:00"/>
    <n v="8"/>
    <n v="16"/>
    <n v="2026"/>
    <x v="8"/>
    <s v="Q3"/>
    <x v="2"/>
  </r>
  <r>
    <s v="O108167"/>
    <x v="420"/>
    <x v="8"/>
    <x v="0"/>
    <x v="4"/>
    <x v="1"/>
    <n v="3"/>
    <n v="1411686"/>
    <d v="2026-12-05T00:00:00"/>
    <n v="12"/>
    <n v="5"/>
    <n v="2026"/>
    <x v="7"/>
    <s v="Q4"/>
    <x v="4"/>
  </r>
  <r>
    <s v="O104014"/>
    <x v="767"/>
    <x v="9"/>
    <x v="0"/>
    <x v="2"/>
    <x v="2"/>
    <n v="3"/>
    <n v="1411518"/>
    <d v="2025-01-09T00:00:00"/>
    <n v="1"/>
    <n v="9"/>
    <n v="2025"/>
    <x v="6"/>
    <s v="Q1"/>
    <x v="2"/>
  </r>
  <r>
    <s v="O111848"/>
    <x v="643"/>
    <x v="0"/>
    <x v="5"/>
    <x v="3"/>
    <x v="2"/>
    <n v="10"/>
    <n v="1411390"/>
    <d v="2026-12-21T00:00:00"/>
    <n v="12"/>
    <n v="21"/>
    <n v="2026"/>
    <x v="7"/>
    <s v="Q4"/>
    <x v="3"/>
  </r>
  <r>
    <s v="O101079"/>
    <x v="431"/>
    <x v="7"/>
    <x v="0"/>
    <x v="4"/>
    <x v="1"/>
    <n v="4"/>
    <n v="1411316"/>
    <d v="2025-07-03T00:00:00"/>
    <n v="7"/>
    <n v="3"/>
    <n v="2025"/>
    <x v="10"/>
    <s v="Q3"/>
    <x v="4"/>
  </r>
  <r>
    <s v="O106841"/>
    <x v="400"/>
    <x v="1"/>
    <x v="3"/>
    <x v="1"/>
    <x v="1"/>
    <n v="6"/>
    <n v="1411022"/>
    <d v="2026-02-20T00:00:00"/>
    <n v="2"/>
    <n v="20"/>
    <n v="2026"/>
    <x v="4"/>
    <s v="Q1"/>
    <x v="1"/>
  </r>
  <r>
    <s v="O104162"/>
    <x v="99"/>
    <x v="9"/>
    <x v="0"/>
    <x v="1"/>
    <x v="3"/>
    <n v="4"/>
    <n v="1410575"/>
    <d v="2025-10-09T00:00:00"/>
    <n v="10"/>
    <n v="9"/>
    <n v="2025"/>
    <x v="9"/>
    <s v="Q4"/>
    <x v="1"/>
  </r>
  <r>
    <s v="O106577"/>
    <x v="41"/>
    <x v="9"/>
    <x v="3"/>
    <x v="0"/>
    <x v="2"/>
    <n v="8"/>
    <n v="1410457"/>
    <d v="2026-04-02T00:00:00"/>
    <n v="4"/>
    <n v="2"/>
    <n v="2026"/>
    <x v="11"/>
    <s v="Q2"/>
    <x v="0"/>
  </r>
  <r>
    <s v="O108926"/>
    <x v="594"/>
    <x v="2"/>
    <x v="2"/>
    <x v="2"/>
    <x v="3"/>
    <n v="4"/>
    <n v="1410280"/>
    <d v="2026-06-27T00:00:00"/>
    <n v="6"/>
    <n v="27"/>
    <n v="2026"/>
    <x v="2"/>
    <s v="Q2"/>
    <x v="2"/>
  </r>
  <r>
    <s v="O100764"/>
    <x v="595"/>
    <x v="5"/>
    <x v="4"/>
    <x v="2"/>
    <x v="2"/>
    <n v="8"/>
    <n v="1410271"/>
    <d v="2025-02-16T00:00:00"/>
    <n v="2"/>
    <n v="16"/>
    <n v="2025"/>
    <x v="4"/>
    <s v="Q1"/>
    <x v="2"/>
  </r>
  <r>
    <s v="O110098"/>
    <x v="133"/>
    <x v="6"/>
    <x v="4"/>
    <x v="4"/>
    <x v="1"/>
    <n v="10"/>
    <n v="1410239"/>
    <d v="2026-06-09T00:00:00"/>
    <n v="6"/>
    <n v="9"/>
    <n v="2026"/>
    <x v="2"/>
    <s v="Q2"/>
    <x v="4"/>
  </r>
  <r>
    <s v="O101470"/>
    <x v="450"/>
    <x v="6"/>
    <x v="4"/>
    <x v="0"/>
    <x v="3"/>
    <n v="9"/>
    <n v="1409048"/>
    <d v="2025-03-31T00:00:00"/>
    <n v="3"/>
    <n v="31"/>
    <n v="2025"/>
    <x v="5"/>
    <s v="Q1"/>
    <x v="0"/>
  </r>
  <r>
    <s v="O106576"/>
    <x v="657"/>
    <x v="3"/>
    <x v="4"/>
    <x v="3"/>
    <x v="3"/>
    <n v="10"/>
    <n v="1408929"/>
    <d v="2026-04-02T00:00:00"/>
    <n v="4"/>
    <n v="2"/>
    <n v="2026"/>
    <x v="11"/>
    <s v="Q2"/>
    <x v="3"/>
  </r>
  <r>
    <s v="O102327"/>
    <x v="378"/>
    <x v="6"/>
    <x v="5"/>
    <x v="1"/>
    <x v="2"/>
    <n v="10"/>
    <n v="1408736"/>
    <d v="2025-05-22T00:00:00"/>
    <n v="5"/>
    <n v="22"/>
    <n v="2025"/>
    <x v="3"/>
    <m/>
    <x v="1"/>
  </r>
  <r>
    <s v="O102816"/>
    <x v="687"/>
    <x v="1"/>
    <x v="4"/>
    <x v="0"/>
    <x v="3"/>
    <n v="10"/>
    <n v="1408572"/>
    <d v="2025-06-21T00:00:00"/>
    <n v="6"/>
    <n v="21"/>
    <n v="2025"/>
    <x v="2"/>
    <s v="Q2"/>
    <x v="0"/>
  </r>
  <r>
    <s v="O110418"/>
    <x v="652"/>
    <x v="2"/>
    <x v="0"/>
    <x v="0"/>
    <x v="1"/>
    <n v="4"/>
    <n v="1408497"/>
    <d v="2026-09-25T00:00:00"/>
    <n v="9"/>
    <n v="25"/>
    <n v="2026"/>
    <x v="1"/>
    <s v="Q3"/>
    <x v="0"/>
  </r>
  <r>
    <s v="O102071"/>
    <x v="474"/>
    <x v="9"/>
    <x v="4"/>
    <x v="0"/>
    <x v="0"/>
    <n v="7"/>
    <n v="1407865"/>
    <d v="2025-06-05T00:00:00"/>
    <n v="6"/>
    <n v="5"/>
    <n v="2025"/>
    <x v="2"/>
    <s v="Q2"/>
    <x v="0"/>
  </r>
  <r>
    <s v="O106938"/>
    <x v="603"/>
    <x v="4"/>
    <x v="4"/>
    <x v="4"/>
    <x v="2"/>
    <n v="10"/>
    <n v="1407351"/>
    <d v="2026-02-26T00:00:00"/>
    <n v="2"/>
    <n v="26"/>
    <n v="2026"/>
    <x v="4"/>
    <s v="Q1"/>
    <x v="4"/>
  </r>
  <r>
    <s v="O105154"/>
    <x v="290"/>
    <x v="4"/>
    <x v="4"/>
    <x v="1"/>
    <x v="1"/>
    <n v="7"/>
    <n v="1407125"/>
    <d v="2025-10-11T00:00:00"/>
    <n v="10"/>
    <n v="11"/>
    <n v="2025"/>
    <x v="9"/>
    <s v="Q4"/>
    <x v="1"/>
  </r>
  <r>
    <s v="O109553"/>
    <x v="710"/>
    <x v="10"/>
    <x v="4"/>
    <x v="0"/>
    <x v="2"/>
    <n v="10"/>
    <n v="1407116"/>
    <d v="2026-04-08T00:00:00"/>
    <n v="4"/>
    <n v="8"/>
    <n v="2026"/>
    <x v="11"/>
    <s v="Q2"/>
    <x v="0"/>
  </r>
  <r>
    <s v="O107478"/>
    <x v="511"/>
    <x v="5"/>
    <x v="0"/>
    <x v="1"/>
    <x v="0"/>
    <n v="3"/>
    <n v="1406935"/>
    <d v="2026-03-31T00:00:00"/>
    <n v="3"/>
    <n v="31"/>
    <n v="2026"/>
    <x v="5"/>
    <s v="Q1"/>
    <x v="1"/>
  </r>
  <r>
    <s v="O103855"/>
    <x v="534"/>
    <x v="0"/>
    <x v="2"/>
    <x v="3"/>
    <x v="2"/>
    <n v="4"/>
    <n v="1406859"/>
    <d v="2025-08-23T00:00:00"/>
    <n v="8"/>
    <n v="23"/>
    <n v="2025"/>
    <x v="8"/>
    <s v="Q3"/>
    <x v="3"/>
  </r>
  <r>
    <s v="O109755"/>
    <x v="452"/>
    <x v="3"/>
    <x v="0"/>
    <x v="1"/>
    <x v="0"/>
    <n v="4"/>
    <n v="1406838"/>
    <d v="2026-08-16T00:00:00"/>
    <n v="8"/>
    <n v="16"/>
    <n v="2026"/>
    <x v="8"/>
    <s v="Q3"/>
    <x v="1"/>
  </r>
  <r>
    <s v="O103046"/>
    <x v="308"/>
    <x v="4"/>
    <x v="4"/>
    <x v="0"/>
    <x v="0"/>
    <n v="7"/>
    <n v="1406396"/>
    <d v="2025-04-07T00:00:00"/>
    <n v="4"/>
    <n v="7"/>
    <n v="2025"/>
    <x v="11"/>
    <s v="Q2"/>
    <x v="0"/>
  </r>
  <r>
    <s v="O102358"/>
    <x v="218"/>
    <x v="8"/>
    <x v="0"/>
    <x v="1"/>
    <x v="2"/>
    <n v="3"/>
    <n v="1405847"/>
    <d v="2025-05-24T00:00:00"/>
    <n v="5"/>
    <n v="24"/>
    <n v="2025"/>
    <x v="3"/>
    <s v="Q2"/>
    <x v="1"/>
  </r>
  <r>
    <s v="O104186"/>
    <x v="246"/>
    <x v="10"/>
    <x v="2"/>
    <x v="3"/>
    <x v="1"/>
    <n v="4"/>
    <n v="1405569"/>
    <d v="2025-12-09T00:00:00"/>
    <n v="12"/>
    <n v="9"/>
    <n v="2025"/>
    <x v="7"/>
    <s v="Q4"/>
    <x v="3"/>
  </r>
  <r>
    <s v="O105212"/>
    <x v="567"/>
    <x v="0"/>
    <x v="0"/>
    <x v="0"/>
    <x v="0"/>
    <n v="3"/>
    <n v="1405444"/>
    <d v="2025-11-13T00:00:00"/>
    <n v="11"/>
    <n v="13"/>
    <n v="2025"/>
    <x v="0"/>
    <s v="Q4"/>
    <x v="0"/>
  </r>
  <r>
    <s v="O100297"/>
    <x v="207"/>
    <x v="4"/>
    <x v="4"/>
    <x v="4"/>
    <x v="0"/>
    <n v="7"/>
    <n v="1404950"/>
    <d v="2025-01-18T00:00:00"/>
    <n v="1"/>
    <n v="18"/>
    <n v="2025"/>
    <x v="6"/>
    <s v="Q1"/>
    <x v="4"/>
  </r>
  <r>
    <s v="O111990"/>
    <x v="407"/>
    <x v="8"/>
    <x v="3"/>
    <x v="0"/>
    <x v="3"/>
    <n v="7"/>
    <n v="1404261"/>
    <d v="2026-12-30T00:00:00"/>
    <n v="12"/>
    <n v="30"/>
    <n v="2026"/>
    <x v="7"/>
    <s v="Q4"/>
    <x v="0"/>
  </r>
  <r>
    <s v="O108752"/>
    <x v="495"/>
    <x v="8"/>
    <x v="0"/>
    <x v="3"/>
    <x v="1"/>
    <n v="3"/>
    <n v="1404207"/>
    <d v="2026-06-16T00:00:00"/>
    <n v="6"/>
    <n v="16"/>
    <n v="2026"/>
    <x v="2"/>
    <s v="Q2"/>
    <x v="3"/>
  </r>
  <r>
    <s v="O102263"/>
    <x v="386"/>
    <x v="5"/>
    <x v="5"/>
    <x v="1"/>
    <x v="1"/>
    <n v="10"/>
    <n v="1404112"/>
    <d v="2025-05-18T00:00:00"/>
    <n v="5"/>
    <n v="18"/>
    <n v="2025"/>
    <x v="3"/>
    <s v="Q2"/>
    <x v="1"/>
  </r>
  <r>
    <s v="O100720"/>
    <x v="22"/>
    <x v="2"/>
    <x v="4"/>
    <x v="2"/>
    <x v="0"/>
    <n v="7"/>
    <n v="1403962"/>
    <d v="2025-02-13T00:00:00"/>
    <n v="2"/>
    <n v="13"/>
    <n v="2025"/>
    <x v="4"/>
    <s v="Q1"/>
    <x v="2"/>
  </r>
  <r>
    <s v="O108576"/>
    <x v="97"/>
    <x v="3"/>
    <x v="0"/>
    <x v="4"/>
    <x v="1"/>
    <n v="4"/>
    <n v="1403165"/>
    <d v="2026-05-06T00:00:00"/>
    <n v="5"/>
    <n v="6"/>
    <n v="2026"/>
    <x v="3"/>
    <s v="Q2"/>
    <x v="4"/>
  </r>
  <r>
    <s v="O108133"/>
    <x v="395"/>
    <x v="3"/>
    <x v="3"/>
    <x v="0"/>
    <x v="3"/>
    <n v="7"/>
    <n v="1402777"/>
    <d v="2026-10-05T00:00:00"/>
    <n v="10"/>
    <n v="5"/>
    <n v="2026"/>
    <x v="9"/>
    <s v="Q4"/>
    <x v="0"/>
  </r>
  <r>
    <s v="O102308"/>
    <x v="67"/>
    <x v="4"/>
    <x v="2"/>
    <x v="0"/>
    <x v="2"/>
    <n v="4"/>
    <n v="1402519"/>
    <d v="2025-05-21T00:00:00"/>
    <n v="5"/>
    <n v="21"/>
    <n v="2025"/>
    <x v="3"/>
    <s v="Q2"/>
    <x v="0"/>
  </r>
  <r>
    <s v="O109194"/>
    <x v="440"/>
    <x v="3"/>
    <x v="4"/>
    <x v="2"/>
    <x v="0"/>
    <n v="9"/>
    <n v="1401914"/>
    <d v="2026-07-13T00:00:00"/>
    <n v="7"/>
    <n v="13"/>
    <n v="2026"/>
    <x v="10"/>
    <s v="Q3"/>
    <x v="2"/>
  </r>
  <r>
    <s v="O111383"/>
    <x v="7"/>
    <x v="9"/>
    <x v="2"/>
    <x v="3"/>
    <x v="2"/>
    <n v="4"/>
    <n v="1401736"/>
    <d v="2026-11-23T00:00:00"/>
    <n v="11"/>
    <n v="23"/>
    <n v="2026"/>
    <x v="0"/>
    <s v="Q4"/>
    <x v="3"/>
  </r>
  <r>
    <s v="O105103"/>
    <x v="82"/>
    <x v="0"/>
    <x v="2"/>
    <x v="3"/>
    <x v="1"/>
    <n v="4"/>
    <n v="1401704"/>
    <d v="2025-06-11T00:00:00"/>
    <n v="6"/>
    <n v="11"/>
    <n v="2025"/>
    <x v="2"/>
    <s v="Q2"/>
    <x v="3"/>
  </r>
  <r>
    <s v="O108237"/>
    <x v="446"/>
    <x v="10"/>
    <x v="4"/>
    <x v="3"/>
    <x v="2"/>
    <n v="7"/>
    <n v="1401400"/>
    <d v="2026-05-16T00:00:00"/>
    <n v="5"/>
    <n v="16"/>
    <n v="2026"/>
    <x v="3"/>
    <s v="Q2"/>
    <x v="3"/>
  </r>
  <r>
    <s v="O102883"/>
    <x v="621"/>
    <x v="9"/>
    <x v="0"/>
    <x v="0"/>
    <x v="0"/>
    <n v="4"/>
    <n v="1401247"/>
    <d v="2025-06-25T00:00:00"/>
    <n v="6"/>
    <n v="25"/>
    <n v="2025"/>
    <x v="2"/>
    <s v="Q2"/>
    <x v="0"/>
  </r>
  <r>
    <s v="O108612"/>
    <x v="640"/>
    <x v="2"/>
    <x v="3"/>
    <x v="0"/>
    <x v="0"/>
    <n v="7"/>
    <n v="1401205"/>
    <d v="2026-08-06T00:00:00"/>
    <n v="8"/>
    <n v="6"/>
    <n v="2026"/>
    <x v="8"/>
    <s v="Q3"/>
    <x v="0"/>
  </r>
  <r>
    <s v="O109527"/>
    <x v="407"/>
    <x v="5"/>
    <x v="5"/>
    <x v="3"/>
    <x v="0"/>
    <n v="10"/>
    <n v="1400976"/>
    <d v="2026-02-08T00:00:00"/>
    <n v="2"/>
    <n v="8"/>
    <n v="2026"/>
    <x v="4"/>
    <s v="Q1"/>
    <x v="3"/>
  </r>
  <r>
    <s v="O106169"/>
    <x v="586"/>
    <x v="2"/>
    <x v="0"/>
    <x v="3"/>
    <x v="3"/>
    <n v="4"/>
    <n v="1400598"/>
    <d v="2026-10-01T00:00:00"/>
    <n v="10"/>
    <n v="1"/>
    <n v="2026"/>
    <x v="9"/>
    <s v="Q4"/>
    <x v="3"/>
  </r>
  <r>
    <s v="O103605"/>
    <x v="210"/>
    <x v="0"/>
    <x v="0"/>
    <x v="3"/>
    <x v="1"/>
    <n v="3"/>
    <n v="1400370"/>
    <d v="2025-07-08T00:00:00"/>
    <n v="7"/>
    <n v="8"/>
    <n v="2025"/>
    <x v="10"/>
    <s v="Q3"/>
    <x v="3"/>
  </r>
  <r>
    <s v="O102644"/>
    <x v="256"/>
    <x v="3"/>
    <x v="2"/>
    <x v="0"/>
    <x v="1"/>
    <n v="4"/>
    <n v="1398799"/>
    <d v="2025-10-06T00:00:00"/>
    <n v="10"/>
    <n v="6"/>
    <n v="2025"/>
    <x v="9"/>
    <s v="Q4"/>
    <x v="0"/>
  </r>
  <r>
    <s v="O103770"/>
    <x v="233"/>
    <x v="3"/>
    <x v="0"/>
    <x v="1"/>
    <x v="1"/>
    <n v="3"/>
    <n v="1398676"/>
    <d v="2025-08-17T00:00:00"/>
    <n v="8"/>
    <n v="17"/>
    <n v="2025"/>
    <x v="8"/>
    <s v="Q3"/>
    <x v="1"/>
  </r>
  <r>
    <s v="O109557"/>
    <x v="122"/>
    <x v="4"/>
    <x v="0"/>
    <x v="4"/>
    <x v="2"/>
    <n v="3"/>
    <n v="1398490"/>
    <d v="2026-04-08T00:00:00"/>
    <n v="4"/>
    <n v="8"/>
    <n v="2026"/>
    <x v="11"/>
    <s v="Q2"/>
    <x v="4"/>
  </r>
  <r>
    <s v="O105226"/>
    <x v="57"/>
    <x v="6"/>
    <x v="0"/>
    <x v="3"/>
    <x v="2"/>
    <n v="3"/>
    <n v="1398349"/>
    <d v="2025-11-14T00:00:00"/>
    <n v="11"/>
    <n v="14"/>
    <n v="2025"/>
    <x v="0"/>
    <s v="Q4"/>
    <x v="3"/>
  </r>
  <r>
    <s v="O105475"/>
    <x v="271"/>
    <x v="6"/>
    <x v="0"/>
    <x v="4"/>
    <x v="2"/>
    <n v="4"/>
    <n v="1398064"/>
    <d v="2025-11-29T00:00:00"/>
    <n v="11"/>
    <n v="29"/>
    <n v="2025"/>
    <x v="0"/>
    <s v="Q4"/>
    <x v="4"/>
  </r>
  <r>
    <s v="O102214"/>
    <x v="396"/>
    <x v="5"/>
    <x v="3"/>
    <x v="2"/>
    <x v="2"/>
    <n v="8"/>
    <n v="1397555"/>
    <d v="2025-05-15T00:00:00"/>
    <n v="5"/>
    <n v="15"/>
    <n v="2025"/>
    <x v="3"/>
    <s v="Q2"/>
    <x v="2"/>
  </r>
  <r>
    <s v="O101459"/>
    <x v="423"/>
    <x v="3"/>
    <x v="0"/>
    <x v="2"/>
    <x v="1"/>
    <n v="3"/>
    <n v="1397540"/>
    <d v="2025-03-30T00:00:00"/>
    <n v="3"/>
    <n v="30"/>
    <n v="2025"/>
    <x v="5"/>
    <s v="Q1"/>
    <x v="2"/>
  </r>
  <r>
    <s v="O111393"/>
    <x v="759"/>
    <x v="2"/>
    <x v="2"/>
    <x v="1"/>
    <x v="0"/>
    <n v="4"/>
    <n v="1397449"/>
    <d v="2026-11-24T00:00:00"/>
    <n v="11"/>
    <n v="24"/>
    <n v="2026"/>
    <x v="0"/>
    <s v="Q4"/>
    <x v="1"/>
  </r>
  <r>
    <s v="O105546"/>
    <x v="141"/>
    <x v="3"/>
    <x v="0"/>
    <x v="3"/>
    <x v="1"/>
    <n v="3"/>
    <n v="1397434"/>
    <d v="2025-03-12T00:00:00"/>
    <n v="3"/>
    <n v="12"/>
    <n v="2025"/>
    <x v="5"/>
    <s v="Q1"/>
    <x v="3"/>
  </r>
  <r>
    <s v="O107788"/>
    <x v="404"/>
    <x v="4"/>
    <x v="3"/>
    <x v="4"/>
    <x v="1"/>
    <n v="6"/>
    <n v="1397415"/>
    <d v="2026-04-19T00:00:00"/>
    <n v="4"/>
    <n v="19"/>
    <n v="2026"/>
    <x v="11"/>
    <s v="Q2"/>
    <x v="4"/>
  </r>
  <r>
    <s v="O108710"/>
    <x v="308"/>
    <x v="9"/>
    <x v="4"/>
    <x v="0"/>
    <x v="0"/>
    <n v="7"/>
    <n v="1396482"/>
    <d v="2026-06-14T00:00:00"/>
    <n v="6"/>
    <n v="14"/>
    <n v="2026"/>
    <x v="2"/>
    <s v="Q2"/>
    <x v="0"/>
  </r>
  <r>
    <s v="O104621"/>
    <x v="160"/>
    <x v="4"/>
    <x v="5"/>
    <x v="2"/>
    <x v="2"/>
    <n v="10"/>
    <n v="1396400"/>
    <d v="2025-08-10T00:00:00"/>
    <n v="8"/>
    <n v="10"/>
    <n v="2025"/>
    <x v="8"/>
    <s v="Q3"/>
    <x v="2"/>
  </r>
  <r>
    <s v="O111254"/>
    <x v="40"/>
    <x v="4"/>
    <x v="5"/>
    <x v="0"/>
    <x v="0"/>
    <n v="10"/>
    <n v="1396262"/>
    <d v="2026-11-15T00:00:00"/>
    <n v="11"/>
    <n v="15"/>
    <n v="2026"/>
    <x v="0"/>
    <s v="Q4"/>
    <x v="0"/>
  </r>
  <r>
    <s v="O109499"/>
    <x v="738"/>
    <x v="8"/>
    <x v="3"/>
    <x v="3"/>
    <x v="0"/>
    <n v="6"/>
    <n v="1396142"/>
    <d v="2026-01-08T00:00:00"/>
    <n v="1"/>
    <n v="8"/>
    <n v="2026"/>
    <x v="6"/>
    <s v="Q1"/>
    <x v="3"/>
  </r>
  <r>
    <s v="O109187"/>
    <x v="555"/>
    <x v="10"/>
    <x v="4"/>
    <x v="3"/>
    <x v="3"/>
    <n v="9"/>
    <n v="1395888"/>
    <d v="2026-07-13T00:00:00"/>
    <n v="7"/>
    <n v="13"/>
    <n v="2026"/>
    <x v="10"/>
    <s v="Q3"/>
    <x v="3"/>
  </r>
  <r>
    <s v="O105565"/>
    <x v="654"/>
    <x v="10"/>
    <x v="3"/>
    <x v="4"/>
    <x v="2"/>
    <n v="6"/>
    <n v="1395210"/>
    <d v="2025-05-12T00:00:00"/>
    <n v="5"/>
    <n v="12"/>
    <n v="2025"/>
    <x v="3"/>
    <s v="Q2"/>
    <x v="4"/>
  </r>
  <r>
    <s v="O105742"/>
    <x v="83"/>
    <x v="4"/>
    <x v="2"/>
    <x v="4"/>
    <x v="2"/>
    <n v="5"/>
    <n v="1394930"/>
    <d v="2025-12-15T00:00:00"/>
    <n v="12"/>
    <n v="15"/>
    <n v="2025"/>
    <x v="7"/>
    <s v="Q4"/>
    <x v="4"/>
  </r>
  <r>
    <s v="O108659"/>
    <x v="149"/>
    <x v="9"/>
    <x v="0"/>
    <x v="2"/>
    <x v="3"/>
    <n v="3"/>
    <n v="1394325"/>
    <d v="2026-11-06T00:00:00"/>
    <n v="11"/>
    <n v="6"/>
    <n v="2026"/>
    <x v="0"/>
    <s v="Q4"/>
    <x v="2"/>
  </r>
  <r>
    <s v="O103747"/>
    <x v="414"/>
    <x v="5"/>
    <x v="2"/>
    <x v="4"/>
    <x v="1"/>
    <n v="6"/>
    <n v="1394100"/>
    <d v="2025-08-16T00:00:00"/>
    <n v="8"/>
    <n v="16"/>
    <n v="2025"/>
    <x v="8"/>
    <s v="Q3"/>
    <x v="4"/>
  </r>
  <r>
    <s v="O100887"/>
    <x v="36"/>
    <x v="8"/>
    <x v="2"/>
    <x v="4"/>
    <x v="0"/>
    <n v="6"/>
    <n v="1394045"/>
    <d v="2025-02-23T00:00:00"/>
    <n v="2"/>
    <n v="23"/>
    <n v="2025"/>
    <x v="4"/>
    <s v="Q1"/>
    <x v="4"/>
  </r>
  <r>
    <s v="O106730"/>
    <x v="750"/>
    <x v="5"/>
    <x v="4"/>
    <x v="4"/>
    <x v="2"/>
    <n v="8"/>
    <n v="1393897"/>
    <d v="2026-02-13T00:00:00"/>
    <n v="2"/>
    <n v="13"/>
    <n v="2026"/>
    <x v="4"/>
    <s v="Q1"/>
    <x v="4"/>
  </r>
  <r>
    <s v="O104360"/>
    <x v="142"/>
    <x v="2"/>
    <x v="0"/>
    <x v="3"/>
    <x v="0"/>
    <n v="3"/>
    <n v="1393290"/>
    <d v="2025-09-22T00:00:00"/>
    <n v="9"/>
    <n v="22"/>
    <n v="2025"/>
    <x v="1"/>
    <s v="Q3"/>
    <x v="3"/>
  </r>
  <r>
    <s v="O104908"/>
    <x v="606"/>
    <x v="10"/>
    <x v="0"/>
    <x v="1"/>
    <x v="3"/>
    <n v="4"/>
    <n v="1392331"/>
    <d v="2025-10-26T00:00:00"/>
    <n v="10"/>
    <n v="26"/>
    <n v="2025"/>
    <x v="9"/>
    <s v="Q4"/>
    <x v="1"/>
  </r>
  <r>
    <s v="O108723"/>
    <x v="526"/>
    <x v="5"/>
    <x v="0"/>
    <x v="3"/>
    <x v="1"/>
    <n v="3"/>
    <n v="1391665"/>
    <d v="2026-06-14T00:00:00"/>
    <n v="6"/>
    <n v="14"/>
    <n v="2026"/>
    <x v="2"/>
    <s v="Q2"/>
    <x v="3"/>
  </r>
  <r>
    <s v="O104858"/>
    <x v="294"/>
    <x v="8"/>
    <x v="3"/>
    <x v="1"/>
    <x v="2"/>
    <n v="6"/>
    <n v="1391249"/>
    <d v="2025-10-23T00:00:00"/>
    <n v="10"/>
    <n v="23"/>
    <n v="2025"/>
    <x v="9"/>
    <s v="Q4"/>
    <x v="1"/>
  </r>
  <r>
    <s v="O109737"/>
    <x v="640"/>
    <x v="1"/>
    <x v="2"/>
    <x v="0"/>
    <x v="2"/>
    <n v="6"/>
    <n v="1390754"/>
    <d v="2026-08-15T00:00:00"/>
    <n v="8"/>
    <n v="15"/>
    <n v="2026"/>
    <x v="8"/>
    <s v="Q3"/>
    <x v="0"/>
  </r>
  <r>
    <s v="O103579"/>
    <x v="664"/>
    <x v="10"/>
    <x v="4"/>
    <x v="1"/>
    <x v="3"/>
    <n v="9"/>
    <n v="1390204"/>
    <d v="2025-06-08T00:00:00"/>
    <n v="6"/>
    <n v="8"/>
    <n v="2025"/>
    <x v="2"/>
    <s v="Q2"/>
    <x v="1"/>
  </r>
  <r>
    <s v="O104133"/>
    <x v="594"/>
    <x v="2"/>
    <x v="2"/>
    <x v="4"/>
    <x v="3"/>
    <n v="5"/>
    <n v="1389950"/>
    <d v="2025-09-09T00:00:00"/>
    <n v="9"/>
    <n v="9"/>
    <n v="2025"/>
    <x v="1"/>
    <s v="Q3"/>
    <x v="4"/>
  </r>
  <r>
    <s v="O100861"/>
    <x v="580"/>
    <x v="8"/>
    <x v="4"/>
    <x v="4"/>
    <x v="3"/>
    <n v="8"/>
    <n v="1388830"/>
    <d v="2025-02-22T00:00:00"/>
    <n v="2"/>
    <n v="22"/>
    <n v="2025"/>
    <x v="4"/>
    <s v="Q1"/>
    <x v="4"/>
  </r>
  <r>
    <s v="O101881"/>
    <x v="291"/>
    <x v="0"/>
    <x v="2"/>
    <x v="2"/>
    <x v="3"/>
    <n v="5"/>
    <n v="1388822"/>
    <d v="2025-04-25T00:00:00"/>
    <n v="4"/>
    <n v="25"/>
    <n v="2025"/>
    <x v="11"/>
    <s v="Q2"/>
    <x v="2"/>
  </r>
  <r>
    <s v="O100904"/>
    <x v="479"/>
    <x v="3"/>
    <x v="2"/>
    <x v="3"/>
    <x v="0"/>
    <n v="5"/>
    <n v="1388660"/>
    <d v="2025-02-24T00:00:00"/>
    <n v="2"/>
    <n v="24"/>
    <n v="2025"/>
    <x v="4"/>
    <s v="Q1"/>
    <x v="3"/>
  </r>
  <r>
    <s v="O101670"/>
    <x v="167"/>
    <x v="3"/>
    <x v="5"/>
    <x v="0"/>
    <x v="1"/>
    <n v="10"/>
    <n v="1388101"/>
    <d v="2025-12-04T00:00:00"/>
    <n v="12"/>
    <n v="4"/>
    <n v="2025"/>
    <x v="7"/>
    <s v="Q4"/>
    <x v="0"/>
  </r>
  <r>
    <s v="O108294"/>
    <x v="695"/>
    <x v="8"/>
    <x v="0"/>
    <x v="2"/>
    <x v="2"/>
    <n v="4"/>
    <n v="1386919"/>
    <d v="2026-05-19T00:00:00"/>
    <n v="5"/>
    <n v="19"/>
    <n v="2026"/>
    <x v="3"/>
    <s v="Q2"/>
    <x v="2"/>
  </r>
  <r>
    <s v="O107210"/>
    <x v="180"/>
    <x v="6"/>
    <x v="4"/>
    <x v="2"/>
    <x v="2"/>
    <n v="8"/>
    <n v="1386766"/>
    <d v="2026-03-14T00:00:00"/>
    <n v="3"/>
    <n v="14"/>
    <n v="2026"/>
    <x v="5"/>
    <s v="Q1"/>
    <x v="2"/>
  </r>
  <r>
    <s v="O100960"/>
    <x v="758"/>
    <x v="9"/>
    <x v="4"/>
    <x v="3"/>
    <x v="3"/>
    <n v="7"/>
    <n v="1386690"/>
    <d v="2025-02-28T00:00:00"/>
    <n v="2"/>
    <n v="28"/>
    <n v="2025"/>
    <x v="4"/>
    <s v="Q1"/>
    <x v="3"/>
  </r>
  <r>
    <s v="O106004"/>
    <x v="542"/>
    <x v="5"/>
    <x v="2"/>
    <x v="4"/>
    <x v="3"/>
    <n v="4"/>
    <n v="1385829"/>
    <d v="2025-12-31T00:00:00"/>
    <n v="12"/>
    <n v="31"/>
    <n v="2025"/>
    <x v="7"/>
    <s v="Q4"/>
    <x v="4"/>
  </r>
  <r>
    <s v="O103778"/>
    <x v="754"/>
    <x v="4"/>
    <x v="2"/>
    <x v="4"/>
    <x v="0"/>
    <n v="4"/>
    <n v="1385772"/>
    <d v="2025-08-18T00:00:00"/>
    <n v="8"/>
    <n v="18"/>
    <n v="2025"/>
    <x v="8"/>
    <s v="Q3"/>
    <x v="4"/>
  </r>
  <r>
    <s v="O109356"/>
    <x v="404"/>
    <x v="5"/>
    <x v="4"/>
    <x v="0"/>
    <x v="2"/>
    <n v="10"/>
    <n v="1384783"/>
    <d v="2026-07-23T00:00:00"/>
    <n v="7"/>
    <n v="23"/>
    <n v="2026"/>
    <x v="10"/>
    <s v="Q3"/>
    <x v="0"/>
  </r>
  <r>
    <s v="O104702"/>
    <x v="712"/>
    <x v="0"/>
    <x v="0"/>
    <x v="0"/>
    <x v="1"/>
    <n v="3"/>
    <n v="1383755"/>
    <d v="2025-10-13T00:00:00"/>
    <n v="10"/>
    <n v="13"/>
    <n v="2025"/>
    <x v="9"/>
    <s v="Q4"/>
    <x v="0"/>
  </r>
  <r>
    <s v="O100727"/>
    <x v="643"/>
    <x v="10"/>
    <x v="0"/>
    <x v="3"/>
    <x v="3"/>
    <n v="3"/>
    <n v="1383602"/>
    <d v="2025-02-14T00:00:00"/>
    <n v="2"/>
    <n v="14"/>
    <n v="2025"/>
    <x v="4"/>
    <s v="Q1"/>
    <x v="3"/>
  </r>
  <r>
    <s v="O111316"/>
    <x v="583"/>
    <x v="7"/>
    <x v="4"/>
    <x v="3"/>
    <x v="1"/>
    <n v="8"/>
    <n v="1383387"/>
    <d v="2026-11-19T00:00:00"/>
    <n v="11"/>
    <n v="19"/>
    <n v="2026"/>
    <x v="0"/>
    <s v="Q4"/>
    <x v="3"/>
  </r>
  <r>
    <s v="O108326"/>
    <x v="423"/>
    <x v="0"/>
    <x v="5"/>
    <x v="0"/>
    <x v="3"/>
    <n v="10"/>
    <n v="1383347"/>
    <d v="2026-05-21T00:00:00"/>
    <n v="5"/>
    <n v="21"/>
    <n v="2026"/>
    <x v="3"/>
    <s v="Q2"/>
    <x v="0"/>
  </r>
  <r>
    <s v="O100645"/>
    <x v="423"/>
    <x v="9"/>
    <x v="0"/>
    <x v="0"/>
    <x v="2"/>
    <n v="3"/>
    <n v="1383206"/>
    <d v="2025-09-02T00:00:00"/>
    <n v="9"/>
    <n v="2"/>
    <n v="2025"/>
    <x v="1"/>
    <s v="Q3"/>
    <x v="0"/>
  </r>
  <r>
    <s v="O101005"/>
    <x v="795"/>
    <x v="6"/>
    <x v="4"/>
    <x v="3"/>
    <x v="2"/>
    <n v="10"/>
    <n v="1383089"/>
    <d v="2025-02-03T00:00:00"/>
    <n v="2"/>
    <n v="3"/>
    <n v="2025"/>
    <x v="4"/>
    <s v="Q1"/>
    <x v="3"/>
  </r>
  <r>
    <s v="O106674"/>
    <x v="9"/>
    <x v="5"/>
    <x v="0"/>
    <x v="2"/>
    <x v="4"/>
    <n v="4"/>
    <n v="1381713"/>
    <d v="2026-10-02T00:00:00"/>
    <n v="10"/>
    <n v="2"/>
    <n v="2026"/>
    <x v="9"/>
    <s v="Q4"/>
    <x v="2"/>
  </r>
  <r>
    <s v="O111961"/>
    <x v="484"/>
    <x v="0"/>
    <x v="3"/>
    <x v="4"/>
    <x v="1"/>
    <n v="6"/>
    <n v="1381631"/>
    <d v="2026-12-28T00:00:00"/>
    <n v="12"/>
    <n v="28"/>
    <n v="2026"/>
    <x v="7"/>
    <s v="Q4"/>
    <x v="4"/>
  </r>
  <r>
    <s v="O106694"/>
    <x v="35"/>
    <x v="5"/>
    <x v="4"/>
    <x v="3"/>
    <x v="0"/>
    <n v="7"/>
    <n v="1380896"/>
    <d v="2026-11-02T00:00:00"/>
    <n v="11"/>
    <n v="2"/>
    <n v="2026"/>
    <x v="0"/>
    <s v="Q4"/>
    <x v="3"/>
  </r>
  <r>
    <s v="O108093"/>
    <x v="709"/>
    <x v="0"/>
    <x v="2"/>
    <x v="4"/>
    <x v="0"/>
    <n v="4"/>
    <n v="1379073"/>
    <d v="2026-07-05T00:00:00"/>
    <n v="7"/>
    <n v="5"/>
    <n v="2026"/>
    <x v="10"/>
    <s v="Q3"/>
    <x v="4"/>
  </r>
  <r>
    <s v="O107047"/>
    <x v="127"/>
    <x v="8"/>
    <x v="4"/>
    <x v="4"/>
    <x v="0"/>
    <n v="7"/>
    <n v="1379062"/>
    <d v="2026-05-03T00:00:00"/>
    <n v="5"/>
    <n v="3"/>
    <n v="2026"/>
    <x v="3"/>
    <s v="Q2"/>
    <x v="4"/>
  </r>
  <r>
    <s v="O104811"/>
    <x v="30"/>
    <x v="2"/>
    <x v="0"/>
    <x v="1"/>
    <x v="2"/>
    <n v="3"/>
    <n v="1378785"/>
    <d v="2025-10-20T00:00:00"/>
    <n v="10"/>
    <n v="20"/>
    <n v="2025"/>
    <x v="9"/>
    <s v="Q4"/>
    <x v="1"/>
  </r>
  <r>
    <s v="O104911"/>
    <x v="398"/>
    <x v="2"/>
    <x v="5"/>
    <x v="0"/>
    <x v="3"/>
    <n v="10"/>
    <n v="1378448"/>
    <d v="2025-10-26T00:00:00"/>
    <n v="10"/>
    <n v="26"/>
    <n v="2025"/>
    <x v="9"/>
    <s v="Q4"/>
    <x v="0"/>
  </r>
  <r>
    <s v="O110781"/>
    <x v="590"/>
    <x v="2"/>
    <x v="3"/>
    <x v="0"/>
    <x v="2"/>
    <n v="6"/>
    <n v="1377265"/>
    <d v="2026-10-17T00:00:00"/>
    <n v="10"/>
    <n v="17"/>
    <n v="2026"/>
    <x v="9"/>
    <s v="Q4"/>
    <x v="0"/>
  </r>
  <r>
    <s v="O107001"/>
    <x v="309"/>
    <x v="1"/>
    <x v="0"/>
    <x v="4"/>
    <x v="3"/>
    <n v="4"/>
    <n v="1376106"/>
    <d v="2026-02-03T00:00:00"/>
    <n v="2"/>
    <n v="3"/>
    <n v="2026"/>
    <x v="4"/>
    <m/>
    <x v="4"/>
  </r>
  <r>
    <s v="O111099"/>
    <x v="468"/>
    <x v="8"/>
    <x v="4"/>
    <x v="4"/>
    <x v="3"/>
    <n v="10"/>
    <n v="1375448"/>
    <d v="2026-06-11T00:00:00"/>
    <n v="6"/>
    <n v="11"/>
    <n v="2026"/>
    <x v="2"/>
    <s v="Q2"/>
    <x v="4"/>
  </r>
  <r>
    <s v="O110035"/>
    <x v="612"/>
    <x v="10"/>
    <x v="2"/>
    <x v="4"/>
    <x v="3"/>
    <n v="4"/>
    <n v="1375228"/>
    <d v="2026-02-09T00:00:00"/>
    <n v="2"/>
    <n v="9"/>
    <n v="2026"/>
    <x v="4"/>
    <s v="Q1"/>
    <x v="4"/>
  </r>
  <r>
    <s v="O101135"/>
    <x v="731"/>
    <x v="10"/>
    <x v="2"/>
    <x v="3"/>
    <x v="3"/>
    <n v="5"/>
    <n v="1374699"/>
    <d v="2025-10-03T00:00:00"/>
    <n v="10"/>
    <n v="3"/>
    <n v="2025"/>
    <x v="9"/>
    <s v="Q4"/>
    <x v="3"/>
  </r>
  <r>
    <s v="O100039"/>
    <x v="623"/>
    <x v="1"/>
    <x v="2"/>
    <x v="4"/>
    <x v="3"/>
    <n v="4"/>
    <n v="1374486"/>
    <d v="2025-03-01T00:00:00"/>
    <n v="3"/>
    <n v="1"/>
    <n v="2025"/>
    <x v="5"/>
    <s v="Q1"/>
    <x v="4"/>
  </r>
  <r>
    <s v="O108543"/>
    <x v="77"/>
    <x v="2"/>
    <x v="4"/>
    <x v="1"/>
    <x v="1"/>
    <n v="8"/>
    <n v="1374304"/>
    <d v="2026-03-06T00:00:00"/>
    <n v="3"/>
    <n v="6"/>
    <n v="2026"/>
    <x v="5"/>
    <s v="Q1"/>
    <x v="1"/>
  </r>
  <r>
    <s v="O111897"/>
    <x v="665"/>
    <x v="0"/>
    <x v="0"/>
    <x v="3"/>
    <x v="1"/>
    <n v="4"/>
    <n v="1373906"/>
    <d v="2026-12-24T00:00:00"/>
    <n v="12"/>
    <n v="24"/>
    <n v="2026"/>
    <x v="7"/>
    <s v="Q4"/>
    <x v="3"/>
  </r>
  <r>
    <s v="O105433"/>
    <x v="419"/>
    <x v="5"/>
    <x v="2"/>
    <x v="4"/>
    <x v="2"/>
    <n v="5"/>
    <n v="1373689"/>
    <d v="2025-11-27T00:00:00"/>
    <n v="11"/>
    <n v="27"/>
    <n v="2025"/>
    <x v="0"/>
    <s v="Q4"/>
    <x v="4"/>
  </r>
  <r>
    <s v="O100610"/>
    <x v="650"/>
    <x v="10"/>
    <x v="4"/>
    <x v="4"/>
    <x v="3"/>
    <n v="8"/>
    <n v="1373455"/>
    <d v="2025-06-02T00:00:00"/>
    <n v="6"/>
    <n v="2"/>
    <n v="2025"/>
    <x v="2"/>
    <s v="Q2"/>
    <x v="4"/>
  </r>
  <r>
    <s v="O100222"/>
    <x v="267"/>
    <x v="5"/>
    <x v="2"/>
    <x v="4"/>
    <x v="2"/>
    <n v="4"/>
    <n v="1373394"/>
    <d v="2025-01-14T00:00:00"/>
    <n v="1"/>
    <n v="14"/>
    <n v="2025"/>
    <x v="6"/>
    <s v="Q1"/>
    <x v="4"/>
  </r>
  <r>
    <s v="O102950"/>
    <x v="538"/>
    <x v="10"/>
    <x v="3"/>
    <x v="0"/>
    <x v="1"/>
    <n v="6"/>
    <n v="1373004"/>
    <d v="2025-06-29T00:00:00"/>
    <n v="6"/>
    <n v="29"/>
    <n v="2025"/>
    <x v="2"/>
    <m/>
    <x v="0"/>
  </r>
  <r>
    <s v="O102038"/>
    <x v="419"/>
    <x v="8"/>
    <x v="0"/>
    <x v="1"/>
    <x v="1"/>
    <n v="4"/>
    <n v="1372777"/>
    <d v="2025-04-05T00:00:00"/>
    <n v="4"/>
    <n v="5"/>
    <n v="2025"/>
    <x v="11"/>
    <s v="Q2"/>
    <x v="1"/>
  </r>
  <r>
    <s v="O109344"/>
    <x v="686"/>
    <x v="3"/>
    <x v="4"/>
    <x v="4"/>
    <x v="1"/>
    <n v="9"/>
    <n v="1372689"/>
    <d v="2026-07-22T00:00:00"/>
    <n v="7"/>
    <n v="22"/>
    <n v="2026"/>
    <x v="10"/>
    <s v="Q3"/>
    <x v="4"/>
  </r>
  <r>
    <s v="O101595"/>
    <x v="575"/>
    <x v="2"/>
    <x v="4"/>
    <x v="4"/>
    <x v="0"/>
    <n v="8"/>
    <n v="1372592"/>
    <d v="2025-07-04T00:00:00"/>
    <n v="7"/>
    <n v="4"/>
    <n v="2025"/>
    <x v="10"/>
    <s v="Q3"/>
    <x v="4"/>
  </r>
  <r>
    <s v="O103108"/>
    <x v="301"/>
    <x v="3"/>
    <x v="0"/>
    <x v="3"/>
    <x v="2"/>
    <n v="4"/>
    <n v="1372407"/>
    <d v="2025-08-07T00:00:00"/>
    <n v="8"/>
    <n v="7"/>
    <n v="2025"/>
    <x v="8"/>
    <s v="Q3"/>
    <x v="3"/>
  </r>
  <r>
    <s v="O110227"/>
    <x v="628"/>
    <x v="8"/>
    <x v="4"/>
    <x v="1"/>
    <x v="0"/>
    <n v="9"/>
    <n v="1372268"/>
    <d v="2026-09-14T00:00:00"/>
    <n v="9"/>
    <n v="14"/>
    <n v="2026"/>
    <x v="1"/>
    <s v="Q3"/>
    <x v="1"/>
  </r>
  <r>
    <s v="O105892"/>
    <x v="89"/>
    <x v="3"/>
    <x v="2"/>
    <x v="9"/>
    <x v="2"/>
    <n v="5"/>
    <n v="1371898"/>
    <d v="2025-12-24T00:00:00"/>
    <n v="12"/>
    <n v="24"/>
    <n v="2025"/>
    <x v="7"/>
    <s v="Q4"/>
    <x v="0"/>
  </r>
  <r>
    <s v="O102540"/>
    <x v="509"/>
    <x v="6"/>
    <x v="4"/>
    <x v="5"/>
    <x v="0"/>
    <n v="8"/>
    <n v="1370988"/>
    <d v="2025-04-06T00:00:00"/>
    <n v="4"/>
    <n v="6"/>
    <n v="2025"/>
    <x v="11"/>
    <s v="Q2"/>
    <x v="5"/>
  </r>
  <r>
    <s v="O106816"/>
    <x v="154"/>
    <x v="0"/>
    <x v="0"/>
    <x v="2"/>
    <x v="1"/>
    <n v="3"/>
    <n v="1370939"/>
    <d v="2026-02-19T00:00:00"/>
    <n v="2"/>
    <n v="19"/>
    <n v="2026"/>
    <x v="4"/>
    <s v="Q1"/>
    <x v="2"/>
  </r>
  <r>
    <s v="O106267"/>
    <x v="530"/>
    <x v="2"/>
    <x v="3"/>
    <x v="0"/>
    <x v="0"/>
    <n v="8"/>
    <n v="1370423"/>
    <d v="2026-01-16T00:00:00"/>
    <n v="1"/>
    <n v="16"/>
    <n v="2026"/>
    <x v="6"/>
    <s v="Q1"/>
    <x v="0"/>
  </r>
  <r>
    <s v="O103630"/>
    <x v="52"/>
    <x v="1"/>
    <x v="2"/>
    <x v="0"/>
    <x v="2"/>
    <n v="5"/>
    <n v="1370368"/>
    <d v="2025-09-08T00:00:00"/>
    <n v="9"/>
    <n v="8"/>
    <n v="2025"/>
    <x v="1"/>
    <s v="Q3"/>
    <x v="0"/>
  </r>
  <r>
    <s v="O107343"/>
    <x v="796"/>
    <x v="10"/>
    <x v="4"/>
    <x v="0"/>
    <x v="1"/>
    <n v="9"/>
    <n v="1368095"/>
    <d v="2026-03-23T00:00:00"/>
    <n v="3"/>
    <n v="23"/>
    <n v="2026"/>
    <x v="5"/>
    <s v="Q1"/>
    <x v="0"/>
  </r>
  <r>
    <s v="O105653"/>
    <x v="276"/>
    <x v="0"/>
    <x v="0"/>
    <x v="2"/>
    <x v="0"/>
    <n v="4"/>
    <n v="1367802"/>
    <d v="2025-10-12T00:00:00"/>
    <n v="10"/>
    <n v="12"/>
    <n v="2025"/>
    <x v="9"/>
    <s v="Q4"/>
    <x v="2"/>
  </r>
  <r>
    <s v="O103848"/>
    <x v="768"/>
    <x v="2"/>
    <x v="2"/>
    <x v="2"/>
    <x v="3"/>
    <n v="6"/>
    <n v="1367720"/>
    <d v="2025-08-22T00:00:00"/>
    <n v="8"/>
    <n v="22"/>
    <n v="2025"/>
    <x v="8"/>
    <s v="Q3"/>
    <x v="2"/>
  </r>
  <r>
    <s v="O106723"/>
    <x v="492"/>
    <x v="3"/>
    <x v="5"/>
    <x v="3"/>
    <x v="2"/>
    <n v="10"/>
    <n v="1367099"/>
    <d v="2026-02-13T00:00:00"/>
    <n v="2"/>
    <n v="13"/>
    <n v="2026"/>
    <x v="4"/>
    <s v="Q1"/>
    <x v="3"/>
  </r>
  <r>
    <s v="O108397"/>
    <x v="416"/>
    <x v="8"/>
    <x v="2"/>
    <x v="4"/>
    <x v="2"/>
    <n v="4"/>
    <n v="1367068"/>
    <d v="2026-05-26T00:00:00"/>
    <n v="5"/>
    <n v="26"/>
    <n v="2026"/>
    <x v="3"/>
    <s v="Q2"/>
    <x v="4"/>
  </r>
  <r>
    <s v="O109308"/>
    <x v="727"/>
    <x v="10"/>
    <x v="4"/>
    <x v="2"/>
    <x v="0"/>
    <n v="7"/>
    <n v="1366819"/>
    <d v="2026-07-20T00:00:00"/>
    <n v="7"/>
    <n v="20"/>
    <n v="2026"/>
    <x v="10"/>
    <s v="Q3"/>
    <x v="2"/>
  </r>
  <r>
    <s v="O100826"/>
    <x v="617"/>
    <x v="1"/>
    <x v="3"/>
    <x v="0"/>
    <x v="3"/>
    <n v="5"/>
    <n v="1366592"/>
    <d v="2025-02-20T00:00:00"/>
    <n v="2"/>
    <n v="20"/>
    <n v="2025"/>
    <x v="4"/>
    <s v="Q1"/>
    <x v="0"/>
  </r>
  <r>
    <s v="O102814"/>
    <x v="692"/>
    <x v="1"/>
    <x v="0"/>
    <x v="2"/>
    <x v="1"/>
    <n v="4"/>
    <n v="1366222"/>
    <d v="2025-06-20T00:00:00"/>
    <n v="6"/>
    <n v="20"/>
    <n v="2025"/>
    <x v="2"/>
    <s v="Q2"/>
    <x v="2"/>
  </r>
  <r>
    <s v="O101091"/>
    <x v="371"/>
    <x v="8"/>
    <x v="3"/>
    <x v="3"/>
    <x v="1"/>
    <n v="8"/>
    <n v="1365225"/>
    <d v="2025-08-03T00:00:00"/>
    <n v="8"/>
    <n v="3"/>
    <n v="2025"/>
    <x v="8"/>
    <s v="Q3"/>
    <x v="3"/>
  </r>
  <r>
    <s v="O101715"/>
    <x v="615"/>
    <x v="2"/>
    <x v="0"/>
    <x v="0"/>
    <x v="0"/>
    <n v="3"/>
    <n v="1364675"/>
    <d v="2025-04-15T00:00:00"/>
    <n v="4"/>
    <n v="15"/>
    <n v="2025"/>
    <x v="11"/>
    <s v="Q2"/>
    <x v="0"/>
  </r>
  <r>
    <s v="O102731"/>
    <x v="698"/>
    <x v="10"/>
    <x v="4"/>
    <x v="4"/>
    <x v="0"/>
    <n v="10"/>
    <n v="1364552"/>
    <d v="2025-06-15T00:00:00"/>
    <n v="6"/>
    <n v="15"/>
    <n v="2025"/>
    <x v="2"/>
    <s v="Q2"/>
    <x v="4"/>
  </r>
  <r>
    <s v="O106542"/>
    <x v="720"/>
    <x v="2"/>
    <x v="4"/>
    <x v="0"/>
    <x v="3"/>
    <n v="10"/>
    <n v="1364363"/>
    <d v="2026-02-02T00:00:00"/>
    <n v="2"/>
    <n v="2"/>
    <n v="2026"/>
    <x v="4"/>
    <s v="Q1"/>
    <x v="0"/>
  </r>
  <r>
    <s v="O109284"/>
    <x v="703"/>
    <x v="9"/>
    <x v="0"/>
    <x v="4"/>
    <x v="2"/>
    <n v="3"/>
    <n v="1364173"/>
    <d v="2026-07-18T00:00:00"/>
    <n v="7"/>
    <n v="18"/>
    <n v="2026"/>
    <x v="10"/>
    <s v="Q3"/>
    <x v="4"/>
  </r>
  <r>
    <s v="O111419"/>
    <x v="613"/>
    <x v="7"/>
    <x v="4"/>
    <x v="2"/>
    <x v="2"/>
    <n v="7"/>
    <n v="1363478"/>
    <d v="2026-11-25T00:00:00"/>
    <n v="11"/>
    <n v="25"/>
    <n v="2026"/>
    <x v="0"/>
    <s v="Q4"/>
    <x v="2"/>
  </r>
  <r>
    <s v="O101930"/>
    <x v="435"/>
    <x v="0"/>
    <x v="0"/>
    <x v="1"/>
    <x v="0"/>
    <n v="3"/>
    <n v="1363434"/>
    <d v="2025-04-28T00:00:00"/>
    <n v="4"/>
    <n v="28"/>
    <n v="2025"/>
    <x v="11"/>
    <s v="Q2"/>
    <x v="1"/>
  </r>
  <r>
    <s v="O111693"/>
    <x v="730"/>
    <x v="4"/>
    <x v="4"/>
    <x v="4"/>
    <x v="3"/>
    <n v="10"/>
    <n v="1363187"/>
    <d v="2026-12-12T00:00:00"/>
    <n v="12"/>
    <n v="12"/>
    <n v="2026"/>
    <x v="7"/>
    <s v="Q4"/>
    <x v="4"/>
  </r>
  <r>
    <s v="O100402"/>
    <x v="513"/>
    <x v="6"/>
    <x v="5"/>
    <x v="4"/>
    <x v="1"/>
    <n v="10"/>
    <n v="1362931"/>
    <d v="2025-01-25T00:00:00"/>
    <n v="1"/>
    <n v="25"/>
    <n v="2025"/>
    <x v="6"/>
    <s v="Q1"/>
    <x v="4"/>
  </r>
  <r>
    <s v="O107635"/>
    <x v="132"/>
    <x v="2"/>
    <x v="2"/>
    <x v="0"/>
    <x v="2"/>
    <n v="6"/>
    <n v="1362710"/>
    <d v="2026-09-04T00:00:00"/>
    <n v="9"/>
    <n v="4"/>
    <n v="2026"/>
    <x v="1"/>
    <s v="Q3"/>
    <x v="0"/>
  </r>
  <r>
    <s v="O100870"/>
    <x v="205"/>
    <x v="1"/>
    <x v="3"/>
    <x v="2"/>
    <x v="2"/>
    <n v="8"/>
    <n v="1362541"/>
    <d v="2025-02-22T00:00:00"/>
    <n v="2"/>
    <n v="22"/>
    <n v="2025"/>
    <x v="4"/>
    <s v="Q1"/>
    <x v="2"/>
  </r>
  <r>
    <s v="O109957"/>
    <x v="657"/>
    <x v="3"/>
    <x v="4"/>
    <x v="3"/>
    <x v="0"/>
    <n v="10"/>
    <n v="1361028"/>
    <d v="2026-08-28T00:00:00"/>
    <n v="8"/>
    <n v="28"/>
    <n v="2026"/>
    <x v="8"/>
    <s v="Q3"/>
    <x v="3"/>
  </r>
  <r>
    <s v="O107172"/>
    <x v="714"/>
    <x v="5"/>
    <x v="5"/>
    <x v="4"/>
    <x v="0"/>
    <n v="10"/>
    <n v="1360399"/>
    <d v="2026-12-03T00:00:00"/>
    <n v="12"/>
    <n v="3"/>
    <n v="2026"/>
    <x v="7"/>
    <s v="Q4"/>
    <x v="4"/>
  </r>
  <r>
    <s v="O100257"/>
    <x v="185"/>
    <x v="2"/>
    <x v="3"/>
    <x v="0"/>
    <x v="0"/>
    <n v="5"/>
    <n v="1359964"/>
    <d v="2025-01-16T00:00:00"/>
    <n v="1"/>
    <n v="16"/>
    <n v="2025"/>
    <x v="6"/>
    <s v="Q1"/>
    <x v="0"/>
  </r>
  <r>
    <s v="O102917"/>
    <x v="723"/>
    <x v="10"/>
    <x v="4"/>
    <x v="2"/>
    <x v="1"/>
    <n v="9"/>
    <n v="1358932"/>
    <d v="2025-06-27T00:00:00"/>
    <n v="6"/>
    <n v="27"/>
    <n v="2025"/>
    <x v="2"/>
    <s v="Q2"/>
    <x v="2"/>
  </r>
  <r>
    <s v="O102868"/>
    <x v="283"/>
    <x v="4"/>
    <x v="4"/>
    <x v="1"/>
    <x v="3"/>
    <n v="10"/>
    <n v="1358598"/>
    <d v="2025-06-24T00:00:00"/>
    <n v="6"/>
    <n v="24"/>
    <n v="2025"/>
    <x v="2"/>
    <s v="Q2"/>
    <x v="1"/>
  </r>
  <r>
    <s v="O106052"/>
    <x v="574"/>
    <x v="1"/>
    <x v="3"/>
    <x v="3"/>
    <x v="2"/>
    <n v="8"/>
    <n v="1358469"/>
    <d v="2026-03-01T00:00:00"/>
    <n v="3"/>
    <n v="1"/>
    <n v="2026"/>
    <x v="5"/>
    <s v="Q1"/>
    <x v="3"/>
  </r>
  <r>
    <s v="O111085"/>
    <x v="112"/>
    <x v="5"/>
    <x v="4"/>
    <x v="4"/>
    <x v="1"/>
    <n v="8"/>
    <n v="1358351"/>
    <d v="2026-05-11T00:00:00"/>
    <n v="5"/>
    <n v="11"/>
    <n v="2026"/>
    <x v="3"/>
    <s v="Q2"/>
    <x v="4"/>
  </r>
  <r>
    <s v="O102966"/>
    <x v="495"/>
    <x v="8"/>
    <x v="4"/>
    <x v="0"/>
    <x v="3"/>
    <n v="9"/>
    <n v="1358287"/>
    <d v="2025-06-30T00:00:00"/>
    <n v="6"/>
    <n v="30"/>
    <n v="2025"/>
    <x v="2"/>
    <s v="Q2"/>
    <x v="0"/>
  </r>
  <r>
    <s v="O108451"/>
    <x v="234"/>
    <x v="5"/>
    <x v="2"/>
    <x v="4"/>
    <x v="3"/>
    <n v="5"/>
    <n v="1358088"/>
    <d v="2026-05-29T00:00:00"/>
    <n v="5"/>
    <n v="29"/>
    <n v="2026"/>
    <x v="3"/>
    <s v="Q2"/>
    <x v="4"/>
  </r>
  <r>
    <s v="O103422"/>
    <x v="666"/>
    <x v="10"/>
    <x v="2"/>
    <x v="4"/>
    <x v="0"/>
    <n v="5"/>
    <n v="1357762"/>
    <d v="2025-07-27T00:00:00"/>
    <n v="7"/>
    <n v="27"/>
    <n v="2025"/>
    <x v="10"/>
    <m/>
    <x v="4"/>
  </r>
  <r>
    <s v="O107846"/>
    <x v="222"/>
    <x v="1"/>
    <x v="2"/>
    <x v="2"/>
    <x v="0"/>
    <n v="5"/>
    <n v="1357704"/>
    <d v="2026-04-22T00:00:00"/>
    <n v="4"/>
    <n v="22"/>
    <n v="2026"/>
    <x v="11"/>
    <s v="Q2"/>
    <x v="2"/>
  </r>
  <r>
    <s v="O111324"/>
    <x v="55"/>
    <x v="2"/>
    <x v="0"/>
    <x v="1"/>
    <x v="2"/>
    <n v="4"/>
    <n v="1357589"/>
    <d v="2026-11-19T00:00:00"/>
    <n v="11"/>
    <n v="19"/>
    <n v="2026"/>
    <x v="0"/>
    <s v="Q4"/>
    <x v="1"/>
  </r>
  <r>
    <s v="O105730"/>
    <x v="768"/>
    <x v="1"/>
    <x v="3"/>
    <x v="0"/>
    <x v="0"/>
    <n v="5"/>
    <n v="1357280"/>
    <d v="2025-12-15T00:00:00"/>
    <n v="12"/>
    <n v="15"/>
    <n v="2025"/>
    <x v="7"/>
    <s v="Q4"/>
    <x v="0"/>
  </r>
  <r>
    <s v="O107306"/>
    <x v="375"/>
    <x v="3"/>
    <x v="3"/>
    <x v="1"/>
    <x v="0"/>
    <n v="6"/>
    <n v="1357129"/>
    <d v="2026-03-20T00:00:00"/>
    <n v="3"/>
    <n v="20"/>
    <n v="2026"/>
    <x v="5"/>
    <s v="Q1"/>
    <x v="1"/>
  </r>
  <r>
    <s v="O103028"/>
    <x v="172"/>
    <x v="5"/>
    <x v="2"/>
    <x v="2"/>
    <x v="0"/>
    <n v="5"/>
    <n v="1356911"/>
    <d v="2025-03-07T00:00:00"/>
    <n v="3"/>
    <n v="7"/>
    <n v="2025"/>
    <x v="5"/>
    <s v="Q1"/>
    <x v="2"/>
  </r>
  <r>
    <s v="O101262"/>
    <x v="292"/>
    <x v="5"/>
    <x v="4"/>
    <x v="3"/>
    <x v="2"/>
    <n v="10"/>
    <n v="1356893"/>
    <d v="2025-03-18T00:00:00"/>
    <n v="3"/>
    <n v="18"/>
    <n v="2025"/>
    <x v="5"/>
    <s v="Q1"/>
    <x v="3"/>
  </r>
  <r>
    <s v="O110382"/>
    <x v="628"/>
    <x v="6"/>
    <x v="4"/>
    <x v="2"/>
    <x v="0"/>
    <n v="7"/>
    <n v="1356514"/>
    <d v="2026-09-23T00:00:00"/>
    <n v="9"/>
    <n v="23"/>
    <n v="2026"/>
    <x v="1"/>
    <s v="Q3"/>
    <x v="2"/>
  </r>
  <r>
    <s v="O109758"/>
    <x v="509"/>
    <x v="4"/>
    <x v="3"/>
    <x v="0"/>
    <x v="0"/>
    <n v="8"/>
    <n v="1356294"/>
    <d v="2026-08-16T00:00:00"/>
    <n v="8"/>
    <n v="16"/>
    <n v="2026"/>
    <x v="8"/>
    <s v="Q3"/>
    <x v="0"/>
  </r>
  <r>
    <s v="O105699"/>
    <x v="675"/>
    <x v="8"/>
    <x v="3"/>
    <x v="4"/>
    <x v="3"/>
    <n v="5"/>
    <n v="1356117"/>
    <d v="2025-12-13T00:00:00"/>
    <n v="12"/>
    <n v="13"/>
    <n v="2025"/>
    <x v="7"/>
    <s v="Q4"/>
    <x v="4"/>
  </r>
  <r>
    <s v="O111084"/>
    <x v="324"/>
    <x v="6"/>
    <x v="2"/>
    <x v="1"/>
    <x v="0"/>
    <n v="4"/>
    <n v="1355847"/>
    <d v="2026-05-11T00:00:00"/>
    <n v="5"/>
    <n v="11"/>
    <n v="2026"/>
    <x v="3"/>
    <m/>
    <x v="1"/>
  </r>
  <r>
    <s v="O111103"/>
    <x v="355"/>
    <x v="2"/>
    <x v="4"/>
    <x v="4"/>
    <x v="0"/>
    <n v="8"/>
    <n v="1354799"/>
    <d v="2026-06-11T00:00:00"/>
    <n v="6"/>
    <n v="11"/>
    <n v="2026"/>
    <x v="2"/>
    <s v="Q2"/>
    <x v="4"/>
  </r>
  <r>
    <s v="O108483"/>
    <x v="388"/>
    <x v="5"/>
    <x v="3"/>
    <x v="0"/>
    <x v="1"/>
    <n v="6"/>
    <n v="1354471"/>
    <d v="2026-05-31T00:00:00"/>
    <n v="5"/>
    <n v="31"/>
    <n v="2026"/>
    <x v="3"/>
    <s v="Q2"/>
    <x v="0"/>
  </r>
  <r>
    <s v="O105435"/>
    <x v="729"/>
    <x v="4"/>
    <x v="2"/>
    <x v="0"/>
    <x v="2"/>
    <n v="4"/>
    <n v="1354411"/>
    <d v="2025-11-27T00:00:00"/>
    <n v="11"/>
    <n v="27"/>
    <n v="2025"/>
    <x v="0"/>
    <s v="Q4"/>
    <x v="0"/>
  </r>
  <r>
    <s v="O101284"/>
    <x v="651"/>
    <x v="10"/>
    <x v="0"/>
    <x v="1"/>
    <x v="0"/>
    <n v="3"/>
    <n v="1354119"/>
    <d v="2025-03-19T00:00:00"/>
    <n v="3"/>
    <n v="19"/>
    <n v="2025"/>
    <x v="5"/>
    <s v="Q1"/>
    <x v="1"/>
  </r>
  <r>
    <s v="O111323"/>
    <x v="111"/>
    <x v="0"/>
    <x v="0"/>
    <x v="2"/>
    <x v="0"/>
    <n v="3"/>
    <n v="1353756"/>
    <d v="2026-11-19T00:00:00"/>
    <n v="11"/>
    <n v="19"/>
    <n v="2026"/>
    <x v="0"/>
    <s v="Q4"/>
    <x v="2"/>
  </r>
  <r>
    <s v="O111246"/>
    <x v="72"/>
    <x v="1"/>
    <x v="4"/>
    <x v="0"/>
    <x v="3"/>
    <n v="9"/>
    <n v="1353565"/>
    <d v="2026-11-15T00:00:00"/>
    <n v="11"/>
    <n v="15"/>
    <n v="2026"/>
    <x v="0"/>
    <s v="Q4"/>
    <x v="0"/>
  </r>
  <r>
    <s v="O102020"/>
    <x v="494"/>
    <x v="9"/>
    <x v="2"/>
    <x v="3"/>
    <x v="0"/>
    <n v="6"/>
    <n v="1353561"/>
    <d v="2025-03-05T00:00:00"/>
    <n v="3"/>
    <n v="5"/>
    <n v="2025"/>
    <x v="5"/>
    <s v="Q1"/>
    <x v="3"/>
  </r>
  <r>
    <s v="O109700"/>
    <x v="128"/>
    <x v="9"/>
    <x v="4"/>
    <x v="3"/>
    <x v="1"/>
    <n v="7"/>
    <n v="1353409"/>
    <d v="2026-08-13T00:00:00"/>
    <n v="8"/>
    <n v="13"/>
    <n v="2026"/>
    <x v="8"/>
    <s v="Q3"/>
    <x v="3"/>
  </r>
  <r>
    <s v="O106050"/>
    <x v="145"/>
    <x v="2"/>
    <x v="3"/>
    <x v="3"/>
    <x v="3"/>
    <n v="7"/>
    <n v="1352699"/>
    <d v="2026-03-01T00:00:00"/>
    <n v="3"/>
    <n v="1"/>
    <n v="2026"/>
    <x v="5"/>
    <m/>
    <x v="3"/>
  </r>
  <r>
    <s v="O107618"/>
    <x v="310"/>
    <x v="5"/>
    <x v="4"/>
    <x v="4"/>
    <x v="2"/>
    <n v="8"/>
    <n v="1352066"/>
    <d v="2026-08-04T00:00:00"/>
    <n v="8"/>
    <n v="4"/>
    <n v="2026"/>
    <x v="8"/>
    <s v="Q3"/>
    <x v="4"/>
  </r>
  <r>
    <s v="O103943"/>
    <x v="533"/>
    <x v="0"/>
    <x v="0"/>
    <x v="1"/>
    <x v="0"/>
    <n v="4"/>
    <n v="1351404"/>
    <d v="2025-08-28T00:00:00"/>
    <n v="8"/>
    <n v="28"/>
    <n v="2025"/>
    <x v="8"/>
    <s v="Q3"/>
    <x v="1"/>
  </r>
  <r>
    <s v="O105034"/>
    <x v="445"/>
    <x v="5"/>
    <x v="2"/>
    <x v="3"/>
    <x v="0"/>
    <n v="6"/>
    <n v="1350949"/>
    <d v="2025-02-11T00:00:00"/>
    <n v="2"/>
    <n v="11"/>
    <n v="2025"/>
    <x v="4"/>
    <s v="Q1"/>
    <x v="3"/>
  </r>
  <r>
    <s v="O103167"/>
    <x v="136"/>
    <x v="2"/>
    <x v="3"/>
    <x v="3"/>
    <x v="2"/>
    <n v="6"/>
    <n v="1350797"/>
    <d v="2025-12-07T00:00:00"/>
    <n v="12"/>
    <n v="7"/>
    <n v="2025"/>
    <x v="7"/>
    <s v="Q4"/>
    <x v="3"/>
  </r>
  <r>
    <s v="O102248"/>
    <x v="506"/>
    <x v="4"/>
    <x v="5"/>
    <x v="3"/>
    <x v="2"/>
    <n v="10"/>
    <n v="1350795"/>
    <d v="2025-05-17T00:00:00"/>
    <n v="5"/>
    <n v="17"/>
    <n v="2025"/>
    <x v="3"/>
    <s v="Q2"/>
    <x v="3"/>
  </r>
  <r>
    <s v="O110464"/>
    <x v="655"/>
    <x v="0"/>
    <x v="3"/>
    <x v="1"/>
    <x v="1"/>
    <n v="6"/>
    <n v="1350606"/>
    <d v="2026-09-28T00:00:00"/>
    <n v="9"/>
    <n v="28"/>
    <n v="2026"/>
    <x v="1"/>
    <s v="Q3"/>
    <x v="1"/>
  </r>
  <r>
    <s v="O110696"/>
    <x v="329"/>
    <x v="6"/>
    <x v="4"/>
    <x v="3"/>
    <x v="3"/>
    <n v="6"/>
    <n v="1348662"/>
    <d v="2026-12-10T00:00:00"/>
    <n v="12"/>
    <n v="10"/>
    <n v="2026"/>
    <x v="7"/>
    <s v="Q4"/>
    <x v="3"/>
  </r>
  <r>
    <s v="O102166"/>
    <x v="391"/>
    <x v="4"/>
    <x v="3"/>
    <x v="3"/>
    <x v="2"/>
    <n v="5"/>
    <n v="1348648"/>
    <d v="2025-12-05T00:00:00"/>
    <n v="12"/>
    <n v="5"/>
    <n v="2025"/>
    <x v="7"/>
    <s v="Q4"/>
    <x v="3"/>
  </r>
  <r>
    <s v="O109847"/>
    <x v="388"/>
    <x v="4"/>
    <x v="5"/>
    <x v="4"/>
    <x v="0"/>
    <n v="10"/>
    <n v="1348632"/>
    <d v="2026-08-22T00:00:00"/>
    <n v="8"/>
    <n v="22"/>
    <n v="2026"/>
    <x v="8"/>
    <s v="Q3"/>
    <x v="4"/>
  </r>
  <r>
    <s v="O109279"/>
    <x v="581"/>
    <x v="6"/>
    <x v="0"/>
    <x v="3"/>
    <x v="0"/>
    <n v="3"/>
    <n v="1348481"/>
    <d v="2026-07-18T00:00:00"/>
    <n v="7"/>
    <n v="18"/>
    <n v="2026"/>
    <x v="10"/>
    <s v="Q3"/>
    <x v="3"/>
  </r>
  <r>
    <s v="O103953"/>
    <x v="216"/>
    <x v="1"/>
    <x v="3"/>
    <x v="1"/>
    <x v="2"/>
    <n v="5"/>
    <n v="1348168"/>
    <d v="2025-08-29T00:00:00"/>
    <n v="8"/>
    <n v="29"/>
    <n v="2025"/>
    <x v="8"/>
    <s v="Q3"/>
    <x v="1"/>
  </r>
  <r>
    <s v="O108875"/>
    <x v="395"/>
    <x v="3"/>
    <x v="3"/>
    <x v="2"/>
    <x v="3"/>
    <n v="6"/>
    <n v="1347813"/>
    <d v="2026-06-24T00:00:00"/>
    <n v="6"/>
    <n v="24"/>
    <n v="2026"/>
    <x v="2"/>
    <s v="Q2"/>
    <x v="2"/>
  </r>
  <r>
    <s v="O100368"/>
    <x v="676"/>
    <x v="9"/>
    <x v="5"/>
    <x v="2"/>
    <x v="1"/>
    <n v="10"/>
    <n v="1346977"/>
    <d v="2025-01-23T00:00:00"/>
    <n v="1"/>
    <n v="23"/>
    <n v="2025"/>
    <x v="6"/>
    <s v="Q1"/>
    <x v="2"/>
  </r>
  <r>
    <s v="O108757"/>
    <x v="294"/>
    <x v="2"/>
    <x v="0"/>
    <x v="1"/>
    <x v="0"/>
    <n v="3"/>
    <n v="1346619"/>
    <d v="2026-06-16T00:00:00"/>
    <n v="6"/>
    <n v="16"/>
    <n v="2026"/>
    <x v="2"/>
    <s v="Q2"/>
    <x v="1"/>
  </r>
  <r>
    <s v="O110780"/>
    <x v="533"/>
    <x v="2"/>
    <x v="0"/>
    <x v="2"/>
    <x v="3"/>
    <n v="3"/>
    <n v="1346318"/>
    <d v="2026-10-17T00:00:00"/>
    <n v="10"/>
    <n v="17"/>
    <n v="2026"/>
    <x v="9"/>
    <s v="Q4"/>
    <x v="2"/>
  </r>
  <r>
    <s v="O107703"/>
    <x v="73"/>
    <x v="10"/>
    <x v="2"/>
    <x v="3"/>
    <x v="1"/>
    <n v="4"/>
    <n v="1345718"/>
    <d v="2026-04-13T00:00:00"/>
    <n v="4"/>
    <n v="13"/>
    <n v="2026"/>
    <x v="11"/>
    <s v="Q2"/>
    <x v="3"/>
  </r>
  <r>
    <s v="O104699"/>
    <x v="274"/>
    <x v="3"/>
    <x v="0"/>
    <x v="2"/>
    <x v="3"/>
    <n v="3"/>
    <n v="1344987"/>
    <d v="2025-10-13T00:00:00"/>
    <n v="10"/>
    <n v="13"/>
    <n v="2025"/>
    <x v="9"/>
    <s v="Q4"/>
    <x v="2"/>
  </r>
  <r>
    <s v="O106498"/>
    <x v="616"/>
    <x v="4"/>
    <x v="0"/>
    <x v="2"/>
    <x v="1"/>
    <n v="3"/>
    <n v="1344585"/>
    <d v="2026-01-30T00:00:00"/>
    <n v="1"/>
    <n v="30"/>
    <n v="2026"/>
    <x v="6"/>
    <s v="Q1"/>
    <x v="2"/>
  </r>
  <r>
    <s v="O104463"/>
    <x v="691"/>
    <x v="5"/>
    <x v="3"/>
    <x v="0"/>
    <x v="2"/>
    <n v="7"/>
    <n v="1344107"/>
    <d v="2025-09-29T00:00:00"/>
    <n v="9"/>
    <n v="29"/>
    <n v="2025"/>
    <x v="1"/>
    <m/>
    <x v="0"/>
  </r>
  <r>
    <s v="O105467"/>
    <x v="5"/>
    <x v="9"/>
    <x v="4"/>
    <x v="3"/>
    <x v="2"/>
    <n v="6"/>
    <n v="1344025"/>
    <d v="2025-11-29T00:00:00"/>
    <n v="11"/>
    <n v="29"/>
    <n v="2025"/>
    <x v="0"/>
    <s v="Q4"/>
    <x v="3"/>
  </r>
  <r>
    <s v="O102423"/>
    <x v="416"/>
    <x v="4"/>
    <x v="4"/>
    <x v="2"/>
    <x v="2"/>
    <n v="6"/>
    <n v="1343916"/>
    <d v="2025-05-28T00:00:00"/>
    <n v="5"/>
    <n v="28"/>
    <n v="2025"/>
    <x v="3"/>
    <s v="Q2"/>
    <x v="2"/>
  </r>
  <r>
    <s v="O108794"/>
    <x v="761"/>
    <x v="2"/>
    <x v="4"/>
    <x v="3"/>
    <x v="1"/>
    <n v="9"/>
    <n v="1343833"/>
    <d v="2026-06-19T00:00:00"/>
    <n v="6"/>
    <n v="19"/>
    <n v="2026"/>
    <x v="2"/>
    <s v="Q2"/>
    <x v="3"/>
  </r>
  <r>
    <s v="O105518"/>
    <x v="598"/>
    <x v="3"/>
    <x v="4"/>
    <x v="2"/>
    <x v="1"/>
    <n v="7"/>
    <n v="1343641"/>
    <d v="2025-02-12T00:00:00"/>
    <n v="2"/>
    <n v="12"/>
    <n v="2025"/>
    <x v="4"/>
    <s v="Q1"/>
    <x v="2"/>
  </r>
  <r>
    <s v="O109610"/>
    <x v="14"/>
    <x v="1"/>
    <x v="4"/>
    <x v="0"/>
    <x v="0"/>
    <n v="8"/>
    <n v="1343480"/>
    <d v="2026-07-08T00:00:00"/>
    <n v="7"/>
    <n v="8"/>
    <n v="2026"/>
    <x v="10"/>
    <s v="Q3"/>
    <x v="0"/>
  </r>
  <r>
    <s v="O102763"/>
    <x v="577"/>
    <x v="1"/>
    <x v="2"/>
    <x v="2"/>
    <x v="3"/>
    <n v="4"/>
    <n v="1343299"/>
    <d v="2025-06-17T00:00:00"/>
    <n v="6"/>
    <n v="17"/>
    <n v="2025"/>
    <x v="2"/>
    <s v="Q2"/>
    <x v="2"/>
  </r>
  <r>
    <s v="O101689"/>
    <x v="692"/>
    <x v="10"/>
    <x v="2"/>
    <x v="1"/>
    <x v="1"/>
    <n v="5"/>
    <n v="1342995"/>
    <d v="2025-04-13T00:00:00"/>
    <n v="4"/>
    <n v="13"/>
    <n v="2025"/>
    <x v="11"/>
    <s v="Q2"/>
    <x v="1"/>
  </r>
  <r>
    <s v="O109319"/>
    <x v="85"/>
    <x v="9"/>
    <x v="2"/>
    <x v="1"/>
    <x v="0"/>
    <n v="4"/>
    <n v="1342979"/>
    <d v="2026-07-21T00:00:00"/>
    <n v="7"/>
    <n v="21"/>
    <n v="2026"/>
    <x v="10"/>
    <s v="Q3"/>
    <x v="1"/>
  </r>
  <r>
    <s v="O103697"/>
    <x v="115"/>
    <x v="3"/>
    <x v="3"/>
    <x v="4"/>
    <x v="4"/>
    <n v="8"/>
    <n v="1342779"/>
    <d v="2025-08-13T00:00:00"/>
    <n v="8"/>
    <n v="13"/>
    <n v="2025"/>
    <x v="8"/>
    <s v="Q3"/>
    <x v="4"/>
  </r>
  <r>
    <s v="O105638"/>
    <x v="418"/>
    <x v="2"/>
    <x v="5"/>
    <x v="2"/>
    <x v="2"/>
    <n v="9"/>
    <n v="1342433"/>
    <d v="2025-09-12T00:00:00"/>
    <n v="9"/>
    <n v="12"/>
    <n v="2025"/>
    <x v="1"/>
    <s v="Q3"/>
    <x v="2"/>
  </r>
  <r>
    <s v="O102023"/>
    <x v="92"/>
    <x v="4"/>
    <x v="3"/>
    <x v="4"/>
    <x v="3"/>
    <n v="6"/>
    <n v="1342331"/>
    <d v="2025-03-05T00:00:00"/>
    <n v="3"/>
    <n v="5"/>
    <n v="2025"/>
    <x v="5"/>
    <s v="Q1"/>
    <x v="4"/>
  </r>
  <r>
    <s v="O102827"/>
    <x v="25"/>
    <x v="1"/>
    <x v="4"/>
    <x v="1"/>
    <x v="2"/>
    <n v="9"/>
    <n v="1342262"/>
    <d v="2025-06-21T00:00:00"/>
    <n v="6"/>
    <n v="21"/>
    <n v="2025"/>
    <x v="2"/>
    <s v="Q2"/>
    <x v="1"/>
  </r>
  <r>
    <s v="O102076"/>
    <x v="286"/>
    <x v="6"/>
    <x v="5"/>
    <x v="4"/>
    <x v="3"/>
    <n v="9"/>
    <n v="1342211"/>
    <d v="2025-07-05T00:00:00"/>
    <n v="7"/>
    <n v="5"/>
    <n v="2025"/>
    <x v="10"/>
    <s v="Q3"/>
    <x v="4"/>
  </r>
  <r>
    <s v="O107613"/>
    <x v="709"/>
    <x v="2"/>
    <x v="5"/>
    <x v="3"/>
    <x v="0"/>
    <n v="9"/>
    <n v="1341708"/>
    <d v="2026-08-04T00:00:00"/>
    <n v="8"/>
    <n v="4"/>
    <n v="2026"/>
    <x v="8"/>
    <s v="Q3"/>
    <x v="3"/>
  </r>
  <r>
    <s v="O105205"/>
    <x v="418"/>
    <x v="10"/>
    <x v="3"/>
    <x v="2"/>
    <x v="1"/>
    <n v="6"/>
    <n v="1341526"/>
    <d v="2025-11-13T00:00:00"/>
    <n v="11"/>
    <n v="13"/>
    <n v="2025"/>
    <x v="0"/>
    <s v="Q4"/>
    <x v="2"/>
  </r>
  <r>
    <s v="O101226"/>
    <x v="723"/>
    <x v="6"/>
    <x v="2"/>
    <x v="2"/>
    <x v="2"/>
    <n v="4"/>
    <n v="1341460"/>
    <d v="2025-03-16T00:00:00"/>
    <n v="3"/>
    <n v="16"/>
    <n v="2025"/>
    <x v="5"/>
    <s v="Q1"/>
    <x v="2"/>
  </r>
  <r>
    <s v="O107837"/>
    <x v="239"/>
    <x v="0"/>
    <x v="2"/>
    <x v="3"/>
    <x v="0"/>
    <n v="5"/>
    <n v="1341121"/>
    <d v="2026-04-22T00:00:00"/>
    <n v="4"/>
    <n v="22"/>
    <n v="2026"/>
    <x v="11"/>
    <s v="Q2"/>
    <x v="3"/>
  </r>
  <r>
    <s v="O109893"/>
    <x v="769"/>
    <x v="1"/>
    <x v="5"/>
    <x v="2"/>
    <x v="0"/>
    <n v="9"/>
    <n v="1340765"/>
    <d v="2026-08-24T00:00:00"/>
    <n v="8"/>
    <n v="24"/>
    <n v="2026"/>
    <x v="8"/>
    <s v="Q3"/>
    <x v="2"/>
  </r>
  <r>
    <s v="O102928"/>
    <x v="96"/>
    <x v="10"/>
    <x v="3"/>
    <x v="4"/>
    <x v="1"/>
    <n v="5"/>
    <n v="1340285"/>
    <d v="2025-06-27T00:00:00"/>
    <n v="6"/>
    <n v="27"/>
    <n v="2025"/>
    <x v="2"/>
    <s v="Q2"/>
    <x v="4"/>
  </r>
  <r>
    <s v="O110595"/>
    <x v="187"/>
    <x v="5"/>
    <x v="5"/>
    <x v="2"/>
    <x v="0"/>
    <n v="10"/>
    <n v="1340191"/>
    <d v="2026-06-10T00:00:00"/>
    <n v="6"/>
    <n v="10"/>
    <n v="2026"/>
    <x v="2"/>
    <s v="Q2"/>
    <x v="2"/>
  </r>
  <r>
    <s v="O105046"/>
    <x v="265"/>
    <x v="3"/>
    <x v="2"/>
    <x v="1"/>
    <x v="0"/>
    <n v="4"/>
    <n v="1339935"/>
    <d v="2025-03-11T00:00:00"/>
    <n v="3"/>
    <n v="11"/>
    <n v="2025"/>
    <x v="5"/>
    <s v="Q1"/>
    <x v="1"/>
  </r>
  <r>
    <s v="O110024"/>
    <x v="337"/>
    <x v="10"/>
    <x v="0"/>
    <x v="3"/>
    <x v="3"/>
    <n v="3"/>
    <n v="1339818"/>
    <d v="2026-01-09T00:00:00"/>
    <n v="1"/>
    <n v="9"/>
    <n v="2026"/>
    <x v="6"/>
    <s v="Q1"/>
    <x v="3"/>
  </r>
  <r>
    <s v="O101063"/>
    <x v="520"/>
    <x v="5"/>
    <x v="4"/>
    <x v="0"/>
    <x v="0"/>
    <n v="6"/>
    <n v="1339118"/>
    <d v="2025-06-03T00:00:00"/>
    <n v="6"/>
    <n v="3"/>
    <n v="2025"/>
    <x v="2"/>
    <s v="Q2"/>
    <x v="0"/>
  </r>
  <r>
    <s v="O106419"/>
    <x v="424"/>
    <x v="4"/>
    <x v="4"/>
    <x v="4"/>
    <x v="2"/>
    <n v="7"/>
    <n v="1339086"/>
    <d v="2026-01-25T00:00:00"/>
    <n v="1"/>
    <n v="25"/>
    <n v="2026"/>
    <x v="6"/>
    <s v="Q1"/>
    <x v="4"/>
  </r>
  <r>
    <s v="O100479"/>
    <x v="584"/>
    <x v="3"/>
    <x v="3"/>
    <x v="4"/>
    <x v="1"/>
    <n v="6"/>
    <n v="1339074"/>
    <d v="2025-01-30T00:00:00"/>
    <n v="1"/>
    <n v="30"/>
    <n v="2025"/>
    <x v="6"/>
    <s v="Q1"/>
    <x v="4"/>
  </r>
  <r>
    <s v="O105075"/>
    <x v="637"/>
    <x v="1"/>
    <x v="3"/>
    <x v="1"/>
    <x v="1"/>
    <n v="7"/>
    <n v="1338205"/>
    <d v="2025-05-11T00:00:00"/>
    <n v="5"/>
    <n v="11"/>
    <n v="2025"/>
    <x v="3"/>
    <s v="Q2"/>
    <x v="1"/>
  </r>
  <r>
    <s v="O105572"/>
    <x v="297"/>
    <x v="8"/>
    <x v="0"/>
    <x v="0"/>
    <x v="2"/>
    <n v="3"/>
    <n v="1337483"/>
    <d v="2025-05-12T00:00:00"/>
    <n v="5"/>
    <n v="12"/>
    <n v="2025"/>
    <x v="3"/>
    <s v="Q2"/>
    <x v="0"/>
  </r>
  <r>
    <s v="O111414"/>
    <x v="469"/>
    <x v="4"/>
    <x v="0"/>
    <x v="4"/>
    <x v="2"/>
    <n v="3"/>
    <n v="1336452"/>
    <d v="2026-11-25T00:00:00"/>
    <n v="11"/>
    <n v="25"/>
    <n v="2026"/>
    <x v="0"/>
    <s v="Q4"/>
    <x v="4"/>
  </r>
  <r>
    <s v="O109835"/>
    <x v="675"/>
    <x v="2"/>
    <x v="0"/>
    <x v="3"/>
    <x v="1"/>
    <n v="3"/>
    <n v="1336267"/>
    <d v="2026-08-21T00:00:00"/>
    <n v="8"/>
    <n v="21"/>
    <n v="2026"/>
    <x v="8"/>
    <s v="Q3"/>
    <x v="3"/>
  </r>
  <r>
    <s v="O110617"/>
    <x v="58"/>
    <x v="6"/>
    <x v="3"/>
    <x v="1"/>
    <x v="2"/>
    <n v="7"/>
    <n v="1336016"/>
    <d v="2026-07-10T00:00:00"/>
    <n v="7"/>
    <n v="10"/>
    <n v="2026"/>
    <x v="10"/>
    <s v="Q3"/>
    <x v="1"/>
  </r>
  <r>
    <s v="O103931"/>
    <x v="689"/>
    <x v="3"/>
    <x v="3"/>
    <x v="1"/>
    <x v="2"/>
    <n v="7"/>
    <n v="1335613"/>
    <d v="2025-08-27T00:00:00"/>
    <n v="8"/>
    <n v="27"/>
    <n v="2025"/>
    <x v="8"/>
    <s v="Q3"/>
    <x v="1"/>
  </r>
  <r>
    <s v="O106495"/>
    <x v="615"/>
    <x v="10"/>
    <x v="3"/>
    <x v="3"/>
    <x v="3"/>
    <n v="6"/>
    <n v="1334680"/>
    <d v="2026-01-30T00:00:00"/>
    <n v="1"/>
    <n v="30"/>
    <n v="2026"/>
    <x v="6"/>
    <s v="Q1"/>
    <x v="3"/>
  </r>
  <r>
    <s v="O102392"/>
    <x v="787"/>
    <x v="4"/>
    <x v="0"/>
    <x v="4"/>
    <x v="3"/>
    <n v="3"/>
    <n v="1334331"/>
    <d v="2025-05-26T00:00:00"/>
    <n v="5"/>
    <n v="26"/>
    <n v="2025"/>
    <x v="3"/>
    <s v="Q2"/>
    <x v="4"/>
  </r>
  <r>
    <s v="O111287"/>
    <x v="137"/>
    <x v="0"/>
    <x v="3"/>
    <x v="0"/>
    <x v="3"/>
    <n v="5"/>
    <n v="1334138"/>
    <d v="2026-11-17T00:00:00"/>
    <n v="11"/>
    <n v="17"/>
    <n v="2026"/>
    <x v="0"/>
    <s v="Q4"/>
    <x v="0"/>
  </r>
  <r>
    <s v="O108464"/>
    <x v="448"/>
    <x v="0"/>
    <x v="4"/>
    <x v="2"/>
    <x v="1"/>
    <n v="6"/>
    <n v="1333821"/>
    <d v="2026-05-30T00:00:00"/>
    <n v="5"/>
    <n v="30"/>
    <n v="2026"/>
    <x v="3"/>
    <s v="Q2"/>
    <x v="2"/>
  </r>
  <r>
    <s v="O110077"/>
    <x v="546"/>
    <x v="5"/>
    <x v="0"/>
    <x v="2"/>
    <x v="1"/>
    <n v="3"/>
    <n v="1333558"/>
    <d v="2026-05-09T00:00:00"/>
    <n v="5"/>
    <n v="9"/>
    <n v="2026"/>
    <x v="3"/>
    <s v="Q2"/>
    <x v="2"/>
  </r>
  <r>
    <s v="O111250"/>
    <x v="776"/>
    <x v="5"/>
    <x v="5"/>
    <x v="4"/>
    <x v="3"/>
    <n v="9"/>
    <n v="1333438"/>
    <d v="2026-11-15T00:00:00"/>
    <n v="11"/>
    <n v="15"/>
    <n v="2026"/>
    <x v="0"/>
    <s v="Q4"/>
    <x v="4"/>
  </r>
  <r>
    <s v="O100616"/>
    <x v="225"/>
    <x v="6"/>
    <x v="3"/>
    <x v="2"/>
    <x v="3"/>
    <n v="8"/>
    <n v="1333354"/>
    <d v="2025-07-02T00:00:00"/>
    <n v="7"/>
    <n v="2"/>
    <n v="2025"/>
    <x v="10"/>
    <s v="Q3"/>
    <x v="2"/>
  </r>
  <r>
    <s v="O109022"/>
    <x v="44"/>
    <x v="2"/>
    <x v="5"/>
    <x v="3"/>
    <x v="0"/>
    <n v="9"/>
    <n v="1333102"/>
    <d v="2026-03-07T00:00:00"/>
    <n v="3"/>
    <n v="7"/>
    <n v="2026"/>
    <x v="5"/>
    <s v="Q1"/>
    <x v="3"/>
  </r>
  <r>
    <s v="O101945"/>
    <x v="551"/>
    <x v="9"/>
    <x v="4"/>
    <x v="1"/>
    <x v="3"/>
    <n v="8"/>
    <n v="1332328"/>
    <d v="2025-04-29T00:00:00"/>
    <n v="4"/>
    <n v="29"/>
    <n v="2025"/>
    <x v="11"/>
    <s v="Q2"/>
    <x v="1"/>
  </r>
  <r>
    <s v="O101134"/>
    <x v="164"/>
    <x v="10"/>
    <x v="0"/>
    <x v="3"/>
    <x v="0"/>
    <n v="3"/>
    <n v="1332183"/>
    <d v="2025-10-03T00:00:00"/>
    <n v="10"/>
    <n v="3"/>
    <n v="2025"/>
    <x v="9"/>
    <s v="Q4"/>
    <x v="3"/>
  </r>
  <r>
    <s v="O111905"/>
    <x v="680"/>
    <x v="3"/>
    <x v="4"/>
    <x v="4"/>
    <x v="3"/>
    <n v="9"/>
    <n v="1332145"/>
    <d v="2026-12-25T00:00:00"/>
    <n v="12"/>
    <n v="25"/>
    <n v="2026"/>
    <x v="7"/>
    <s v="Q4"/>
    <x v="4"/>
  </r>
  <r>
    <s v="O102983"/>
    <x v="606"/>
    <x v="6"/>
    <x v="4"/>
    <x v="1"/>
    <x v="1"/>
    <n v="8"/>
    <n v="1331887"/>
    <d v="2025-01-07T00:00:00"/>
    <n v="1"/>
    <n v="7"/>
    <n v="2025"/>
    <x v="6"/>
    <s v="Q1"/>
    <x v="1"/>
  </r>
  <r>
    <s v="O105233"/>
    <x v="76"/>
    <x v="4"/>
    <x v="4"/>
    <x v="3"/>
    <x v="0"/>
    <n v="7"/>
    <n v="1331511"/>
    <d v="2025-11-14T00:00:00"/>
    <n v="11"/>
    <n v="14"/>
    <n v="2025"/>
    <x v="0"/>
    <s v="Q4"/>
    <x v="3"/>
  </r>
  <r>
    <s v="O110604"/>
    <x v="50"/>
    <x v="1"/>
    <x v="3"/>
    <x v="0"/>
    <x v="1"/>
    <n v="5"/>
    <n v="1331449"/>
    <d v="2026-07-10T00:00:00"/>
    <n v="7"/>
    <n v="10"/>
    <n v="2026"/>
    <x v="10"/>
    <s v="Q3"/>
    <x v="0"/>
  </r>
  <r>
    <s v="O111294"/>
    <x v="123"/>
    <x v="8"/>
    <x v="4"/>
    <x v="0"/>
    <x v="0"/>
    <n v="7"/>
    <n v="1331170"/>
    <d v="2026-11-18T00:00:00"/>
    <n v="11"/>
    <n v="18"/>
    <n v="2026"/>
    <x v="0"/>
    <s v="Q4"/>
    <x v="0"/>
  </r>
  <r>
    <s v="O107495"/>
    <x v="253"/>
    <x v="3"/>
    <x v="5"/>
    <x v="3"/>
    <x v="3"/>
    <n v="10"/>
    <n v="1330315"/>
    <d v="2026-01-04T00:00:00"/>
    <n v="1"/>
    <n v="4"/>
    <n v="2026"/>
    <x v="6"/>
    <s v="Q1"/>
    <x v="3"/>
  </r>
  <r>
    <s v="O103295"/>
    <x v="441"/>
    <x v="2"/>
    <x v="3"/>
    <x v="4"/>
    <x v="3"/>
    <n v="6"/>
    <n v="1329960"/>
    <d v="2025-07-20T00:00:00"/>
    <n v="7"/>
    <n v="20"/>
    <n v="2025"/>
    <x v="10"/>
    <s v="Q3"/>
    <x v="4"/>
  </r>
  <r>
    <s v="O106817"/>
    <x v="791"/>
    <x v="5"/>
    <x v="0"/>
    <x v="4"/>
    <x v="2"/>
    <n v="3"/>
    <n v="1328947"/>
    <d v="2026-02-19T00:00:00"/>
    <n v="2"/>
    <n v="19"/>
    <n v="2026"/>
    <x v="4"/>
    <s v="Q1"/>
    <x v="4"/>
  </r>
  <r>
    <s v="O102406"/>
    <x v="675"/>
    <x v="4"/>
    <x v="2"/>
    <x v="4"/>
    <x v="2"/>
    <n v="4"/>
    <n v="1328804"/>
    <d v="2025-05-27T00:00:00"/>
    <n v="5"/>
    <n v="27"/>
    <n v="2025"/>
    <x v="3"/>
    <s v="Q2"/>
    <x v="4"/>
  </r>
  <r>
    <s v="O100508"/>
    <x v="614"/>
    <x v="2"/>
    <x v="5"/>
    <x v="1"/>
    <x v="1"/>
    <n v="9"/>
    <n v="1328623"/>
    <d v="2025-01-31T00:00:00"/>
    <n v="1"/>
    <n v="31"/>
    <n v="2025"/>
    <x v="6"/>
    <s v="Q1"/>
    <x v="1"/>
  </r>
  <r>
    <s v="O110560"/>
    <x v="235"/>
    <x v="1"/>
    <x v="3"/>
    <x v="3"/>
    <x v="3"/>
    <n v="6"/>
    <n v="1327098"/>
    <d v="2026-04-10T00:00:00"/>
    <n v="4"/>
    <n v="10"/>
    <n v="2026"/>
    <x v="11"/>
    <s v="Q2"/>
    <x v="3"/>
  </r>
  <r>
    <s v="O102654"/>
    <x v="35"/>
    <x v="4"/>
    <x v="0"/>
    <x v="1"/>
    <x v="1"/>
    <n v="3"/>
    <n v="1326852"/>
    <d v="2025-11-06T00:00:00"/>
    <n v="11"/>
    <n v="6"/>
    <n v="2025"/>
    <x v="0"/>
    <s v="Q4"/>
    <x v="1"/>
  </r>
  <r>
    <s v="O107407"/>
    <x v="556"/>
    <x v="8"/>
    <x v="1"/>
    <x v="0"/>
    <x v="0"/>
    <n v="5"/>
    <n v="1326645"/>
    <d v="2026-03-26T00:00:00"/>
    <n v="3"/>
    <n v="26"/>
    <n v="2026"/>
    <x v="5"/>
    <s v="Q1"/>
    <x v="0"/>
  </r>
  <r>
    <s v="O101131"/>
    <x v="341"/>
    <x v="1"/>
    <x v="4"/>
    <x v="4"/>
    <x v="1"/>
    <n v="7"/>
    <n v="1326484"/>
    <d v="2025-10-03T00:00:00"/>
    <n v="10"/>
    <n v="3"/>
    <n v="2025"/>
    <x v="9"/>
    <m/>
    <x v="4"/>
  </r>
  <r>
    <s v="O104031"/>
    <x v="715"/>
    <x v="3"/>
    <x v="2"/>
    <x v="2"/>
    <x v="1"/>
    <n v="4"/>
    <n v="1325591"/>
    <d v="2025-02-09T00:00:00"/>
    <n v="2"/>
    <n v="9"/>
    <n v="2025"/>
    <x v="4"/>
    <s v="Q1"/>
    <x v="2"/>
  </r>
  <r>
    <s v="O102168"/>
    <x v="562"/>
    <x v="9"/>
    <x v="0"/>
    <x v="3"/>
    <x v="3"/>
    <n v="3"/>
    <n v="1324504"/>
    <d v="2025-12-05T00:00:00"/>
    <n v="12"/>
    <n v="5"/>
    <n v="2025"/>
    <x v="7"/>
    <s v="Q4"/>
    <x v="3"/>
  </r>
  <r>
    <s v="O104813"/>
    <x v="64"/>
    <x v="4"/>
    <x v="0"/>
    <x v="3"/>
    <x v="1"/>
    <n v="3"/>
    <n v="1324495"/>
    <d v="2025-10-20T00:00:00"/>
    <n v="10"/>
    <n v="20"/>
    <n v="2025"/>
    <x v="9"/>
    <s v="Q4"/>
    <x v="3"/>
  </r>
  <r>
    <s v="O110128"/>
    <x v="36"/>
    <x v="3"/>
    <x v="5"/>
    <x v="2"/>
    <x v="0"/>
    <n v="9"/>
    <n v="1324419"/>
    <d v="2026-08-09T00:00:00"/>
    <n v="8"/>
    <n v="9"/>
    <n v="2026"/>
    <x v="8"/>
    <s v="Q3"/>
    <x v="2"/>
  </r>
  <r>
    <s v="O109063"/>
    <x v="67"/>
    <x v="10"/>
    <x v="4"/>
    <x v="4"/>
    <x v="0"/>
    <n v="9"/>
    <n v="1324321"/>
    <d v="2026-05-07T00:00:00"/>
    <n v="5"/>
    <n v="7"/>
    <n v="2026"/>
    <x v="3"/>
    <s v="Q2"/>
    <x v="4"/>
  </r>
  <r>
    <s v="O107166"/>
    <x v="455"/>
    <x v="9"/>
    <x v="0"/>
    <x v="2"/>
    <x v="1"/>
    <n v="3"/>
    <n v="1324175"/>
    <d v="2026-12-03T00:00:00"/>
    <n v="12"/>
    <n v="3"/>
    <n v="2026"/>
    <x v="7"/>
    <s v="Q4"/>
    <x v="2"/>
  </r>
  <r>
    <s v="O110660"/>
    <x v="601"/>
    <x v="3"/>
    <x v="2"/>
    <x v="0"/>
    <x v="2"/>
    <n v="4"/>
    <n v="1324170"/>
    <d v="2026-10-10T00:00:00"/>
    <n v="10"/>
    <n v="10"/>
    <n v="2026"/>
    <x v="9"/>
    <s v="Q4"/>
    <x v="0"/>
  </r>
  <r>
    <s v="O109704"/>
    <x v="391"/>
    <x v="4"/>
    <x v="4"/>
    <x v="4"/>
    <x v="1"/>
    <n v="8"/>
    <n v="1322742"/>
    <d v="2026-08-13T00:00:00"/>
    <n v="8"/>
    <n v="13"/>
    <n v="2026"/>
    <x v="8"/>
    <s v="Q3"/>
    <x v="4"/>
  </r>
  <r>
    <s v="O110483"/>
    <x v="312"/>
    <x v="6"/>
    <x v="4"/>
    <x v="3"/>
    <x v="1"/>
    <n v="9"/>
    <n v="1322228"/>
    <d v="2026-09-29T00:00:00"/>
    <n v="9"/>
    <n v="29"/>
    <n v="2026"/>
    <x v="1"/>
    <s v="Q3"/>
    <x v="3"/>
  </r>
  <r>
    <s v="O111807"/>
    <x v="211"/>
    <x v="0"/>
    <x v="4"/>
    <x v="0"/>
    <x v="3"/>
    <n v="7"/>
    <n v="1322196"/>
    <d v="2026-12-19T00:00:00"/>
    <n v="12"/>
    <n v="19"/>
    <n v="2026"/>
    <x v="7"/>
    <s v="Q4"/>
    <x v="0"/>
  </r>
  <r>
    <s v="O111433"/>
    <x v="311"/>
    <x v="5"/>
    <x v="3"/>
    <x v="5"/>
    <x v="2"/>
    <n v="7"/>
    <n v="1322179"/>
    <d v="2026-11-26T00:00:00"/>
    <n v="11"/>
    <n v="26"/>
    <n v="2026"/>
    <x v="0"/>
    <s v="Q4"/>
    <x v="5"/>
  </r>
  <r>
    <s v="O100814"/>
    <x v="413"/>
    <x v="2"/>
    <x v="3"/>
    <x v="2"/>
    <x v="2"/>
    <n v="6"/>
    <n v="1322107"/>
    <d v="2025-02-19T00:00:00"/>
    <n v="2"/>
    <n v="19"/>
    <n v="2025"/>
    <x v="4"/>
    <s v="Q1"/>
    <x v="2"/>
  </r>
  <r>
    <s v="O107512"/>
    <x v="462"/>
    <x v="8"/>
    <x v="3"/>
    <x v="1"/>
    <x v="1"/>
    <n v="5"/>
    <n v="1321854"/>
    <d v="2026-02-04T00:00:00"/>
    <n v="2"/>
    <n v="4"/>
    <n v="2026"/>
    <x v="4"/>
    <s v="Q1"/>
    <x v="1"/>
  </r>
  <r>
    <s v="O106919"/>
    <x v="10"/>
    <x v="3"/>
    <x v="2"/>
    <x v="0"/>
    <x v="3"/>
    <n v="4"/>
    <n v="1321266"/>
    <d v="2026-02-25T00:00:00"/>
    <n v="2"/>
    <n v="25"/>
    <n v="2026"/>
    <x v="4"/>
    <s v="Q1"/>
    <x v="0"/>
  </r>
  <r>
    <s v="O104079"/>
    <x v="25"/>
    <x v="2"/>
    <x v="4"/>
    <x v="4"/>
    <x v="1"/>
    <n v="8"/>
    <n v="1321070"/>
    <d v="2025-05-09T00:00:00"/>
    <n v="5"/>
    <n v="9"/>
    <n v="2025"/>
    <x v="3"/>
    <s v="Q2"/>
    <x v="4"/>
  </r>
  <r>
    <s v="O108438"/>
    <x v="510"/>
    <x v="8"/>
    <x v="0"/>
    <x v="4"/>
    <x v="1"/>
    <n v="3"/>
    <n v="1321004"/>
    <d v="2026-05-28T00:00:00"/>
    <n v="5"/>
    <n v="28"/>
    <n v="2026"/>
    <x v="3"/>
    <s v="Q2"/>
    <x v="4"/>
  </r>
  <r>
    <s v="O110914"/>
    <x v="777"/>
    <x v="10"/>
    <x v="5"/>
    <x v="1"/>
    <x v="0"/>
    <n v="10"/>
    <n v="1320728"/>
    <d v="2026-10-26T00:00:00"/>
    <n v="10"/>
    <n v="26"/>
    <n v="2026"/>
    <x v="9"/>
    <s v="Q4"/>
    <x v="1"/>
  </r>
  <r>
    <s v="O102488"/>
    <x v="520"/>
    <x v="5"/>
    <x v="5"/>
    <x v="4"/>
    <x v="0"/>
    <n v="10"/>
    <n v="1320632"/>
    <d v="2025-01-06T00:00:00"/>
    <n v="1"/>
    <n v="6"/>
    <n v="2025"/>
    <x v="6"/>
    <s v="Q1"/>
    <x v="4"/>
  </r>
  <r>
    <s v="O103133"/>
    <x v="4"/>
    <x v="4"/>
    <x v="3"/>
    <x v="2"/>
    <x v="1"/>
    <n v="5"/>
    <n v="1320015"/>
    <d v="2025-10-07T00:00:00"/>
    <n v="10"/>
    <n v="7"/>
    <n v="2025"/>
    <x v="9"/>
    <s v="Q4"/>
    <x v="2"/>
  </r>
  <r>
    <s v="O111526"/>
    <x v="88"/>
    <x v="10"/>
    <x v="4"/>
    <x v="2"/>
    <x v="2"/>
    <n v="6"/>
    <n v="1320007"/>
    <d v="2026-02-12T00:00:00"/>
    <n v="2"/>
    <n v="12"/>
    <n v="2026"/>
    <x v="4"/>
    <s v="Q1"/>
    <x v="2"/>
  </r>
  <r>
    <s v="O105583"/>
    <x v="364"/>
    <x v="3"/>
    <x v="5"/>
    <x v="1"/>
    <x v="3"/>
    <n v="10"/>
    <n v="1319627"/>
    <d v="2025-06-12T00:00:00"/>
    <n v="6"/>
    <n v="12"/>
    <n v="2025"/>
    <x v="2"/>
    <s v="Q2"/>
    <x v="1"/>
  </r>
  <r>
    <s v="O106023"/>
    <x v="626"/>
    <x v="4"/>
    <x v="5"/>
    <x v="4"/>
    <x v="2"/>
    <n v="10"/>
    <n v="1319370"/>
    <d v="2026-01-01T00:00:00"/>
    <n v="1"/>
    <n v="1"/>
    <n v="2026"/>
    <x v="6"/>
    <s v="Q1"/>
    <x v="4"/>
  </r>
  <r>
    <s v="O108301"/>
    <x v="424"/>
    <x v="4"/>
    <x v="4"/>
    <x v="2"/>
    <x v="3"/>
    <n v="7"/>
    <n v="1318993"/>
    <d v="2026-05-20T00:00:00"/>
    <n v="5"/>
    <n v="20"/>
    <n v="2026"/>
    <x v="3"/>
    <s v="Q2"/>
    <x v="2"/>
  </r>
  <r>
    <s v="O101538"/>
    <x v="575"/>
    <x v="6"/>
    <x v="2"/>
    <x v="1"/>
    <x v="0"/>
    <n v="5"/>
    <n v="1318899"/>
    <d v="2025-04-04T00:00:00"/>
    <n v="4"/>
    <n v="4"/>
    <n v="2025"/>
    <x v="11"/>
    <s v="Q2"/>
    <x v="1"/>
  </r>
  <r>
    <s v="O109338"/>
    <x v="412"/>
    <x v="8"/>
    <x v="3"/>
    <x v="1"/>
    <x v="1"/>
    <n v="6"/>
    <n v="1318401"/>
    <d v="2026-07-22T00:00:00"/>
    <n v="7"/>
    <n v="22"/>
    <n v="2026"/>
    <x v="10"/>
    <s v="Q3"/>
    <x v="1"/>
  </r>
  <r>
    <s v="O101018"/>
    <x v="535"/>
    <x v="6"/>
    <x v="2"/>
    <x v="1"/>
    <x v="3"/>
    <n v="4"/>
    <n v="1317999"/>
    <d v="2025-03-03T00:00:00"/>
    <n v="3"/>
    <n v="3"/>
    <n v="2025"/>
    <x v="5"/>
    <s v="Q1"/>
    <x v="1"/>
  </r>
  <r>
    <s v="O106964"/>
    <x v="588"/>
    <x v="9"/>
    <x v="2"/>
    <x v="4"/>
    <x v="1"/>
    <n v="4"/>
    <n v="1316804"/>
    <d v="2026-02-28T00:00:00"/>
    <n v="2"/>
    <n v="28"/>
    <n v="2026"/>
    <x v="4"/>
    <s v="Q1"/>
    <x v="4"/>
  </r>
  <r>
    <s v="O106641"/>
    <x v="154"/>
    <x v="3"/>
    <x v="4"/>
    <x v="4"/>
    <x v="0"/>
    <n v="8"/>
    <n v="1316505"/>
    <d v="2026-08-02T00:00:00"/>
    <n v="8"/>
    <n v="2"/>
    <n v="2026"/>
    <x v="8"/>
    <s v="Q3"/>
    <x v="4"/>
  </r>
  <r>
    <s v="O102322"/>
    <x v="277"/>
    <x v="1"/>
    <x v="4"/>
    <x v="4"/>
    <x v="0"/>
    <n v="9"/>
    <n v="1316349"/>
    <d v="2025-05-22T00:00:00"/>
    <n v="5"/>
    <n v="22"/>
    <n v="2025"/>
    <x v="3"/>
    <s v="Q2"/>
    <x v="4"/>
  </r>
  <r>
    <s v="O111788"/>
    <x v="42"/>
    <x v="6"/>
    <x v="2"/>
    <x v="3"/>
    <x v="0"/>
    <n v="5"/>
    <n v="1316051"/>
    <d v="2026-12-18T00:00:00"/>
    <n v="12"/>
    <n v="18"/>
    <n v="2026"/>
    <x v="7"/>
    <s v="Q4"/>
    <x v="3"/>
  </r>
  <r>
    <s v="O105771"/>
    <x v="747"/>
    <x v="10"/>
    <x v="2"/>
    <x v="2"/>
    <x v="0"/>
    <n v="4"/>
    <n v="1315756"/>
    <d v="2025-12-17T00:00:00"/>
    <n v="12"/>
    <n v="17"/>
    <n v="2025"/>
    <x v="7"/>
    <m/>
    <x v="2"/>
  </r>
  <r>
    <s v="O101807"/>
    <x v="656"/>
    <x v="0"/>
    <x v="2"/>
    <x v="4"/>
    <x v="3"/>
    <n v="5"/>
    <n v="1314830"/>
    <d v="2025-04-20T00:00:00"/>
    <n v="4"/>
    <n v="20"/>
    <n v="2025"/>
    <x v="11"/>
    <s v="Q2"/>
    <x v="4"/>
  </r>
  <r>
    <s v="O101278"/>
    <x v="349"/>
    <x v="1"/>
    <x v="3"/>
    <x v="4"/>
    <x v="1"/>
    <n v="5"/>
    <n v="1314476"/>
    <d v="2025-03-19T00:00:00"/>
    <n v="3"/>
    <n v="19"/>
    <n v="2025"/>
    <x v="5"/>
    <s v="Q1"/>
    <x v="4"/>
  </r>
  <r>
    <s v="O109864"/>
    <x v="668"/>
    <x v="3"/>
    <x v="4"/>
    <x v="1"/>
    <x v="1"/>
    <n v="9"/>
    <n v="1313532"/>
    <d v="2026-08-23T00:00:00"/>
    <n v="8"/>
    <n v="23"/>
    <n v="2026"/>
    <x v="8"/>
    <s v="Q3"/>
    <x v="1"/>
  </r>
  <r>
    <s v="O102013"/>
    <x v="178"/>
    <x v="10"/>
    <x v="5"/>
    <x v="1"/>
    <x v="2"/>
    <n v="10"/>
    <n v="1312936"/>
    <d v="2025-03-05T00:00:00"/>
    <n v="3"/>
    <n v="5"/>
    <n v="2025"/>
    <x v="5"/>
    <s v="Q1"/>
    <x v="1"/>
  </r>
  <r>
    <s v="O100997"/>
    <x v="128"/>
    <x v="4"/>
    <x v="3"/>
    <x v="0"/>
    <x v="1"/>
    <n v="7"/>
    <n v="1312865"/>
    <d v="2025-02-03T00:00:00"/>
    <n v="2"/>
    <n v="3"/>
    <n v="2025"/>
    <x v="4"/>
    <s v="Q1"/>
    <x v="0"/>
  </r>
  <r>
    <s v="O106348"/>
    <x v="336"/>
    <x v="6"/>
    <x v="3"/>
    <x v="4"/>
    <x v="1"/>
    <n v="6"/>
    <n v="1312780"/>
    <d v="2026-01-21T00:00:00"/>
    <n v="1"/>
    <n v="21"/>
    <n v="2026"/>
    <x v="6"/>
    <s v="Q1"/>
    <x v="4"/>
  </r>
  <r>
    <s v="O104239"/>
    <x v="734"/>
    <x v="6"/>
    <x v="4"/>
    <x v="4"/>
    <x v="3"/>
    <n v="9"/>
    <n v="1312633"/>
    <d v="2025-09-15T00:00:00"/>
    <n v="9"/>
    <n v="15"/>
    <n v="2025"/>
    <x v="1"/>
    <s v="Q3"/>
    <x v="4"/>
  </r>
  <r>
    <s v="O106394"/>
    <x v="9"/>
    <x v="9"/>
    <x v="4"/>
    <x v="2"/>
    <x v="1"/>
    <n v="6"/>
    <n v="1312387"/>
    <d v="2026-01-24T00:00:00"/>
    <n v="1"/>
    <n v="24"/>
    <n v="2026"/>
    <x v="6"/>
    <s v="Q1"/>
    <x v="2"/>
  </r>
  <r>
    <s v="O107671"/>
    <x v="435"/>
    <x v="8"/>
    <x v="4"/>
    <x v="1"/>
    <x v="1"/>
    <n v="6"/>
    <n v="1312044"/>
    <d v="2026-11-04T00:00:00"/>
    <n v="11"/>
    <n v="4"/>
    <n v="2026"/>
    <x v="0"/>
    <s v="Q4"/>
    <x v="1"/>
  </r>
  <r>
    <s v="O103704"/>
    <x v="173"/>
    <x v="8"/>
    <x v="5"/>
    <x v="4"/>
    <x v="3"/>
    <n v="10"/>
    <n v="1311978"/>
    <d v="2025-08-13T00:00:00"/>
    <n v="8"/>
    <n v="13"/>
    <n v="2025"/>
    <x v="8"/>
    <s v="Q3"/>
    <x v="4"/>
  </r>
  <r>
    <s v="O110197"/>
    <x v="425"/>
    <x v="8"/>
    <x v="4"/>
    <x v="2"/>
    <x v="0"/>
    <n v="6"/>
    <n v="1311561"/>
    <d v="2026-12-09T00:00:00"/>
    <n v="12"/>
    <n v="9"/>
    <n v="2026"/>
    <x v="7"/>
    <s v="Q4"/>
    <x v="2"/>
  </r>
  <r>
    <s v="O107803"/>
    <x v="77"/>
    <x v="3"/>
    <x v="3"/>
    <x v="0"/>
    <x v="3"/>
    <n v="6"/>
    <n v="1311467"/>
    <d v="2026-04-20T00:00:00"/>
    <n v="4"/>
    <n v="20"/>
    <n v="2026"/>
    <x v="11"/>
    <s v="Q2"/>
    <x v="0"/>
  </r>
  <r>
    <s v="O109070"/>
    <x v="638"/>
    <x v="4"/>
    <x v="0"/>
    <x v="2"/>
    <x v="1"/>
    <n v="3"/>
    <n v="1310539"/>
    <d v="2026-05-07T00:00:00"/>
    <n v="5"/>
    <n v="7"/>
    <n v="2026"/>
    <x v="3"/>
    <s v="Q2"/>
    <x v="2"/>
  </r>
  <r>
    <s v="O111227"/>
    <x v="743"/>
    <x v="1"/>
    <x v="4"/>
    <x v="2"/>
    <x v="3"/>
    <n v="8"/>
    <n v="1310285"/>
    <d v="2026-11-14T00:00:00"/>
    <n v="11"/>
    <n v="14"/>
    <n v="2026"/>
    <x v="0"/>
    <s v="Q4"/>
    <x v="2"/>
  </r>
  <r>
    <s v="O105326"/>
    <x v="169"/>
    <x v="8"/>
    <x v="2"/>
    <x v="1"/>
    <x v="2"/>
    <n v="4"/>
    <n v="1310011"/>
    <d v="2025-11-20T00:00:00"/>
    <n v="11"/>
    <n v="20"/>
    <n v="2025"/>
    <x v="0"/>
    <m/>
    <x v="1"/>
  </r>
  <r>
    <s v="O100920"/>
    <x v="69"/>
    <x v="2"/>
    <x v="0"/>
    <x v="4"/>
    <x v="1"/>
    <n v="3"/>
    <n v="1309855"/>
    <d v="2025-02-25T00:00:00"/>
    <n v="2"/>
    <n v="25"/>
    <n v="2025"/>
    <x v="4"/>
    <s v="Q1"/>
    <x v="4"/>
  </r>
  <r>
    <s v="O106620"/>
    <x v="795"/>
    <x v="1"/>
    <x v="4"/>
    <x v="0"/>
    <x v="1"/>
    <n v="6"/>
    <n v="1309132"/>
    <d v="2026-07-02T00:00:00"/>
    <n v="7"/>
    <n v="2"/>
    <n v="2026"/>
    <x v="10"/>
    <s v="Q3"/>
    <x v="0"/>
  </r>
  <r>
    <s v="O109061"/>
    <x v="505"/>
    <x v="9"/>
    <x v="3"/>
    <x v="2"/>
    <x v="0"/>
    <n v="7"/>
    <n v="1309038"/>
    <d v="2026-05-07T00:00:00"/>
    <n v="5"/>
    <n v="7"/>
    <n v="2026"/>
    <x v="3"/>
    <s v="Q2"/>
    <x v="2"/>
  </r>
  <r>
    <s v="O110857"/>
    <x v="67"/>
    <x v="8"/>
    <x v="4"/>
    <x v="4"/>
    <x v="1"/>
    <n v="8"/>
    <n v="1308557"/>
    <d v="2026-10-22T00:00:00"/>
    <n v="10"/>
    <n v="22"/>
    <n v="2026"/>
    <x v="9"/>
    <s v="Q4"/>
    <x v="4"/>
  </r>
  <r>
    <s v="O100122"/>
    <x v="781"/>
    <x v="6"/>
    <x v="5"/>
    <x v="2"/>
    <x v="2"/>
    <n v="10"/>
    <n v="1308112"/>
    <d v="2025-08-01T00:00:00"/>
    <n v="8"/>
    <n v="1"/>
    <n v="2025"/>
    <x v="8"/>
    <s v="Q3"/>
    <x v="2"/>
  </r>
  <r>
    <s v="O109475"/>
    <x v="171"/>
    <x v="4"/>
    <x v="3"/>
    <x v="0"/>
    <x v="2"/>
    <n v="6"/>
    <n v="1307983"/>
    <d v="2026-07-30T00:00:00"/>
    <n v="7"/>
    <n v="30"/>
    <n v="2026"/>
    <x v="10"/>
    <s v="Q3"/>
    <x v="0"/>
  </r>
  <r>
    <s v="O108541"/>
    <x v="317"/>
    <x v="5"/>
    <x v="2"/>
    <x v="1"/>
    <x v="0"/>
    <n v="5"/>
    <n v="1307205"/>
    <d v="2026-03-06T00:00:00"/>
    <n v="3"/>
    <n v="6"/>
    <n v="2026"/>
    <x v="5"/>
    <s v="Q1"/>
    <x v="1"/>
  </r>
  <r>
    <s v="O105202"/>
    <x v="146"/>
    <x v="8"/>
    <x v="3"/>
    <x v="0"/>
    <x v="1"/>
    <n v="7"/>
    <n v="1307111"/>
    <d v="2025-12-11T00:00:00"/>
    <n v="12"/>
    <n v="11"/>
    <n v="2025"/>
    <x v="7"/>
    <s v="Q4"/>
    <x v="0"/>
  </r>
  <r>
    <s v="O102759"/>
    <x v="572"/>
    <x v="2"/>
    <x v="4"/>
    <x v="4"/>
    <x v="2"/>
    <n v="9"/>
    <n v="1306786"/>
    <d v="2025-06-17T00:00:00"/>
    <n v="6"/>
    <n v="17"/>
    <n v="2025"/>
    <x v="2"/>
    <s v="Q2"/>
    <x v="4"/>
  </r>
  <r>
    <s v="O106886"/>
    <x v="309"/>
    <x v="0"/>
    <x v="3"/>
    <x v="1"/>
    <x v="2"/>
    <n v="5"/>
    <n v="1306624"/>
    <d v="2026-02-23T00:00:00"/>
    <n v="2"/>
    <n v="23"/>
    <n v="2026"/>
    <x v="4"/>
    <m/>
    <x v="1"/>
  </r>
  <r>
    <s v="O105737"/>
    <x v="780"/>
    <x v="6"/>
    <x v="2"/>
    <x v="2"/>
    <x v="1"/>
    <n v="4"/>
    <n v="1306595"/>
    <d v="2025-12-15T00:00:00"/>
    <n v="12"/>
    <n v="15"/>
    <n v="2025"/>
    <x v="7"/>
    <s v="Q4"/>
    <x v="2"/>
  </r>
  <r>
    <s v="O101730"/>
    <x v="350"/>
    <x v="1"/>
    <x v="2"/>
    <x v="1"/>
    <x v="3"/>
    <n v="4"/>
    <n v="1306592"/>
    <d v="2025-04-16T00:00:00"/>
    <n v="4"/>
    <n v="16"/>
    <n v="2025"/>
    <x v="11"/>
    <s v="Q2"/>
    <x v="1"/>
  </r>
  <r>
    <s v="O100271"/>
    <x v="103"/>
    <x v="1"/>
    <x v="4"/>
    <x v="3"/>
    <x v="1"/>
    <n v="6"/>
    <n v="1306160"/>
    <d v="2025-01-17T00:00:00"/>
    <n v="1"/>
    <n v="17"/>
    <n v="2025"/>
    <x v="6"/>
    <s v="Q1"/>
    <x v="3"/>
  </r>
  <r>
    <s v="O100514"/>
    <x v="733"/>
    <x v="6"/>
    <x v="5"/>
    <x v="3"/>
    <x v="1"/>
    <n v="10"/>
    <n v="1305948"/>
    <d v="2025-01-02T00:00:00"/>
    <n v="1"/>
    <n v="2"/>
    <n v="2025"/>
    <x v="6"/>
    <s v="Q1"/>
    <x v="3"/>
  </r>
  <r>
    <s v="O105114"/>
    <x v="682"/>
    <x v="10"/>
    <x v="4"/>
    <x v="4"/>
    <x v="1"/>
    <n v="8"/>
    <n v="1305526"/>
    <d v="2025-07-11T00:00:00"/>
    <n v="7"/>
    <n v="11"/>
    <n v="2025"/>
    <x v="10"/>
    <s v="Q3"/>
    <x v="4"/>
  </r>
  <r>
    <s v="O108361"/>
    <x v="392"/>
    <x v="4"/>
    <x v="5"/>
    <x v="2"/>
    <x v="2"/>
    <n v="10"/>
    <n v="1304557"/>
    <d v="2026-05-23T00:00:00"/>
    <n v="5"/>
    <n v="23"/>
    <n v="2026"/>
    <x v="3"/>
    <s v="Q2"/>
    <x v="2"/>
  </r>
  <r>
    <s v="O100513"/>
    <x v="683"/>
    <x v="3"/>
    <x v="3"/>
    <x v="2"/>
    <x v="0"/>
    <n v="5"/>
    <n v="1304488"/>
    <d v="2025-01-02T00:00:00"/>
    <n v="1"/>
    <n v="2"/>
    <n v="2025"/>
    <x v="6"/>
    <s v="Q1"/>
    <x v="2"/>
  </r>
  <r>
    <s v="O108801"/>
    <x v="313"/>
    <x v="0"/>
    <x v="4"/>
    <x v="3"/>
    <x v="1"/>
    <n v="6"/>
    <n v="1304150"/>
    <d v="2026-06-19T00:00:00"/>
    <n v="6"/>
    <n v="19"/>
    <n v="2026"/>
    <x v="2"/>
    <s v="Q2"/>
    <x v="3"/>
  </r>
  <r>
    <s v="O109532"/>
    <x v="392"/>
    <x v="0"/>
    <x v="3"/>
    <x v="1"/>
    <x v="0"/>
    <n v="5"/>
    <n v="1303721"/>
    <d v="2026-03-08T00:00:00"/>
    <n v="3"/>
    <n v="8"/>
    <n v="2026"/>
    <x v="5"/>
    <s v="Q1"/>
    <x v="1"/>
  </r>
  <r>
    <s v="O100929"/>
    <x v="304"/>
    <x v="2"/>
    <x v="2"/>
    <x v="0"/>
    <x v="2"/>
    <n v="5"/>
    <n v="1303633"/>
    <d v="2025-02-26T00:00:00"/>
    <n v="2"/>
    <n v="26"/>
    <n v="2025"/>
    <x v="4"/>
    <s v="Q1"/>
    <x v="0"/>
  </r>
  <r>
    <s v="O110428"/>
    <x v="526"/>
    <x v="4"/>
    <x v="5"/>
    <x v="4"/>
    <x v="2"/>
    <n v="9"/>
    <n v="1303563"/>
    <d v="2026-09-26T00:00:00"/>
    <n v="9"/>
    <n v="26"/>
    <n v="2026"/>
    <x v="1"/>
    <s v="Q3"/>
    <x v="4"/>
  </r>
  <r>
    <s v="O108025"/>
    <x v="321"/>
    <x v="3"/>
    <x v="0"/>
    <x v="2"/>
    <x v="3"/>
    <n v="3"/>
    <n v="1302977"/>
    <d v="2026-03-05T00:00:00"/>
    <n v="3"/>
    <n v="5"/>
    <n v="2026"/>
    <x v="5"/>
    <s v="Q1"/>
    <x v="2"/>
  </r>
  <r>
    <s v="O106006"/>
    <x v="504"/>
    <x v="5"/>
    <x v="3"/>
    <x v="4"/>
    <x v="3"/>
    <n v="7"/>
    <n v="1302055"/>
    <d v="2025-12-31T00:00:00"/>
    <n v="12"/>
    <n v="31"/>
    <n v="2025"/>
    <x v="7"/>
    <s v="Q4"/>
    <x v="4"/>
  </r>
  <r>
    <s v="O107701"/>
    <x v="635"/>
    <x v="6"/>
    <x v="3"/>
    <x v="1"/>
    <x v="1"/>
    <n v="6"/>
    <n v="1301733"/>
    <d v="2026-04-13T00:00:00"/>
    <n v="4"/>
    <n v="13"/>
    <n v="2026"/>
    <x v="11"/>
    <s v="Q2"/>
    <x v="1"/>
  </r>
  <r>
    <s v="O110101"/>
    <x v="266"/>
    <x v="4"/>
    <x v="3"/>
    <x v="1"/>
    <x v="1"/>
    <n v="6"/>
    <n v="1301056"/>
    <d v="2026-06-09T00:00:00"/>
    <n v="6"/>
    <n v="9"/>
    <n v="2026"/>
    <x v="2"/>
    <s v="Q2"/>
    <x v="1"/>
  </r>
  <r>
    <s v="O102640"/>
    <x v="11"/>
    <x v="0"/>
    <x v="4"/>
    <x v="3"/>
    <x v="2"/>
    <n v="6"/>
    <n v="1300209"/>
    <d v="2025-10-06T00:00:00"/>
    <n v="10"/>
    <n v="6"/>
    <n v="2025"/>
    <x v="9"/>
    <s v="Q4"/>
    <x v="3"/>
  </r>
  <r>
    <s v="O109370"/>
    <x v="366"/>
    <x v="10"/>
    <x v="2"/>
    <x v="0"/>
    <x v="2"/>
    <n v="4"/>
    <n v="1299337"/>
    <d v="2026-07-24T00:00:00"/>
    <n v="7"/>
    <n v="24"/>
    <n v="2026"/>
    <x v="10"/>
    <s v="Q3"/>
    <x v="0"/>
  </r>
  <r>
    <s v="O103153"/>
    <x v="351"/>
    <x v="10"/>
    <x v="4"/>
    <x v="2"/>
    <x v="1"/>
    <n v="7"/>
    <n v="1298730"/>
    <d v="2025-11-07T00:00:00"/>
    <n v="11"/>
    <n v="7"/>
    <n v="2025"/>
    <x v="0"/>
    <s v="Q4"/>
    <x v="2"/>
  </r>
  <r>
    <s v="O101666"/>
    <x v="584"/>
    <x v="8"/>
    <x v="5"/>
    <x v="1"/>
    <x v="0"/>
    <n v="10"/>
    <n v="1298487"/>
    <d v="2025-12-04T00:00:00"/>
    <n v="12"/>
    <n v="4"/>
    <n v="2025"/>
    <x v="7"/>
    <s v="Q4"/>
    <x v="1"/>
  </r>
  <r>
    <s v="O105180"/>
    <x v="729"/>
    <x v="2"/>
    <x v="3"/>
    <x v="3"/>
    <x v="3"/>
    <n v="5"/>
    <n v="1297973"/>
    <d v="2025-11-11T00:00:00"/>
    <n v="11"/>
    <n v="11"/>
    <n v="2025"/>
    <x v="0"/>
    <s v="Q4"/>
    <x v="3"/>
  </r>
  <r>
    <s v="O101396"/>
    <x v="251"/>
    <x v="2"/>
    <x v="5"/>
    <x v="3"/>
    <x v="2"/>
    <n v="9"/>
    <n v="1296657"/>
    <d v="2025-03-26T00:00:00"/>
    <n v="3"/>
    <n v="26"/>
    <n v="2025"/>
    <x v="5"/>
    <s v="Q1"/>
    <x v="3"/>
  </r>
  <r>
    <s v="O102662"/>
    <x v="768"/>
    <x v="1"/>
    <x v="5"/>
    <x v="2"/>
    <x v="2"/>
    <n v="10"/>
    <n v="1295889"/>
    <d v="2025-11-06T00:00:00"/>
    <n v="11"/>
    <n v="6"/>
    <n v="2025"/>
    <x v="0"/>
    <s v="Q4"/>
    <x v="2"/>
  </r>
  <r>
    <s v="O102808"/>
    <x v="122"/>
    <x v="6"/>
    <x v="0"/>
    <x v="2"/>
    <x v="1"/>
    <n v="3"/>
    <n v="1295663"/>
    <d v="2025-06-20T00:00:00"/>
    <n v="6"/>
    <n v="20"/>
    <n v="2025"/>
    <x v="2"/>
    <s v="Q2"/>
    <x v="2"/>
  </r>
  <r>
    <s v="O105969"/>
    <x v="304"/>
    <x v="1"/>
    <x v="3"/>
    <x v="4"/>
    <x v="2"/>
    <n v="7"/>
    <n v="1295478"/>
    <d v="2025-12-29T00:00:00"/>
    <n v="12"/>
    <n v="29"/>
    <n v="2025"/>
    <x v="7"/>
    <s v="Q4"/>
    <x v="4"/>
  </r>
  <r>
    <s v="O110120"/>
    <x v="563"/>
    <x v="9"/>
    <x v="4"/>
    <x v="2"/>
    <x v="0"/>
    <n v="7"/>
    <n v="1294900"/>
    <d v="2026-07-09T00:00:00"/>
    <n v="7"/>
    <n v="9"/>
    <n v="2026"/>
    <x v="10"/>
    <s v="Q3"/>
    <x v="2"/>
  </r>
  <r>
    <s v="O104442"/>
    <x v="12"/>
    <x v="0"/>
    <x v="5"/>
    <x v="0"/>
    <x v="2"/>
    <n v="9"/>
    <n v="1294895"/>
    <d v="2025-09-27T00:00:00"/>
    <n v="9"/>
    <n v="27"/>
    <n v="2025"/>
    <x v="1"/>
    <s v="Q3"/>
    <x v="0"/>
  </r>
  <r>
    <s v="O104625"/>
    <x v="201"/>
    <x v="8"/>
    <x v="3"/>
    <x v="1"/>
    <x v="4"/>
    <n v="5"/>
    <n v="1294580"/>
    <d v="2025-08-10T00:00:00"/>
    <n v="8"/>
    <n v="10"/>
    <n v="2025"/>
    <x v="8"/>
    <s v="Q3"/>
    <x v="1"/>
  </r>
  <r>
    <s v="O102121"/>
    <x v="790"/>
    <x v="5"/>
    <x v="4"/>
    <x v="5"/>
    <x v="3"/>
    <n v="8"/>
    <n v="1294354"/>
    <d v="2025-09-05T00:00:00"/>
    <n v="9"/>
    <n v="5"/>
    <n v="2025"/>
    <x v="1"/>
    <s v="Q3"/>
    <x v="5"/>
  </r>
  <r>
    <s v="O107677"/>
    <x v="684"/>
    <x v="9"/>
    <x v="4"/>
    <x v="4"/>
    <x v="1"/>
    <n v="9"/>
    <n v="1293824"/>
    <d v="2026-12-04T00:00:00"/>
    <n v="12"/>
    <n v="4"/>
    <n v="2026"/>
    <x v="7"/>
    <s v="Q4"/>
    <x v="4"/>
  </r>
  <r>
    <s v="O111015"/>
    <x v="516"/>
    <x v="9"/>
    <x v="5"/>
    <x v="0"/>
    <x v="3"/>
    <n v="9"/>
    <n v="1293746"/>
    <d v="2026-01-11T00:00:00"/>
    <n v="1"/>
    <n v="11"/>
    <n v="2026"/>
    <x v="6"/>
    <s v="Q1"/>
    <x v="0"/>
  </r>
  <r>
    <s v="O104819"/>
    <x v="701"/>
    <x v="1"/>
    <x v="5"/>
    <x v="5"/>
    <x v="1"/>
    <n v="10"/>
    <n v="1293465"/>
    <d v="2025-10-20T00:00:00"/>
    <n v="10"/>
    <n v="20"/>
    <n v="2025"/>
    <x v="9"/>
    <s v="Q4"/>
    <x v="5"/>
  </r>
  <r>
    <s v="O106885"/>
    <x v="676"/>
    <x v="0"/>
    <x v="3"/>
    <x v="3"/>
    <x v="3"/>
    <n v="5"/>
    <n v="1292353"/>
    <d v="2026-02-23T00:00:00"/>
    <n v="2"/>
    <n v="23"/>
    <n v="2026"/>
    <x v="4"/>
    <s v="Q1"/>
    <x v="3"/>
  </r>
  <r>
    <s v="O101955"/>
    <x v="101"/>
    <x v="4"/>
    <x v="3"/>
    <x v="1"/>
    <x v="0"/>
    <n v="7"/>
    <n v="1291734"/>
    <d v="2025-04-29T00:00:00"/>
    <n v="4"/>
    <n v="29"/>
    <n v="2025"/>
    <x v="11"/>
    <s v="Q2"/>
    <x v="1"/>
  </r>
  <r>
    <s v="O110089"/>
    <x v="733"/>
    <x v="4"/>
    <x v="4"/>
    <x v="4"/>
    <x v="3"/>
    <n v="7"/>
    <n v="1291733"/>
    <d v="2026-05-09T00:00:00"/>
    <n v="5"/>
    <n v="9"/>
    <n v="2026"/>
    <x v="3"/>
    <s v="Q2"/>
    <x v="4"/>
  </r>
  <r>
    <s v="O102780"/>
    <x v="564"/>
    <x v="3"/>
    <x v="0"/>
    <x v="2"/>
    <x v="2"/>
    <n v="3"/>
    <n v="1291107"/>
    <d v="2025-06-18T00:00:00"/>
    <n v="6"/>
    <n v="18"/>
    <n v="2025"/>
    <x v="2"/>
    <s v="Q2"/>
    <x v="2"/>
  </r>
  <r>
    <s v="O104750"/>
    <x v="751"/>
    <x v="2"/>
    <x v="4"/>
    <x v="3"/>
    <x v="1"/>
    <n v="7"/>
    <n v="1290941"/>
    <d v="2025-10-16T00:00:00"/>
    <n v="10"/>
    <n v="16"/>
    <n v="2025"/>
    <x v="9"/>
    <s v="Q4"/>
    <x v="3"/>
  </r>
  <r>
    <s v="O108313"/>
    <x v="503"/>
    <x v="4"/>
    <x v="0"/>
    <x v="0"/>
    <x v="0"/>
    <n v="3"/>
    <n v="1290540"/>
    <d v="2026-05-20T00:00:00"/>
    <n v="5"/>
    <n v="20"/>
    <n v="2026"/>
    <x v="3"/>
    <s v="Q2"/>
    <x v="0"/>
  </r>
  <r>
    <s v="O101430"/>
    <x v="269"/>
    <x v="4"/>
    <x v="5"/>
    <x v="3"/>
    <x v="0"/>
    <n v="9"/>
    <n v="1289985"/>
    <d v="2025-03-28T00:00:00"/>
    <n v="3"/>
    <n v="28"/>
    <n v="2025"/>
    <x v="5"/>
    <s v="Q1"/>
    <x v="3"/>
  </r>
  <r>
    <s v="O102847"/>
    <x v="610"/>
    <x v="6"/>
    <x v="4"/>
    <x v="3"/>
    <x v="3"/>
    <n v="6"/>
    <n v="1289759"/>
    <d v="2025-06-22T00:00:00"/>
    <n v="6"/>
    <n v="22"/>
    <n v="2025"/>
    <x v="2"/>
    <s v="Q2"/>
    <x v="3"/>
  </r>
  <r>
    <s v="O105812"/>
    <x v="11"/>
    <x v="2"/>
    <x v="3"/>
    <x v="4"/>
    <x v="1"/>
    <n v="7"/>
    <n v="1289127"/>
    <d v="2025-12-20T00:00:00"/>
    <n v="12"/>
    <n v="20"/>
    <n v="2025"/>
    <x v="7"/>
    <s v="Q4"/>
    <x v="4"/>
  </r>
  <r>
    <s v="O105517"/>
    <x v="286"/>
    <x v="4"/>
    <x v="4"/>
    <x v="2"/>
    <x v="3"/>
    <n v="8"/>
    <n v="1288670"/>
    <d v="2025-02-12T00:00:00"/>
    <n v="2"/>
    <n v="12"/>
    <n v="2025"/>
    <x v="4"/>
    <s v="Q1"/>
    <x v="2"/>
  </r>
  <r>
    <s v="O109079"/>
    <x v="688"/>
    <x v="5"/>
    <x v="4"/>
    <x v="1"/>
    <x v="2"/>
    <n v="8"/>
    <n v="1288371"/>
    <d v="2026-06-07T00:00:00"/>
    <n v="6"/>
    <n v="7"/>
    <n v="2026"/>
    <x v="2"/>
    <s v="Q2"/>
    <x v="1"/>
  </r>
  <r>
    <s v="O103774"/>
    <x v="323"/>
    <x v="5"/>
    <x v="4"/>
    <x v="4"/>
    <x v="0"/>
    <n v="8"/>
    <n v="1288000"/>
    <d v="2025-08-18T00:00:00"/>
    <n v="8"/>
    <n v="18"/>
    <n v="2025"/>
    <x v="8"/>
    <s v="Q3"/>
    <x v="4"/>
  </r>
  <r>
    <s v="O109317"/>
    <x v="434"/>
    <x v="2"/>
    <x v="4"/>
    <x v="0"/>
    <x v="3"/>
    <n v="9"/>
    <n v="1287869"/>
    <d v="2026-07-20T00:00:00"/>
    <n v="7"/>
    <n v="20"/>
    <n v="2026"/>
    <x v="10"/>
    <s v="Q3"/>
    <x v="0"/>
  </r>
  <r>
    <s v="O105666"/>
    <x v="545"/>
    <x v="0"/>
    <x v="4"/>
    <x v="4"/>
    <x v="0"/>
    <n v="7"/>
    <n v="1287785"/>
    <d v="2025-11-12T00:00:00"/>
    <n v="11"/>
    <n v="12"/>
    <n v="2025"/>
    <x v="0"/>
    <s v="Q4"/>
    <x v="4"/>
  </r>
  <r>
    <s v="O111122"/>
    <x v="677"/>
    <x v="0"/>
    <x v="0"/>
    <x v="1"/>
    <x v="3"/>
    <n v="3"/>
    <n v="1287268"/>
    <d v="2026-07-11T00:00:00"/>
    <n v="7"/>
    <n v="11"/>
    <n v="2026"/>
    <x v="10"/>
    <s v="Q3"/>
    <x v="1"/>
  </r>
  <r>
    <s v="O109895"/>
    <x v="651"/>
    <x v="4"/>
    <x v="4"/>
    <x v="3"/>
    <x v="1"/>
    <n v="9"/>
    <n v="1287212"/>
    <d v="2026-08-25T00:00:00"/>
    <n v="8"/>
    <n v="25"/>
    <n v="2026"/>
    <x v="8"/>
    <s v="Q3"/>
    <x v="3"/>
  </r>
  <r>
    <s v="O106854"/>
    <x v="498"/>
    <x v="8"/>
    <x v="4"/>
    <x v="4"/>
    <x v="1"/>
    <n v="7"/>
    <n v="1287009"/>
    <d v="2026-02-21T00:00:00"/>
    <n v="2"/>
    <n v="21"/>
    <n v="2026"/>
    <x v="4"/>
    <s v="Q1"/>
    <x v="4"/>
  </r>
  <r>
    <s v="O107756"/>
    <x v="775"/>
    <x v="3"/>
    <x v="4"/>
    <x v="1"/>
    <x v="2"/>
    <n v="6"/>
    <n v="1286954"/>
    <d v="2026-04-17T00:00:00"/>
    <n v="4"/>
    <n v="17"/>
    <n v="2026"/>
    <x v="11"/>
    <s v="Q2"/>
    <x v="1"/>
  </r>
  <r>
    <s v="O104430"/>
    <x v="728"/>
    <x v="3"/>
    <x v="4"/>
    <x v="3"/>
    <x v="1"/>
    <n v="8"/>
    <n v="1286945"/>
    <d v="2025-09-27T00:00:00"/>
    <n v="9"/>
    <n v="27"/>
    <n v="2025"/>
    <x v="1"/>
    <s v="Q3"/>
    <x v="3"/>
  </r>
  <r>
    <s v="O101214"/>
    <x v="405"/>
    <x v="5"/>
    <x v="4"/>
    <x v="1"/>
    <x v="2"/>
    <n v="6"/>
    <n v="1286428"/>
    <d v="2025-03-15T00:00:00"/>
    <n v="3"/>
    <n v="15"/>
    <n v="2025"/>
    <x v="5"/>
    <s v="Q1"/>
    <x v="1"/>
  </r>
  <r>
    <s v="O107459"/>
    <x v="623"/>
    <x v="1"/>
    <x v="0"/>
    <x v="4"/>
    <x v="2"/>
    <n v="3"/>
    <n v="1286202"/>
    <d v="2026-03-30T00:00:00"/>
    <n v="3"/>
    <n v="30"/>
    <n v="2026"/>
    <x v="5"/>
    <s v="Q1"/>
    <x v="4"/>
  </r>
  <r>
    <s v="O111606"/>
    <x v="43"/>
    <x v="6"/>
    <x v="4"/>
    <x v="3"/>
    <x v="2"/>
    <n v="8"/>
    <n v="1285647"/>
    <d v="2026-07-12T00:00:00"/>
    <n v="7"/>
    <n v="12"/>
    <n v="2026"/>
    <x v="10"/>
    <s v="Q3"/>
    <x v="3"/>
  </r>
  <r>
    <s v="O110330"/>
    <x v="528"/>
    <x v="6"/>
    <x v="5"/>
    <x v="1"/>
    <x v="3"/>
    <n v="9"/>
    <n v="1285541"/>
    <d v="2026-09-20T00:00:00"/>
    <n v="9"/>
    <n v="20"/>
    <n v="2026"/>
    <x v="1"/>
    <s v="Q3"/>
    <x v="1"/>
  </r>
  <r>
    <s v="O107978"/>
    <x v="654"/>
    <x v="6"/>
    <x v="4"/>
    <x v="1"/>
    <x v="1"/>
    <n v="8"/>
    <n v="1285524"/>
    <d v="2026-04-30T00:00:00"/>
    <n v="4"/>
    <n v="30"/>
    <n v="2026"/>
    <x v="11"/>
    <s v="Q2"/>
    <x v="1"/>
  </r>
  <r>
    <s v="O105512"/>
    <x v="476"/>
    <x v="4"/>
    <x v="3"/>
    <x v="4"/>
    <x v="0"/>
    <n v="7"/>
    <n v="1285325"/>
    <d v="2025-01-12T00:00:00"/>
    <n v="1"/>
    <n v="12"/>
    <n v="2025"/>
    <x v="6"/>
    <s v="Q1"/>
    <x v="4"/>
  </r>
  <r>
    <s v="O106097"/>
    <x v="751"/>
    <x v="10"/>
    <x v="0"/>
    <x v="3"/>
    <x v="3"/>
    <n v="3"/>
    <n v="1285243"/>
    <d v="2026-06-01T00:00:00"/>
    <n v="6"/>
    <n v="1"/>
    <n v="2026"/>
    <x v="2"/>
    <s v="Q2"/>
    <x v="3"/>
  </r>
  <r>
    <s v="O107735"/>
    <x v="318"/>
    <x v="1"/>
    <x v="0"/>
    <x v="0"/>
    <x v="3"/>
    <n v="3"/>
    <n v="1285056"/>
    <d v="2026-04-15T00:00:00"/>
    <n v="4"/>
    <n v="15"/>
    <n v="2026"/>
    <x v="11"/>
    <s v="Q2"/>
    <x v="0"/>
  </r>
  <r>
    <s v="O108633"/>
    <x v="76"/>
    <x v="6"/>
    <x v="0"/>
    <x v="1"/>
    <x v="1"/>
    <n v="3"/>
    <n v="1284879"/>
    <d v="2026-09-06T00:00:00"/>
    <n v="9"/>
    <n v="6"/>
    <n v="2026"/>
    <x v="1"/>
    <s v="Q3"/>
    <x v="1"/>
  </r>
  <r>
    <s v="O110724"/>
    <x v="470"/>
    <x v="6"/>
    <x v="5"/>
    <x v="1"/>
    <x v="1"/>
    <n v="9"/>
    <n v="1284836"/>
    <d v="2026-10-14T00:00:00"/>
    <n v="10"/>
    <n v="14"/>
    <n v="2026"/>
    <x v="9"/>
    <s v="Q4"/>
    <x v="1"/>
  </r>
  <r>
    <s v="O106098"/>
    <x v="792"/>
    <x v="3"/>
    <x v="5"/>
    <x v="2"/>
    <x v="0"/>
    <n v="10"/>
    <n v="1283714"/>
    <d v="2026-06-01T00:00:00"/>
    <n v="6"/>
    <n v="1"/>
    <n v="2026"/>
    <x v="2"/>
    <s v="Q2"/>
    <x v="2"/>
  </r>
  <r>
    <s v="O107748"/>
    <x v="440"/>
    <x v="10"/>
    <x v="4"/>
    <x v="3"/>
    <x v="1"/>
    <n v="7"/>
    <n v="1282895"/>
    <d v="2026-04-16T00:00:00"/>
    <n v="4"/>
    <n v="16"/>
    <n v="2026"/>
    <x v="11"/>
    <s v="Q2"/>
    <x v="3"/>
  </r>
  <r>
    <s v="O101742"/>
    <x v="500"/>
    <x v="0"/>
    <x v="4"/>
    <x v="1"/>
    <x v="4"/>
    <n v="6"/>
    <n v="1282781"/>
    <d v="2025-04-16T00:00:00"/>
    <n v="4"/>
    <n v="16"/>
    <n v="2025"/>
    <x v="11"/>
    <s v="Q2"/>
    <x v="1"/>
  </r>
  <r>
    <s v="O107356"/>
    <x v="603"/>
    <x v="8"/>
    <x v="4"/>
    <x v="2"/>
    <x v="3"/>
    <n v="9"/>
    <n v="1281800"/>
    <d v="2026-03-23T00:00:00"/>
    <n v="3"/>
    <n v="23"/>
    <n v="2026"/>
    <x v="5"/>
    <s v="Q1"/>
    <x v="2"/>
  </r>
  <r>
    <s v="O104812"/>
    <x v="250"/>
    <x v="10"/>
    <x v="5"/>
    <x v="4"/>
    <x v="0"/>
    <n v="9"/>
    <n v="1281723"/>
    <d v="2025-10-20T00:00:00"/>
    <n v="10"/>
    <n v="20"/>
    <n v="2025"/>
    <x v="9"/>
    <s v="Q4"/>
    <x v="4"/>
  </r>
  <r>
    <s v="O110758"/>
    <x v="691"/>
    <x v="9"/>
    <x v="4"/>
    <x v="1"/>
    <x v="0"/>
    <n v="6"/>
    <n v="1281217"/>
    <d v="2026-10-16T00:00:00"/>
    <n v="10"/>
    <n v="16"/>
    <n v="2026"/>
    <x v="9"/>
    <m/>
    <x v="1"/>
  </r>
  <r>
    <s v="O103250"/>
    <x v="536"/>
    <x v="9"/>
    <x v="2"/>
    <x v="0"/>
    <x v="0"/>
    <n v="4"/>
    <n v="1281079"/>
    <d v="2025-07-17T00:00:00"/>
    <n v="7"/>
    <n v="17"/>
    <n v="2025"/>
    <x v="10"/>
    <s v="Q3"/>
    <x v="0"/>
  </r>
  <r>
    <s v="O111035"/>
    <x v="482"/>
    <x v="3"/>
    <x v="4"/>
    <x v="1"/>
    <x v="3"/>
    <n v="8"/>
    <n v="1281074"/>
    <d v="2026-02-11T00:00:00"/>
    <n v="2"/>
    <n v="11"/>
    <n v="2026"/>
    <x v="4"/>
    <s v="Q1"/>
    <x v="1"/>
  </r>
  <r>
    <s v="O106215"/>
    <x v="124"/>
    <x v="1"/>
    <x v="4"/>
    <x v="0"/>
    <x v="0"/>
    <n v="9"/>
    <n v="1280373"/>
    <d v="2026-01-13T00:00:00"/>
    <n v="1"/>
    <n v="13"/>
    <n v="2026"/>
    <x v="6"/>
    <s v="Q1"/>
    <x v="0"/>
  </r>
  <r>
    <s v="O103276"/>
    <x v="150"/>
    <x v="5"/>
    <x v="5"/>
    <x v="4"/>
    <x v="3"/>
    <n v="9"/>
    <n v="1279445"/>
    <d v="2025-07-18T00:00:00"/>
    <n v="7"/>
    <n v="18"/>
    <n v="2025"/>
    <x v="10"/>
    <s v="Q3"/>
    <x v="4"/>
  </r>
  <r>
    <s v="O107743"/>
    <x v="154"/>
    <x v="9"/>
    <x v="4"/>
    <x v="0"/>
    <x v="3"/>
    <n v="8"/>
    <n v="1279358"/>
    <d v="2026-04-16T00:00:00"/>
    <n v="4"/>
    <n v="16"/>
    <n v="2026"/>
    <x v="11"/>
    <s v="Q2"/>
    <x v="0"/>
  </r>
  <r>
    <s v="O106263"/>
    <x v="208"/>
    <x v="4"/>
    <x v="0"/>
    <x v="4"/>
    <x v="3"/>
    <n v="3"/>
    <n v="1278420"/>
    <d v="2026-01-16T00:00:00"/>
    <n v="1"/>
    <n v="16"/>
    <n v="2026"/>
    <x v="6"/>
    <s v="Q1"/>
    <x v="4"/>
  </r>
  <r>
    <s v="O103660"/>
    <x v="514"/>
    <x v="8"/>
    <x v="3"/>
    <x v="4"/>
    <x v="3"/>
    <n v="7"/>
    <n v="1277815"/>
    <d v="2025-11-08T00:00:00"/>
    <n v="11"/>
    <n v="8"/>
    <n v="2025"/>
    <x v="0"/>
    <m/>
    <x v="4"/>
  </r>
  <r>
    <s v="O104679"/>
    <x v="720"/>
    <x v="4"/>
    <x v="2"/>
    <x v="4"/>
    <x v="2"/>
    <n v="5"/>
    <n v="1277247"/>
    <d v="2025-12-10T00:00:00"/>
    <n v="12"/>
    <n v="10"/>
    <n v="2025"/>
    <x v="7"/>
    <s v="Q4"/>
    <x v="4"/>
  </r>
  <r>
    <s v="O104676"/>
    <x v="323"/>
    <x v="9"/>
    <x v="5"/>
    <x v="3"/>
    <x v="1"/>
    <n v="10"/>
    <n v="1276785"/>
    <d v="2025-12-10T00:00:00"/>
    <n v="12"/>
    <n v="10"/>
    <n v="2025"/>
    <x v="7"/>
    <s v="Q4"/>
    <x v="3"/>
  </r>
  <r>
    <s v="O105228"/>
    <x v="517"/>
    <x v="1"/>
    <x v="5"/>
    <x v="4"/>
    <x v="3"/>
    <n v="9"/>
    <n v="1276233"/>
    <d v="2025-11-14T00:00:00"/>
    <n v="11"/>
    <n v="14"/>
    <n v="2025"/>
    <x v="0"/>
    <s v="Q4"/>
    <x v="4"/>
  </r>
  <r>
    <s v="O100009"/>
    <x v="249"/>
    <x v="10"/>
    <x v="2"/>
    <x v="3"/>
    <x v="1"/>
    <n v="4"/>
    <n v="1276144"/>
    <d v="2025-01-01T00:00:00"/>
    <n v="1"/>
    <n v="1"/>
    <n v="2025"/>
    <x v="6"/>
    <s v="Q1"/>
    <x v="3"/>
  </r>
  <r>
    <s v="O101312"/>
    <x v="469"/>
    <x v="1"/>
    <x v="5"/>
    <x v="3"/>
    <x v="2"/>
    <n v="10"/>
    <n v="1276130"/>
    <d v="2025-03-21T00:00:00"/>
    <n v="3"/>
    <n v="21"/>
    <n v="2025"/>
    <x v="5"/>
    <s v="Q1"/>
    <x v="3"/>
  </r>
  <r>
    <s v="O106140"/>
    <x v="496"/>
    <x v="9"/>
    <x v="4"/>
    <x v="0"/>
    <x v="2"/>
    <n v="6"/>
    <n v="1275954"/>
    <d v="2026-08-01T00:00:00"/>
    <n v="8"/>
    <n v="1"/>
    <n v="2026"/>
    <x v="8"/>
    <s v="Q3"/>
    <x v="0"/>
  </r>
  <r>
    <s v="O109622"/>
    <x v="306"/>
    <x v="1"/>
    <x v="0"/>
    <x v="4"/>
    <x v="3"/>
    <n v="3"/>
    <n v="1275949"/>
    <d v="2026-08-08T00:00:00"/>
    <n v="8"/>
    <n v="8"/>
    <n v="2026"/>
    <x v="8"/>
    <s v="Q3"/>
    <x v="4"/>
  </r>
  <r>
    <s v="O100803"/>
    <x v="177"/>
    <x v="0"/>
    <x v="2"/>
    <x v="4"/>
    <x v="0"/>
    <n v="5"/>
    <n v="1275120"/>
    <d v="2025-02-18T00:00:00"/>
    <n v="2"/>
    <n v="18"/>
    <n v="2025"/>
    <x v="4"/>
    <s v="Q1"/>
    <x v="4"/>
  </r>
  <r>
    <s v="O107979"/>
    <x v="773"/>
    <x v="3"/>
    <x v="4"/>
    <x v="4"/>
    <x v="1"/>
    <n v="6"/>
    <n v="1274471"/>
    <d v="2026-04-30T00:00:00"/>
    <n v="4"/>
    <n v="30"/>
    <n v="2026"/>
    <x v="11"/>
    <s v="Q2"/>
    <x v="4"/>
  </r>
  <r>
    <s v="O102777"/>
    <x v="725"/>
    <x v="8"/>
    <x v="0"/>
    <x v="3"/>
    <x v="0"/>
    <n v="3"/>
    <n v="1273948"/>
    <d v="2025-06-18T00:00:00"/>
    <n v="6"/>
    <n v="18"/>
    <n v="2025"/>
    <x v="2"/>
    <m/>
    <x v="3"/>
  </r>
  <r>
    <s v="O102110"/>
    <x v="16"/>
    <x v="6"/>
    <x v="3"/>
    <x v="0"/>
    <x v="3"/>
    <n v="7"/>
    <n v="1273411"/>
    <d v="2025-09-05T00:00:00"/>
    <n v="9"/>
    <n v="5"/>
    <n v="2025"/>
    <x v="1"/>
    <s v="Q3"/>
    <x v="0"/>
  </r>
  <r>
    <s v="O106820"/>
    <x v="687"/>
    <x v="4"/>
    <x v="4"/>
    <x v="1"/>
    <x v="1"/>
    <n v="7"/>
    <n v="1272204"/>
    <d v="2026-02-19T00:00:00"/>
    <n v="2"/>
    <n v="19"/>
    <n v="2026"/>
    <x v="4"/>
    <s v="Q1"/>
    <x v="1"/>
  </r>
  <r>
    <s v="O111284"/>
    <x v="104"/>
    <x v="8"/>
    <x v="0"/>
    <x v="1"/>
    <x v="3"/>
    <n v="3"/>
    <n v="1271436"/>
    <d v="2026-11-17T00:00:00"/>
    <n v="11"/>
    <n v="17"/>
    <n v="2026"/>
    <x v="0"/>
    <s v="Q4"/>
    <x v="1"/>
  </r>
  <r>
    <s v="O105761"/>
    <x v="274"/>
    <x v="3"/>
    <x v="4"/>
    <x v="2"/>
    <x v="3"/>
    <n v="6"/>
    <n v="1269942"/>
    <d v="2025-12-16T00:00:00"/>
    <n v="12"/>
    <n v="16"/>
    <n v="2025"/>
    <x v="7"/>
    <s v="Q4"/>
    <x v="2"/>
  </r>
  <r>
    <s v="O106186"/>
    <x v="498"/>
    <x v="8"/>
    <x v="4"/>
    <x v="3"/>
    <x v="3"/>
    <n v="8"/>
    <n v="1268293"/>
    <d v="2026-11-01T00:00:00"/>
    <n v="11"/>
    <n v="1"/>
    <n v="2026"/>
    <x v="0"/>
    <s v="Q4"/>
    <x v="3"/>
  </r>
  <r>
    <s v="O106625"/>
    <x v="664"/>
    <x v="3"/>
    <x v="5"/>
    <x v="0"/>
    <x v="2"/>
    <n v="9"/>
    <n v="1268032"/>
    <d v="2026-07-02T00:00:00"/>
    <n v="7"/>
    <n v="2"/>
    <n v="2026"/>
    <x v="10"/>
    <s v="Q3"/>
    <x v="0"/>
  </r>
  <r>
    <s v="O102871"/>
    <x v="160"/>
    <x v="6"/>
    <x v="5"/>
    <x v="4"/>
    <x v="3"/>
    <n v="9"/>
    <n v="1268022"/>
    <d v="2025-06-24T00:00:00"/>
    <n v="6"/>
    <n v="24"/>
    <n v="2025"/>
    <x v="2"/>
    <s v="Q2"/>
    <x v="4"/>
  </r>
  <r>
    <s v="O100241"/>
    <x v="780"/>
    <x v="3"/>
    <x v="3"/>
    <x v="4"/>
    <x v="0"/>
    <n v="7"/>
    <n v="1267935"/>
    <d v="2025-01-15T00:00:00"/>
    <n v="1"/>
    <n v="15"/>
    <n v="2025"/>
    <x v="6"/>
    <s v="Q1"/>
    <x v="4"/>
  </r>
  <r>
    <s v="O101293"/>
    <x v="170"/>
    <x v="2"/>
    <x v="2"/>
    <x v="3"/>
    <x v="3"/>
    <n v="5"/>
    <n v="1267894"/>
    <d v="2025-03-20T00:00:00"/>
    <n v="3"/>
    <n v="20"/>
    <n v="2025"/>
    <x v="5"/>
    <s v="Q1"/>
    <x v="3"/>
  </r>
  <r>
    <s v="O107537"/>
    <x v="615"/>
    <x v="10"/>
    <x v="4"/>
    <x v="0"/>
    <x v="1"/>
    <n v="8"/>
    <n v="1267821"/>
    <d v="2026-03-04T00:00:00"/>
    <n v="3"/>
    <n v="4"/>
    <n v="2026"/>
    <x v="5"/>
    <s v="Q1"/>
    <x v="0"/>
  </r>
  <r>
    <s v="O103131"/>
    <x v="575"/>
    <x v="4"/>
    <x v="4"/>
    <x v="1"/>
    <x v="2"/>
    <n v="6"/>
    <n v="1267425"/>
    <d v="2025-10-07T00:00:00"/>
    <n v="10"/>
    <n v="7"/>
    <n v="2025"/>
    <x v="9"/>
    <s v="Q4"/>
    <x v="1"/>
  </r>
  <r>
    <s v="O105238"/>
    <x v="338"/>
    <x v="10"/>
    <x v="2"/>
    <x v="2"/>
    <x v="3"/>
    <n v="4"/>
    <n v="1267364"/>
    <d v="2025-11-15T00:00:00"/>
    <n v="11"/>
    <n v="15"/>
    <n v="2025"/>
    <x v="0"/>
    <s v="Q4"/>
    <x v="2"/>
  </r>
  <r>
    <s v="O111540"/>
    <x v="753"/>
    <x v="2"/>
    <x v="4"/>
    <x v="2"/>
    <x v="4"/>
    <n v="6"/>
    <n v="1267179"/>
    <d v="2026-03-12T00:00:00"/>
    <n v="3"/>
    <n v="12"/>
    <n v="2026"/>
    <x v="5"/>
    <s v="Q1"/>
    <x v="2"/>
  </r>
  <r>
    <s v="O104768"/>
    <x v="372"/>
    <x v="3"/>
    <x v="0"/>
    <x v="4"/>
    <x v="1"/>
    <n v="3"/>
    <n v="1267110"/>
    <d v="2025-10-17T00:00:00"/>
    <n v="10"/>
    <n v="17"/>
    <n v="2025"/>
    <x v="9"/>
    <s v="Q4"/>
    <x v="4"/>
  </r>
  <r>
    <s v="O100557"/>
    <x v="588"/>
    <x v="6"/>
    <x v="0"/>
    <x v="1"/>
    <x v="0"/>
    <n v="3"/>
    <n v="1266662"/>
    <d v="2025-03-02T00:00:00"/>
    <n v="3"/>
    <n v="2"/>
    <n v="2025"/>
    <x v="5"/>
    <s v="Q1"/>
    <x v="1"/>
  </r>
  <r>
    <s v="O110058"/>
    <x v="89"/>
    <x v="0"/>
    <x v="4"/>
    <x v="2"/>
    <x v="0"/>
    <n v="9"/>
    <n v="1266576"/>
    <d v="2026-04-09T00:00:00"/>
    <n v="4"/>
    <n v="9"/>
    <n v="2026"/>
    <x v="11"/>
    <s v="Q2"/>
    <x v="2"/>
  </r>
  <r>
    <s v="O108161"/>
    <x v="250"/>
    <x v="10"/>
    <x v="3"/>
    <x v="1"/>
    <x v="2"/>
    <n v="5"/>
    <n v="1266461"/>
    <d v="2026-05-11T00:00:00"/>
    <n v="5"/>
    <n v="11"/>
    <n v="2026"/>
    <x v="3"/>
    <s v="Q2"/>
    <x v="1"/>
  </r>
  <r>
    <s v="O102079"/>
    <x v="272"/>
    <x v="9"/>
    <x v="3"/>
    <x v="3"/>
    <x v="2"/>
    <n v="5"/>
    <n v="1266443"/>
    <d v="2025-07-05T00:00:00"/>
    <n v="7"/>
    <n v="5"/>
    <n v="2025"/>
    <x v="10"/>
    <s v="Q3"/>
    <x v="3"/>
  </r>
  <r>
    <s v="O107130"/>
    <x v="688"/>
    <x v="10"/>
    <x v="3"/>
    <x v="4"/>
    <x v="1"/>
    <n v="6"/>
    <n v="1266388"/>
    <d v="2026-10-03T00:00:00"/>
    <n v="10"/>
    <n v="3"/>
    <n v="2026"/>
    <x v="9"/>
    <s v="Q4"/>
    <x v="4"/>
  </r>
  <r>
    <s v="O110609"/>
    <x v="263"/>
    <x v="9"/>
    <x v="4"/>
    <x v="4"/>
    <x v="3"/>
    <n v="6"/>
    <n v="1266330"/>
    <d v="2026-07-10T00:00:00"/>
    <n v="7"/>
    <n v="10"/>
    <n v="2026"/>
    <x v="10"/>
    <s v="Q3"/>
    <x v="4"/>
  </r>
  <r>
    <s v="O110721"/>
    <x v="699"/>
    <x v="8"/>
    <x v="2"/>
    <x v="1"/>
    <x v="3"/>
    <n v="5"/>
    <n v="1266234"/>
    <d v="2026-10-14T00:00:00"/>
    <n v="10"/>
    <n v="14"/>
    <n v="2026"/>
    <x v="9"/>
    <s v="Q4"/>
    <x v="1"/>
  </r>
  <r>
    <s v="O109711"/>
    <x v="245"/>
    <x v="9"/>
    <x v="0"/>
    <x v="0"/>
    <x v="2"/>
    <n v="3"/>
    <n v="1266148"/>
    <d v="2026-08-13T00:00:00"/>
    <n v="8"/>
    <n v="13"/>
    <n v="2026"/>
    <x v="8"/>
    <s v="Q3"/>
    <x v="0"/>
  </r>
  <r>
    <s v="O110972"/>
    <x v="27"/>
    <x v="3"/>
    <x v="3"/>
    <x v="0"/>
    <x v="2"/>
    <n v="6"/>
    <n v="1265878"/>
    <d v="2026-10-29T00:00:00"/>
    <n v="10"/>
    <n v="29"/>
    <n v="2026"/>
    <x v="9"/>
    <s v="Q4"/>
    <x v="0"/>
  </r>
  <r>
    <s v="O110684"/>
    <x v="499"/>
    <x v="10"/>
    <x v="4"/>
    <x v="4"/>
    <x v="0"/>
    <n v="8"/>
    <n v="1265858"/>
    <d v="2026-12-10T00:00:00"/>
    <n v="12"/>
    <n v="10"/>
    <n v="2026"/>
    <x v="7"/>
    <s v="Q4"/>
    <x v="4"/>
  </r>
  <r>
    <s v="O102902"/>
    <x v="130"/>
    <x v="10"/>
    <x v="4"/>
    <x v="2"/>
    <x v="0"/>
    <n v="9"/>
    <n v="1265528"/>
    <d v="2025-06-26T00:00:00"/>
    <n v="6"/>
    <n v="26"/>
    <n v="2025"/>
    <x v="2"/>
    <s v="Q2"/>
    <x v="2"/>
  </r>
  <r>
    <s v="O101151"/>
    <x v="354"/>
    <x v="5"/>
    <x v="4"/>
    <x v="1"/>
    <x v="3"/>
    <n v="9"/>
    <n v="1264980"/>
    <d v="2025-11-03T00:00:00"/>
    <n v="11"/>
    <n v="3"/>
    <n v="2025"/>
    <x v="0"/>
    <s v="Q4"/>
    <x v="1"/>
  </r>
  <r>
    <s v="O110729"/>
    <x v="786"/>
    <x v="9"/>
    <x v="0"/>
    <x v="0"/>
    <x v="1"/>
    <n v="3"/>
    <n v="1264795"/>
    <d v="2026-10-14T00:00:00"/>
    <n v="10"/>
    <n v="14"/>
    <n v="2026"/>
    <x v="9"/>
    <s v="Q4"/>
    <x v="0"/>
  </r>
  <r>
    <s v="O101387"/>
    <x v="343"/>
    <x v="6"/>
    <x v="4"/>
    <x v="4"/>
    <x v="3"/>
    <n v="8"/>
    <n v="1262453"/>
    <d v="2025-03-26T00:00:00"/>
    <n v="3"/>
    <n v="26"/>
    <n v="2025"/>
    <x v="5"/>
    <s v="Q1"/>
    <x v="4"/>
  </r>
  <r>
    <s v="O100262"/>
    <x v="667"/>
    <x v="4"/>
    <x v="3"/>
    <x v="4"/>
    <x v="3"/>
    <n v="5"/>
    <n v="1262261"/>
    <d v="2025-01-16T00:00:00"/>
    <n v="1"/>
    <n v="16"/>
    <n v="2025"/>
    <x v="6"/>
    <s v="Q1"/>
    <x v="4"/>
  </r>
  <r>
    <s v="O108486"/>
    <x v="426"/>
    <x v="2"/>
    <x v="4"/>
    <x v="3"/>
    <x v="3"/>
    <n v="7"/>
    <n v="1261073"/>
    <d v="2026-05-31T00:00:00"/>
    <n v="5"/>
    <n v="31"/>
    <n v="2026"/>
    <x v="3"/>
    <s v="Q2"/>
    <x v="3"/>
  </r>
  <r>
    <s v="O107161"/>
    <x v="287"/>
    <x v="6"/>
    <x v="4"/>
    <x v="4"/>
    <x v="2"/>
    <n v="7"/>
    <n v="1261014"/>
    <d v="2026-12-03T00:00:00"/>
    <n v="12"/>
    <n v="3"/>
    <n v="2026"/>
    <x v="7"/>
    <s v="Q4"/>
    <x v="4"/>
  </r>
  <r>
    <s v="O104930"/>
    <x v="649"/>
    <x v="0"/>
    <x v="3"/>
    <x v="0"/>
    <x v="3"/>
    <n v="5"/>
    <n v="1260845"/>
    <d v="2025-10-27T00:00:00"/>
    <n v="10"/>
    <n v="27"/>
    <n v="2025"/>
    <x v="9"/>
    <s v="Q4"/>
    <x v="0"/>
  </r>
  <r>
    <s v="O102906"/>
    <x v="502"/>
    <x v="8"/>
    <x v="0"/>
    <x v="3"/>
    <x v="3"/>
    <n v="3"/>
    <n v="1260755"/>
    <d v="2025-06-26T00:00:00"/>
    <n v="6"/>
    <n v="26"/>
    <n v="2025"/>
    <x v="2"/>
    <s v="Q2"/>
    <x v="3"/>
  </r>
  <r>
    <s v="O110776"/>
    <x v="514"/>
    <x v="8"/>
    <x v="0"/>
    <x v="4"/>
    <x v="0"/>
    <n v="3"/>
    <n v="1260591"/>
    <d v="2026-10-17T00:00:00"/>
    <n v="10"/>
    <n v="17"/>
    <n v="2026"/>
    <x v="9"/>
    <m/>
    <x v="4"/>
  </r>
  <r>
    <s v="O110818"/>
    <x v="476"/>
    <x v="8"/>
    <x v="4"/>
    <x v="3"/>
    <x v="1"/>
    <n v="6"/>
    <n v="1258568"/>
    <d v="2026-10-20T00:00:00"/>
    <n v="10"/>
    <n v="20"/>
    <n v="2026"/>
    <x v="9"/>
    <s v="Q4"/>
    <x v="3"/>
  </r>
  <r>
    <s v="O105309"/>
    <x v="44"/>
    <x v="5"/>
    <x v="5"/>
    <x v="4"/>
    <x v="2"/>
    <n v="9"/>
    <n v="1258156"/>
    <d v="2025-11-19T00:00:00"/>
    <n v="11"/>
    <n v="19"/>
    <n v="2025"/>
    <x v="0"/>
    <s v="Q4"/>
    <x v="4"/>
  </r>
  <r>
    <s v="O105821"/>
    <x v="728"/>
    <x v="1"/>
    <x v="5"/>
    <x v="3"/>
    <x v="1"/>
    <n v="10"/>
    <n v="1257974"/>
    <d v="2025-12-20T00:00:00"/>
    <n v="12"/>
    <n v="20"/>
    <n v="2025"/>
    <x v="7"/>
    <s v="Q4"/>
    <x v="3"/>
  </r>
  <r>
    <s v="O109442"/>
    <x v="290"/>
    <x v="10"/>
    <x v="0"/>
    <x v="0"/>
    <x v="1"/>
    <n v="3"/>
    <n v="1257266"/>
    <d v="2026-07-28T00:00:00"/>
    <n v="7"/>
    <n v="28"/>
    <n v="2026"/>
    <x v="10"/>
    <s v="Q3"/>
    <x v="0"/>
  </r>
  <r>
    <s v="O103976"/>
    <x v="505"/>
    <x v="4"/>
    <x v="5"/>
    <x v="0"/>
    <x v="1"/>
    <n v="9"/>
    <n v="1257083"/>
    <d v="2025-08-30T00:00:00"/>
    <n v="8"/>
    <n v="30"/>
    <n v="2025"/>
    <x v="8"/>
    <s v="Q3"/>
    <x v="0"/>
  </r>
  <r>
    <s v="O105860"/>
    <x v="328"/>
    <x v="1"/>
    <x v="2"/>
    <x v="0"/>
    <x v="0"/>
    <n v="4"/>
    <n v="1256832"/>
    <d v="2025-12-22T00:00:00"/>
    <n v="12"/>
    <n v="22"/>
    <n v="2025"/>
    <x v="7"/>
    <s v="Q4"/>
    <x v="0"/>
  </r>
  <r>
    <s v="O101108"/>
    <x v="85"/>
    <x v="6"/>
    <x v="4"/>
    <x v="3"/>
    <x v="2"/>
    <n v="8"/>
    <n v="1256823"/>
    <d v="2025-09-03T00:00:00"/>
    <n v="9"/>
    <n v="3"/>
    <n v="2025"/>
    <x v="1"/>
    <s v="Q3"/>
    <x v="3"/>
  </r>
  <r>
    <s v="O108082"/>
    <x v="593"/>
    <x v="3"/>
    <x v="0"/>
    <x v="3"/>
    <x v="2"/>
    <n v="3"/>
    <n v="1256777"/>
    <d v="2026-06-05T00:00:00"/>
    <n v="6"/>
    <n v="5"/>
    <n v="2026"/>
    <x v="2"/>
    <s v="Q2"/>
    <x v="3"/>
  </r>
  <r>
    <s v="O101344"/>
    <x v="436"/>
    <x v="0"/>
    <x v="4"/>
    <x v="1"/>
    <x v="1"/>
    <n v="6"/>
    <n v="1256671"/>
    <d v="2025-03-23T00:00:00"/>
    <n v="3"/>
    <n v="23"/>
    <n v="2025"/>
    <x v="5"/>
    <s v="Q1"/>
    <x v="1"/>
  </r>
  <r>
    <s v="O104002"/>
    <x v="279"/>
    <x v="10"/>
    <x v="4"/>
    <x v="2"/>
    <x v="0"/>
    <n v="9"/>
    <n v="1256366"/>
    <d v="2025-01-09T00:00:00"/>
    <n v="1"/>
    <n v="9"/>
    <n v="2025"/>
    <x v="6"/>
    <s v="Q1"/>
    <x v="2"/>
  </r>
  <r>
    <s v="O111512"/>
    <x v="133"/>
    <x v="5"/>
    <x v="2"/>
    <x v="1"/>
    <x v="0"/>
    <n v="4"/>
    <n v="1256264"/>
    <d v="2026-01-12T00:00:00"/>
    <n v="1"/>
    <n v="12"/>
    <n v="2026"/>
    <x v="6"/>
    <s v="Q1"/>
    <x v="1"/>
  </r>
  <r>
    <s v="O108124"/>
    <x v="185"/>
    <x v="9"/>
    <x v="2"/>
    <x v="2"/>
    <x v="2"/>
    <n v="5"/>
    <n v="1255358"/>
    <d v="2026-09-05T00:00:00"/>
    <n v="9"/>
    <n v="5"/>
    <n v="2026"/>
    <x v="1"/>
    <s v="Q3"/>
    <x v="2"/>
  </r>
  <r>
    <s v="O104284"/>
    <x v="382"/>
    <x v="9"/>
    <x v="0"/>
    <x v="3"/>
    <x v="2"/>
    <n v="3"/>
    <n v="1254909"/>
    <d v="2025-09-18T00:00:00"/>
    <n v="9"/>
    <n v="18"/>
    <n v="2025"/>
    <x v="1"/>
    <s v="Q3"/>
    <x v="3"/>
  </r>
  <r>
    <s v="O110931"/>
    <x v="234"/>
    <x v="8"/>
    <x v="5"/>
    <x v="4"/>
    <x v="1"/>
    <n v="9"/>
    <n v="1254723"/>
    <d v="2026-10-27T00:00:00"/>
    <n v="10"/>
    <n v="27"/>
    <n v="2026"/>
    <x v="9"/>
    <s v="Q4"/>
    <x v="4"/>
  </r>
  <r>
    <s v="O103702"/>
    <x v="413"/>
    <x v="2"/>
    <x v="2"/>
    <x v="1"/>
    <x v="1"/>
    <n v="5"/>
    <n v="1254131"/>
    <d v="2025-08-13T00:00:00"/>
    <n v="8"/>
    <n v="13"/>
    <n v="2025"/>
    <x v="8"/>
    <s v="Q3"/>
    <x v="1"/>
  </r>
  <r>
    <s v="O111397"/>
    <x v="318"/>
    <x v="10"/>
    <x v="4"/>
    <x v="2"/>
    <x v="0"/>
    <n v="6"/>
    <n v="1253860"/>
    <d v="2026-11-24T00:00:00"/>
    <n v="11"/>
    <n v="24"/>
    <n v="2026"/>
    <x v="0"/>
    <s v="Q4"/>
    <x v="2"/>
  </r>
  <r>
    <s v="O111825"/>
    <x v="109"/>
    <x v="6"/>
    <x v="5"/>
    <x v="6"/>
    <x v="2"/>
    <n v="10"/>
    <n v="1253794"/>
    <d v="2026-12-20T00:00:00"/>
    <n v="12"/>
    <n v="20"/>
    <n v="2026"/>
    <x v="7"/>
    <s v="Q4"/>
    <x v="4"/>
  </r>
  <r>
    <s v="O110866"/>
    <x v="535"/>
    <x v="5"/>
    <x v="3"/>
    <x v="4"/>
    <x v="0"/>
    <n v="6"/>
    <n v="1252569"/>
    <d v="2026-10-23T00:00:00"/>
    <n v="10"/>
    <n v="23"/>
    <n v="2026"/>
    <x v="9"/>
    <s v="Q4"/>
    <x v="4"/>
  </r>
  <r>
    <s v="O105567"/>
    <x v="92"/>
    <x v="2"/>
    <x v="4"/>
    <x v="3"/>
    <x v="3"/>
    <n v="7"/>
    <n v="1252508"/>
    <d v="2025-05-12T00:00:00"/>
    <n v="5"/>
    <n v="12"/>
    <n v="2025"/>
    <x v="3"/>
    <s v="Q2"/>
    <x v="3"/>
  </r>
  <r>
    <s v="O111804"/>
    <x v="318"/>
    <x v="6"/>
    <x v="3"/>
    <x v="0"/>
    <x v="1"/>
    <n v="5"/>
    <n v="1252423"/>
    <d v="2026-12-19T00:00:00"/>
    <n v="12"/>
    <n v="19"/>
    <n v="2026"/>
    <x v="7"/>
    <s v="Q4"/>
    <x v="0"/>
  </r>
  <r>
    <s v="O110261"/>
    <x v="341"/>
    <x v="3"/>
    <x v="2"/>
    <x v="2"/>
    <x v="2"/>
    <n v="5"/>
    <n v="1252037"/>
    <d v="2026-09-16T00:00:00"/>
    <n v="9"/>
    <n v="16"/>
    <n v="2026"/>
    <x v="1"/>
    <m/>
    <x v="2"/>
  </r>
  <r>
    <s v="O105137"/>
    <x v="659"/>
    <x v="0"/>
    <x v="2"/>
    <x v="2"/>
    <x v="2"/>
    <n v="4"/>
    <n v="1251511"/>
    <d v="2025-09-11T00:00:00"/>
    <n v="9"/>
    <n v="11"/>
    <n v="2025"/>
    <x v="1"/>
    <s v="Q3"/>
    <x v="2"/>
  </r>
  <r>
    <s v="O105390"/>
    <x v="62"/>
    <x v="6"/>
    <x v="5"/>
    <x v="2"/>
    <x v="0"/>
    <n v="10"/>
    <n v="1251164"/>
    <d v="2025-11-24T00:00:00"/>
    <n v="11"/>
    <n v="24"/>
    <n v="2025"/>
    <x v="0"/>
    <s v="Q4"/>
    <x v="2"/>
  </r>
  <r>
    <s v="O107153"/>
    <x v="590"/>
    <x v="5"/>
    <x v="3"/>
    <x v="4"/>
    <x v="1"/>
    <n v="6"/>
    <n v="1251070"/>
    <d v="2026-11-03T00:00:00"/>
    <n v="11"/>
    <n v="3"/>
    <n v="2026"/>
    <x v="0"/>
    <s v="Q4"/>
    <x v="4"/>
  </r>
  <r>
    <s v="O102466"/>
    <x v="688"/>
    <x v="6"/>
    <x v="0"/>
    <x v="2"/>
    <x v="3"/>
    <n v="3"/>
    <n v="1251067"/>
    <d v="2025-05-30T00:00:00"/>
    <n v="5"/>
    <n v="30"/>
    <n v="2025"/>
    <x v="3"/>
    <s v="Q2"/>
    <x v="2"/>
  </r>
  <r>
    <s v="O106709"/>
    <x v="1"/>
    <x v="4"/>
    <x v="2"/>
    <x v="3"/>
    <x v="2"/>
    <n v="5"/>
    <n v="1250738"/>
    <d v="2026-12-02T00:00:00"/>
    <n v="12"/>
    <n v="2"/>
    <n v="2026"/>
    <x v="7"/>
    <s v="Q4"/>
    <x v="3"/>
  </r>
  <r>
    <s v="O111694"/>
    <x v="479"/>
    <x v="10"/>
    <x v="3"/>
    <x v="1"/>
    <x v="3"/>
    <n v="6"/>
    <n v="1250670"/>
    <d v="2026-12-12T00:00:00"/>
    <n v="12"/>
    <n v="12"/>
    <n v="2026"/>
    <x v="7"/>
    <s v="Q4"/>
    <x v="1"/>
  </r>
  <r>
    <s v="O102155"/>
    <x v="100"/>
    <x v="10"/>
    <x v="0"/>
    <x v="1"/>
    <x v="1"/>
    <n v="3"/>
    <n v="1249972"/>
    <d v="2025-11-05T00:00:00"/>
    <n v="11"/>
    <n v="5"/>
    <n v="2025"/>
    <x v="0"/>
    <s v="Q4"/>
    <x v="1"/>
  </r>
  <r>
    <s v="O108419"/>
    <x v="595"/>
    <x v="3"/>
    <x v="4"/>
    <x v="4"/>
    <x v="2"/>
    <n v="6"/>
    <n v="1249575"/>
    <d v="2026-05-27T00:00:00"/>
    <n v="5"/>
    <n v="27"/>
    <n v="2026"/>
    <x v="3"/>
    <s v="Q2"/>
    <x v="4"/>
  </r>
  <r>
    <s v="O109458"/>
    <x v="605"/>
    <x v="5"/>
    <x v="5"/>
    <x v="4"/>
    <x v="0"/>
    <n v="10"/>
    <n v="1249474"/>
    <d v="2026-07-29T00:00:00"/>
    <n v="7"/>
    <n v="29"/>
    <n v="2026"/>
    <x v="10"/>
    <s v="Q3"/>
    <x v="4"/>
  </r>
  <r>
    <s v="O107797"/>
    <x v="752"/>
    <x v="1"/>
    <x v="3"/>
    <x v="0"/>
    <x v="3"/>
    <n v="7"/>
    <n v="1249065"/>
    <d v="2026-04-19T00:00:00"/>
    <n v="4"/>
    <n v="19"/>
    <n v="2026"/>
    <x v="11"/>
    <s v="Q2"/>
    <x v="0"/>
  </r>
  <r>
    <s v="O101661"/>
    <x v="585"/>
    <x v="8"/>
    <x v="2"/>
    <x v="3"/>
    <x v="3"/>
    <n v="4"/>
    <n v="1248752"/>
    <d v="2025-11-04T00:00:00"/>
    <n v="11"/>
    <n v="4"/>
    <n v="2025"/>
    <x v="0"/>
    <s v="Q4"/>
    <x v="3"/>
  </r>
  <r>
    <s v="O101963"/>
    <x v="300"/>
    <x v="0"/>
    <x v="5"/>
    <x v="1"/>
    <x v="0"/>
    <n v="9"/>
    <n v="1248450"/>
    <d v="2025-04-30T00:00:00"/>
    <n v="4"/>
    <n v="30"/>
    <n v="2025"/>
    <x v="11"/>
    <s v="Q2"/>
    <x v="1"/>
  </r>
  <r>
    <s v="O103068"/>
    <x v="100"/>
    <x v="6"/>
    <x v="3"/>
    <x v="0"/>
    <x v="0"/>
    <n v="5"/>
    <n v="1248384"/>
    <d v="2025-06-07T00:00:00"/>
    <n v="6"/>
    <n v="7"/>
    <n v="2025"/>
    <x v="2"/>
    <s v="Q2"/>
    <x v="0"/>
  </r>
  <r>
    <s v="O104013"/>
    <x v="357"/>
    <x v="3"/>
    <x v="4"/>
    <x v="1"/>
    <x v="2"/>
    <n v="6"/>
    <n v="1248347"/>
    <d v="2025-01-09T00:00:00"/>
    <n v="1"/>
    <n v="9"/>
    <n v="2025"/>
    <x v="6"/>
    <s v="Q1"/>
    <x v="1"/>
  </r>
  <r>
    <s v="O107662"/>
    <x v="328"/>
    <x v="6"/>
    <x v="2"/>
    <x v="2"/>
    <x v="3"/>
    <n v="4"/>
    <n v="1247991"/>
    <d v="2026-11-04T00:00:00"/>
    <n v="11"/>
    <n v="4"/>
    <n v="2026"/>
    <x v="0"/>
    <s v="Q4"/>
    <x v="2"/>
  </r>
  <r>
    <s v="O100114"/>
    <x v="770"/>
    <x v="5"/>
    <x v="4"/>
    <x v="0"/>
    <x v="1"/>
    <n v="7"/>
    <n v="1247800"/>
    <d v="2025-07-01T00:00:00"/>
    <n v="7"/>
    <n v="1"/>
    <n v="2025"/>
    <x v="10"/>
    <s v="Q3"/>
    <x v="0"/>
  </r>
  <r>
    <s v="O100356"/>
    <x v="118"/>
    <x v="8"/>
    <x v="2"/>
    <x v="3"/>
    <x v="1"/>
    <n v="4"/>
    <n v="1247412"/>
    <d v="2025-01-22T00:00:00"/>
    <n v="1"/>
    <n v="22"/>
    <n v="2025"/>
    <x v="6"/>
    <s v="Q1"/>
    <x v="3"/>
  </r>
  <r>
    <s v="O101624"/>
    <x v="289"/>
    <x v="0"/>
    <x v="3"/>
    <x v="0"/>
    <x v="1"/>
    <n v="6"/>
    <n v="1247323"/>
    <d v="2025-09-04T00:00:00"/>
    <n v="9"/>
    <n v="4"/>
    <n v="2025"/>
    <x v="1"/>
    <s v="Q3"/>
    <x v="0"/>
  </r>
  <r>
    <s v="O103103"/>
    <x v="640"/>
    <x v="6"/>
    <x v="3"/>
    <x v="2"/>
    <x v="3"/>
    <n v="7"/>
    <n v="1246904"/>
    <d v="2025-08-07T00:00:00"/>
    <n v="8"/>
    <n v="7"/>
    <n v="2025"/>
    <x v="8"/>
    <s v="Q3"/>
    <x v="2"/>
  </r>
  <r>
    <s v="O103038"/>
    <x v="270"/>
    <x v="6"/>
    <x v="3"/>
    <x v="3"/>
    <x v="0"/>
    <n v="6"/>
    <n v="1246527"/>
    <d v="2025-04-07T00:00:00"/>
    <n v="4"/>
    <n v="7"/>
    <n v="2025"/>
    <x v="11"/>
    <s v="Q2"/>
    <x v="3"/>
  </r>
  <r>
    <s v="O103064"/>
    <x v="23"/>
    <x v="10"/>
    <x v="2"/>
    <x v="3"/>
    <x v="2"/>
    <n v="4"/>
    <n v="1246288"/>
    <d v="2025-06-07T00:00:00"/>
    <n v="6"/>
    <n v="7"/>
    <n v="2025"/>
    <x v="2"/>
    <s v="Q2"/>
    <x v="3"/>
  </r>
  <r>
    <s v="O110930"/>
    <x v="597"/>
    <x v="0"/>
    <x v="5"/>
    <x v="2"/>
    <x v="3"/>
    <n v="10"/>
    <n v="1245286"/>
    <d v="2026-10-26T00:00:00"/>
    <n v="10"/>
    <n v="26"/>
    <n v="2026"/>
    <x v="9"/>
    <s v="Q4"/>
    <x v="2"/>
  </r>
  <r>
    <s v="O111558"/>
    <x v="578"/>
    <x v="3"/>
    <x v="5"/>
    <x v="0"/>
    <x v="0"/>
    <n v="9"/>
    <n v="1244145"/>
    <d v="2026-04-12T00:00:00"/>
    <n v="4"/>
    <n v="12"/>
    <n v="2026"/>
    <x v="11"/>
    <s v="Q2"/>
    <x v="0"/>
  </r>
  <r>
    <s v="O105731"/>
    <x v="673"/>
    <x v="5"/>
    <x v="5"/>
    <x v="1"/>
    <x v="3"/>
    <n v="10"/>
    <n v="1244062"/>
    <d v="2025-12-15T00:00:00"/>
    <n v="12"/>
    <n v="15"/>
    <n v="2025"/>
    <x v="7"/>
    <s v="Q4"/>
    <x v="1"/>
  </r>
  <r>
    <s v="O108506"/>
    <x v="151"/>
    <x v="4"/>
    <x v="4"/>
    <x v="4"/>
    <x v="1"/>
    <n v="6"/>
    <n v="1243676"/>
    <d v="2026-01-06T00:00:00"/>
    <n v="1"/>
    <n v="6"/>
    <n v="2026"/>
    <x v="6"/>
    <s v="Q1"/>
    <x v="4"/>
  </r>
  <r>
    <s v="O109997"/>
    <x v="518"/>
    <x v="1"/>
    <x v="5"/>
    <x v="1"/>
    <x v="0"/>
    <n v="9"/>
    <n v="1243391"/>
    <d v="2026-08-31T00:00:00"/>
    <n v="8"/>
    <n v="31"/>
    <n v="2026"/>
    <x v="8"/>
    <s v="Q3"/>
    <x v="1"/>
  </r>
  <r>
    <s v="O103360"/>
    <x v="215"/>
    <x v="8"/>
    <x v="2"/>
    <x v="2"/>
    <x v="3"/>
    <n v="5"/>
    <n v="1243293"/>
    <d v="2025-07-24T00:00:00"/>
    <n v="7"/>
    <n v="24"/>
    <n v="2025"/>
    <x v="10"/>
    <s v="Q3"/>
    <x v="2"/>
  </r>
  <r>
    <s v="O111207"/>
    <x v="337"/>
    <x v="8"/>
    <x v="4"/>
    <x v="4"/>
    <x v="0"/>
    <n v="6"/>
    <n v="1242909"/>
    <d v="2026-12-11T00:00:00"/>
    <n v="12"/>
    <n v="11"/>
    <n v="2026"/>
    <x v="7"/>
    <s v="Q4"/>
    <x v="4"/>
  </r>
  <r>
    <s v="O102631"/>
    <x v="250"/>
    <x v="0"/>
    <x v="2"/>
    <x v="2"/>
    <x v="2"/>
    <n v="4"/>
    <n v="1242546"/>
    <d v="2025-09-06T00:00:00"/>
    <n v="9"/>
    <n v="6"/>
    <n v="2025"/>
    <x v="1"/>
    <s v="Q3"/>
    <x v="2"/>
  </r>
  <r>
    <s v="O111915"/>
    <x v="174"/>
    <x v="1"/>
    <x v="3"/>
    <x v="0"/>
    <x v="1"/>
    <n v="5"/>
    <n v="1242504"/>
    <d v="2026-12-25T00:00:00"/>
    <n v="12"/>
    <n v="25"/>
    <n v="2026"/>
    <x v="7"/>
    <s v="Q4"/>
    <x v="0"/>
  </r>
  <r>
    <s v="O106951"/>
    <x v="541"/>
    <x v="8"/>
    <x v="4"/>
    <x v="4"/>
    <x v="1"/>
    <n v="9"/>
    <n v="1242243"/>
    <d v="2026-02-27T00:00:00"/>
    <n v="2"/>
    <n v="27"/>
    <n v="2026"/>
    <x v="4"/>
    <s v="Q1"/>
    <x v="4"/>
  </r>
  <r>
    <s v="O111173"/>
    <x v="541"/>
    <x v="4"/>
    <x v="3"/>
    <x v="1"/>
    <x v="0"/>
    <n v="5"/>
    <n v="1241559"/>
    <d v="2026-10-11T00:00:00"/>
    <n v="10"/>
    <n v="11"/>
    <n v="2026"/>
    <x v="9"/>
    <s v="Q4"/>
    <x v="1"/>
  </r>
  <r>
    <s v="O101482"/>
    <x v="391"/>
    <x v="9"/>
    <x v="0"/>
    <x v="3"/>
    <x v="1"/>
    <n v="3"/>
    <n v="1241443"/>
    <d v="2025-03-31T00:00:00"/>
    <n v="3"/>
    <n v="31"/>
    <n v="2025"/>
    <x v="5"/>
    <s v="Q1"/>
    <x v="3"/>
  </r>
  <r>
    <s v="O111951"/>
    <x v="306"/>
    <x v="8"/>
    <x v="3"/>
    <x v="0"/>
    <x v="1"/>
    <n v="5"/>
    <n v="1241367"/>
    <d v="2026-12-28T00:00:00"/>
    <n v="12"/>
    <n v="28"/>
    <n v="2026"/>
    <x v="7"/>
    <s v="Q4"/>
    <x v="0"/>
  </r>
  <r>
    <s v="O107845"/>
    <x v="118"/>
    <x v="6"/>
    <x v="5"/>
    <x v="1"/>
    <x v="0"/>
    <n v="9"/>
    <n v="1240589"/>
    <d v="2026-04-22T00:00:00"/>
    <n v="4"/>
    <n v="22"/>
    <n v="2026"/>
    <x v="11"/>
    <s v="Q2"/>
    <x v="1"/>
  </r>
  <r>
    <s v="O102173"/>
    <x v="333"/>
    <x v="5"/>
    <x v="0"/>
    <x v="0"/>
    <x v="2"/>
    <n v="3"/>
    <n v="1239223"/>
    <d v="2025-12-05T00:00:00"/>
    <n v="12"/>
    <n v="5"/>
    <n v="2025"/>
    <x v="7"/>
    <s v="Q4"/>
    <x v="0"/>
  </r>
  <r>
    <s v="O108892"/>
    <x v="305"/>
    <x v="9"/>
    <x v="5"/>
    <x v="0"/>
    <x v="2"/>
    <n v="10"/>
    <n v="1238995"/>
    <d v="2026-06-25T00:00:00"/>
    <n v="6"/>
    <n v="25"/>
    <n v="2026"/>
    <x v="2"/>
    <s v="Q2"/>
    <x v="0"/>
  </r>
  <r>
    <s v="O101295"/>
    <x v="318"/>
    <x v="8"/>
    <x v="4"/>
    <x v="3"/>
    <x v="2"/>
    <n v="6"/>
    <n v="1238799"/>
    <d v="2025-03-20T00:00:00"/>
    <n v="3"/>
    <n v="20"/>
    <n v="2025"/>
    <x v="5"/>
    <s v="Q1"/>
    <x v="3"/>
  </r>
  <r>
    <s v="O109313"/>
    <x v="763"/>
    <x v="10"/>
    <x v="4"/>
    <x v="2"/>
    <x v="1"/>
    <n v="7"/>
    <n v="1238538"/>
    <d v="2026-07-20T00:00:00"/>
    <n v="7"/>
    <n v="20"/>
    <n v="2026"/>
    <x v="10"/>
    <s v="Q3"/>
    <x v="2"/>
  </r>
  <r>
    <s v="O104862"/>
    <x v="428"/>
    <x v="6"/>
    <x v="4"/>
    <x v="2"/>
    <x v="0"/>
    <n v="8"/>
    <n v="1238529"/>
    <d v="2025-10-23T00:00:00"/>
    <n v="10"/>
    <n v="23"/>
    <n v="2025"/>
    <x v="9"/>
    <s v="Q4"/>
    <x v="2"/>
  </r>
  <r>
    <s v="O111359"/>
    <x v="25"/>
    <x v="5"/>
    <x v="4"/>
    <x v="4"/>
    <x v="0"/>
    <n v="7"/>
    <n v="1237953"/>
    <d v="2026-11-22T00:00:00"/>
    <n v="11"/>
    <n v="22"/>
    <n v="2026"/>
    <x v="0"/>
    <s v="Q4"/>
    <x v="4"/>
  </r>
  <r>
    <s v="O106029"/>
    <x v="197"/>
    <x v="8"/>
    <x v="4"/>
    <x v="1"/>
    <x v="1"/>
    <n v="7"/>
    <n v="1237599"/>
    <d v="2026-02-01T00:00:00"/>
    <n v="2"/>
    <n v="1"/>
    <n v="2026"/>
    <x v="4"/>
    <s v="Q1"/>
    <x v="1"/>
  </r>
  <r>
    <s v="O102667"/>
    <x v="614"/>
    <x v="1"/>
    <x v="0"/>
    <x v="4"/>
    <x v="3"/>
    <n v="3"/>
    <n v="1237485"/>
    <d v="2025-11-06T00:00:00"/>
    <n v="11"/>
    <n v="6"/>
    <n v="2025"/>
    <x v="0"/>
    <s v="Q4"/>
    <x v="4"/>
  </r>
  <r>
    <s v="O100780"/>
    <x v="622"/>
    <x v="1"/>
    <x v="2"/>
    <x v="1"/>
    <x v="0"/>
    <n v="4"/>
    <n v="1237194"/>
    <d v="2025-02-17T00:00:00"/>
    <n v="2"/>
    <n v="17"/>
    <n v="2025"/>
    <x v="4"/>
    <s v="Q1"/>
    <x v="1"/>
  </r>
  <r>
    <s v="O103502"/>
    <x v="424"/>
    <x v="9"/>
    <x v="4"/>
    <x v="0"/>
    <x v="2"/>
    <n v="7"/>
    <n v="1237099"/>
    <d v="2025-01-08T00:00:00"/>
    <n v="1"/>
    <n v="8"/>
    <n v="2025"/>
    <x v="6"/>
    <s v="Q1"/>
    <x v="0"/>
  </r>
  <r>
    <s v="O102632"/>
    <x v="344"/>
    <x v="0"/>
    <x v="4"/>
    <x v="0"/>
    <x v="2"/>
    <n v="6"/>
    <n v="1235240"/>
    <d v="2025-09-06T00:00:00"/>
    <n v="9"/>
    <n v="6"/>
    <n v="2025"/>
    <x v="1"/>
    <s v="Q3"/>
    <x v="0"/>
  </r>
  <r>
    <s v="O111097"/>
    <x v="757"/>
    <x v="2"/>
    <x v="4"/>
    <x v="4"/>
    <x v="2"/>
    <n v="6"/>
    <n v="1235158"/>
    <d v="2026-06-11T00:00:00"/>
    <n v="6"/>
    <n v="11"/>
    <n v="2026"/>
    <x v="2"/>
    <s v="Q2"/>
    <x v="4"/>
  </r>
  <r>
    <s v="O102937"/>
    <x v="354"/>
    <x v="0"/>
    <x v="4"/>
    <x v="2"/>
    <x v="1"/>
    <n v="8"/>
    <n v="1235030"/>
    <d v="2025-06-28T00:00:00"/>
    <n v="6"/>
    <n v="28"/>
    <n v="2025"/>
    <x v="2"/>
    <s v="Q2"/>
    <x v="2"/>
  </r>
  <r>
    <s v="O111144"/>
    <x v="50"/>
    <x v="2"/>
    <x v="4"/>
    <x v="3"/>
    <x v="3"/>
    <n v="7"/>
    <n v="1233748"/>
    <d v="2026-08-11T00:00:00"/>
    <n v="8"/>
    <n v="11"/>
    <n v="2026"/>
    <x v="8"/>
    <s v="Q3"/>
    <x v="3"/>
  </r>
  <r>
    <s v="O105303"/>
    <x v="38"/>
    <x v="9"/>
    <x v="4"/>
    <x v="1"/>
    <x v="1"/>
    <n v="7"/>
    <n v="1233702"/>
    <d v="2025-11-19T00:00:00"/>
    <n v="11"/>
    <n v="19"/>
    <n v="2025"/>
    <x v="0"/>
    <s v="Q4"/>
    <x v="1"/>
  </r>
  <r>
    <s v="O104395"/>
    <x v="672"/>
    <x v="9"/>
    <x v="3"/>
    <x v="3"/>
    <x v="0"/>
    <n v="7"/>
    <n v="1232995"/>
    <d v="2025-09-24T00:00:00"/>
    <n v="9"/>
    <n v="24"/>
    <n v="2025"/>
    <x v="1"/>
    <s v="Q3"/>
    <x v="3"/>
  </r>
  <r>
    <s v="O106812"/>
    <x v="264"/>
    <x v="6"/>
    <x v="0"/>
    <x v="3"/>
    <x v="3"/>
    <n v="3"/>
    <n v="1232842"/>
    <d v="2026-02-18T00:00:00"/>
    <n v="2"/>
    <n v="18"/>
    <n v="2026"/>
    <x v="4"/>
    <s v="Q1"/>
    <x v="3"/>
  </r>
  <r>
    <s v="O107567"/>
    <x v="482"/>
    <x v="4"/>
    <x v="3"/>
    <x v="2"/>
    <x v="2"/>
    <n v="5"/>
    <n v="1232639"/>
    <d v="2026-05-04T00:00:00"/>
    <n v="5"/>
    <n v="4"/>
    <n v="2026"/>
    <x v="3"/>
    <s v="Q2"/>
    <x v="2"/>
  </r>
  <r>
    <s v="O109492"/>
    <x v="615"/>
    <x v="5"/>
    <x v="0"/>
    <x v="2"/>
    <x v="2"/>
    <n v="3"/>
    <n v="1232541"/>
    <d v="2026-07-31T00:00:00"/>
    <n v="7"/>
    <n v="31"/>
    <n v="2026"/>
    <x v="10"/>
    <s v="Q3"/>
    <x v="2"/>
  </r>
  <r>
    <s v="O105526"/>
    <x v="684"/>
    <x v="1"/>
    <x v="0"/>
    <x v="0"/>
    <x v="1"/>
    <n v="3"/>
    <n v="1232416"/>
    <d v="2025-02-12T00:00:00"/>
    <n v="2"/>
    <n v="12"/>
    <n v="2025"/>
    <x v="4"/>
    <s v="Q1"/>
    <x v="0"/>
  </r>
  <r>
    <s v="O106410"/>
    <x v="389"/>
    <x v="2"/>
    <x v="3"/>
    <x v="3"/>
    <x v="3"/>
    <n v="7"/>
    <n v="1232038"/>
    <d v="2026-01-25T00:00:00"/>
    <n v="1"/>
    <n v="25"/>
    <n v="2026"/>
    <x v="6"/>
    <s v="Q1"/>
    <x v="3"/>
  </r>
  <r>
    <s v="O106013"/>
    <x v="684"/>
    <x v="5"/>
    <x v="3"/>
    <x v="4"/>
    <x v="0"/>
    <n v="6"/>
    <n v="1231898"/>
    <d v="2026-01-01T00:00:00"/>
    <n v="1"/>
    <n v="1"/>
    <n v="2026"/>
    <x v="6"/>
    <s v="Q1"/>
    <x v="4"/>
  </r>
  <r>
    <s v="O100499"/>
    <x v="583"/>
    <x v="10"/>
    <x v="3"/>
    <x v="3"/>
    <x v="2"/>
    <n v="6"/>
    <n v="1231704"/>
    <d v="2025-01-31T00:00:00"/>
    <n v="1"/>
    <n v="31"/>
    <n v="2025"/>
    <x v="6"/>
    <s v="Q1"/>
    <x v="3"/>
  </r>
  <r>
    <s v="O101175"/>
    <x v="23"/>
    <x v="9"/>
    <x v="2"/>
    <x v="3"/>
    <x v="1"/>
    <n v="4"/>
    <n v="1231227"/>
    <d v="2025-03-13T00:00:00"/>
    <n v="3"/>
    <n v="13"/>
    <n v="2025"/>
    <x v="5"/>
    <s v="Q1"/>
    <x v="3"/>
  </r>
  <r>
    <s v="O100736"/>
    <x v="638"/>
    <x v="0"/>
    <x v="5"/>
    <x v="1"/>
    <x v="1"/>
    <n v="9"/>
    <n v="1231147"/>
    <d v="2025-02-14T00:00:00"/>
    <n v="2"/>
    <n v="14"/>
    <n v="2025"/>
    <x v="4"/>
    <s v="Q1"/>
    <x v="1"/>
  </r>
  <r>
    <s v="O106011"/>
    <x v="111"/>
    <x v="8"/>
    <x v="4"/>
    <x v="3"/>
    <x v="2"/>
    <n v="6"/>
    <n v="1230243"/>
    <d v="2026-01-01T00:00:00"/>
    <n v="1"/>
    <n v="1"/>
    <n v="2026"/>
    <x v="6"/>
    <s v="Q1"/>
    <x v="3"/>
  </r>
  <r>
    <s v="O107591"/>
    <x v="797"/>
    <x v="7"/>
    <x v="0"/>
    <x v="4"/>
    <x v="1"/>
    <n v="3"/>
    <n v="1230136"/>
    <d v="2026-07-04T00:00:00"/>
    <n v="7"/>
    <n v="4"/>
    <n v="2026"/>
    <x v="10"/>
    <s v="Q3"/>
    <x v="4"/>
  </r>
  <r>
    <s v="O106199"/>
    <x v="257"/>
    <x v="5"/>
    <x v="0"/>
    <x v="2"/>
    <x v="2"/>
    <n v="3"/>
    <n v="1229963"/>
    <d v="2026-12-01T00:00:00"/>
    <n v="12"/>
    <n v="1"/>
    <n v="2026"/>
    <x v="7"/>
    <s v="Q4"/>
    <x v="2"/>
  </r>
  <r>
    <s v="O109034"/>
    <x v="83"/>
    <x v="9"/>
    <x v="5"/>
    <x v="1"/>
    <x v="0"/>
    <n v="10"/>
    <n v="1229867"/>
    <d v="2026-03-07T00:00:00"/>
    <n v="3"/>
    <n v="7"/>
    <n v="2026"/>
    <x v="5"/>
    <s v="Q1"/>
    <x v="1"/>
  </r>
  <r>
    <s v="O101649"/>
    <x v="432"/>
    <x v="8"/>
    <x v="4"/>
    <x v="4"/>
    <x v="1"/>
    <n v="8"/>
    <n v="1229064"/>
    <d v="2025-11-04T00:00:00"/>
    <n v="11"/>
    <n v="4"/>
    <n v="2025"/>
    <x v="0"/>
    <s v="Q4"/>
    <x v="4"/>
  </r>
  <r>
    <s v="O104590"/>
    <x v="736"/>
    <x v="8"/>
    <x v="4"/>
    <x v="2"/>
    <x v="3"/>
    <n v="6"/>
    <n v="1228887"/>
    <d v="2025-06-10T00:00:00"/>
    <n v="6"/>
    <n v="10"/>
    <n v="2025"/>
    <x v="2"/>
    <s v="Q2"/>
    <x v="2"/>
  </r>
  <r>
    <s v="O106035"/>
    <x v="446"/>
    <x v="5"/>
    <x v="2"/>
    <x v="1"/>
    <x v="3"/>
    <n v="5"/>
    <n v="1228745"/>
    <d v="2026-02-01T00:00:00"/>
    <n v="2"/>
    <n v="1"/>
    <n v="2026"/>
    <x v="4"/>
    <s v="Q1"/>
    <x v="1"/>
  </r>
  <r>
    <s v="O108292"/>
    <x v="502"/>
    <x v="2"/>
    <x v="4"/>
    <x v="3"/>
    <x v="0"/>
    <n v="6"/>
    <n v="1228630"/>
    <d v="2026-05-19T00:00:00"/>
    <n v="5"/>
    <n v="19"/>
    <n v="2026"/>
    <x v="3"/>
    <s v="Q2"/>
    <x v="3"/>
  </r>
  <r>
    <s v="O100949"/>
    <x v="111"/>
    <x v="1"/>
    <x v="5"/>
    <x v="1"/>
    <x v="1"/>
    <n v="9"/>
    <n v="1228556"/>
    <d v="2025-02-27T00:00:00"/>
    <n v="2"/>
    <n v="27"/>
    <n v="2025"/>
    <x v="4"/>
    <s v="Q1"/>
    <x v="1"/>
  </r>
  <r>
    <s v="O107990"/>
    <x v="242"/>
    <x v="8"/>
    <x v="5"/>
    <x v="4"/>
    <x v="2"/>
    <n v="9"/>
    <n v="1228239"/>
    <d v="2026-01-05T00:00:00"/>
    <n v="1"/>
    <n v="5"/>
    <n v="2026"/>
    <x v="6"/>
    <s v="Q1"/>
    <x v="4"/>
  </r>
  <r>
    <s v="O111859"/>
    <x v="538"/>
    <x v="5"/>
    <x v="4"/>
    <x v="4"/>
    <x v="3"/>
    <n v="9"/>
    <n v="1228029"/>
    <d v="2026-12-22T00:00:00"/>
    <n v="12"/>
    <n v="22"/>
    <n v="2026"/>
    <x v="7"/>
    <m/>
    <x v="4"/>
  </r>
  <r>
    <s v="O104798"/>
    <x v="162"/>
    <x v="6"/>
    <x v="4"/>
    <x v="1"/>
    <x v="3"/>
    <n v="8"/>
    <n v="1227767"/>
    <d v="2025-10-19T00:00:00"/>
    <n v="10"/>
    <n v="19"/>
    <n v="2025"/>
    <x v="9"/>
    <s v="Q4"/>
    <x v="1"/>
  </r>
  <r>
    <s v="O103742"/>
    <x v="34"/>
    <x v="6"/>
    <x v="5"/>
    <x v="3"/>
    <x v="0"/>
    <n v="9"/>
    <n v="1227660"/>
    <d v="2025-08-16T00:00:00"/>
    <n v="8"/>
    <n v="16"/>
    <n v="2025"/>
    <x v="8"/>
    <s v="Q3"/>
    <x v="3"/>
  </r>
  <r>
    <s v="O104038"/>
    <x v="456"/>
    <x v="2"/>
    <x v="4"/>
    <x v="0"/>
    <x v="0"/>
    <n v="6"/>
    <n v="1227241"/>
    <d v="2025-03-09T00:00:00"/>
    <n v="3"/>
    <n v="9"/>
    <n v="2025"/>
    <x v="5"/>
    <s v="Q1"/>
    <x v="0"/>
  </r>
  <r>
    <s v="O109392"/>
    <x v="657"/>
    <x v="8"/>
    <x v="3"/>
    <x v="3"/>
    <x v="0"/>
    <n v="7"/>
    <n v="1227100"/>
    <d v="2026-07-25T00:00:00"/>
    <n v="7"/>
    <n v="25"/>
    <n v="2026"/>
    <x v="10"/>
    <s v="Q3"/>
    <x v="3"/>
  </r>
  <r>
    <s v="O106945"/>
    <x v="386"/>
    <x v="9"/>
    <x v="2"/>
    <x v="4"/>
    <x v="2"/>
    <n v="4"/>
    <n v="1225541"/>
    <d v="2026-02-26T00:00:00"/>
    <n v="2"/>
    <n v="26"/>
    <n v="2026"/>
    <x v="4"/>
    <s v="Q1"/>
    <x v="4"/>
  </r>
  <r>
    <s v="O100197"/>
    <x v="702"/>
    <x v="5"/>
    <x v="4"/>
    <x v="2"/>
    <x v="1"/>
    <n v="7"/>
    <n v="1224518"/>
    <d v="2025-12-01T00:00:00"/>
    <n v="12"/>
    <n v="1"/>
    <n v="2025"/>
    <x v="7"/>
    <s v="Q4"/>
    <x v="2"/>
  </r>
  <r>
    <s v="O101235"/>
    <x v="482"/>
    <x v="9"/>
    <x v="2"/>
    <x v="0"/>
    <x v="1"/>
    <n v="5"/>
    <n v="1224366"/>
    <d v="2025-03-16T00:00:00"/>
    <n v="3"/>
    <n v="16"/>
    <n v="2025"/>
    <x v="5"/>
    <s v="Q1"/>
    <x v="0"/>
  </r>
  <r>
    <s v="O105430"/>
    <x v="478"/>
    <x v="2"/>
    <x v="4"/>
    <x v="2"/>
    <x v="3"/>
    <n v="8"/>
    <n v="1224187"/>
    <d v="2025-11-26T00:00:00"/>
    <n v="11"/>
    <n v="26"/>
    <n v="2025"/>
    <x v="0"/>
    <s v="Q4"/>
    <x v="2"/>
  </r>
  <r>
    <s v="O104063"/>
    <x v="570"/>
    <x v="8"/>
    <x v="4"/>
    <x v="1"/>
    <x v="1"/>
    <n v="7"/>
    <n v="1223658"/>
    <d v="2025-04-09T00:00:00"/>
    <n v="4"/>
    <n v="9"/>
    <n v="2025"/>
    <x v="11"/>
    <s v="Q2"/>
    <x v="1"/>
  </r>
  <r>
    <s v="O108990"/>
    <x v="623"/>
    <x v="3"/>
    <x v="2"/>
    <x v="1"/>
    <x v="0"/>
    <n v="4"/>
    <n v="1223658"/>
    <d v="2026-01-07T00:00:00"/>
    <n v="1"/>
    <n v="7"/>
    <n v="2026"/>
    <x v="6"/>
    <s v="Q1"/>
    <x v="1"/>
  </r>
  <r>
    <s v="O103206"/>
    <x v="511"/>
    <x v="10"/>
    <x v="5"/>
    <x v="3"/>
    <x v="3"/>
    <n v="10"/>
    <n v="1222919"/>
    <d v="2025-07-14T00:00:00"/>
    <n v="7"/>
    <n v="14"/>
    <n v="2025"/>
    <x v="10"/>
    <s v="Q3"/>
    <x v="3"/>
  </r>
  <r>
    <s v="O104988"/>
    <x v="683"/>
    <x v="4"/>
    <x v="2"/>
    <x v="4"/>
    <x v="2"/>
    <n v="4"/>
    <n v="1222606"/>
    <d v="2025-10-30T00:00:00"/>
    <n v="10"/>
    <n v="30"/>
    <n v="2025"/>
    <x v="9"/>
    <s v="Q4"/>
    <x v="4"/>
  </r>
  <r>
    <s v="O104034"/>
    <x v="141"/>
    <x v="10"/>
    <x v="3"/>
    <x v="4"/>
    <x v="3"/>
    <n v="6"/>
    <n v="1221792"/>
    <d v="2025-03-09T00:00:00"/>
    <n v="3"/>
    <n v="9"/>
    <n v="2025"/>
    <x v="5"/>
    <s v="Q1"/>
    <x v="4"/>
  </r>
  <r>
    <s v="O100052"/>
    <x v="574"/>
    <x v="5"/>
    <x v="4"/>
    <x v="2"/>
    <x v="3"/>
    <n v="8"/>
    <n v="1220900"/>
    <d v="2025-04-01T00:00:00"/>
    <n v="4"/>
    <n v="1"/>
    <n v="2025"/>
    <x v="11"/>
    <s v="Q2"/>
    <x v="2"/>
  </r>
  <r>
    <s v="O100231"/>
    <x v="433"/>
    <x v="9"/>
    <x v="4"/>
    <x v="2"/>
    <x v="1"/>
    <n v="8"/>
    <n v="1220264"/>
    <d v="2025-01-14T00:00:00"/>
    <n v="1"/>
    <n v="14"/>
    <n v="2025"/>
    <x v="6"/>
    <s v="Q1"/>
    <x v="2"/>
  </r>
  <r>
    <s v="O110650"/>
    <x v="798"/>
    <x v="1"/>
    <x v="2"/>
    <x v="2"/>
    <x v="1"/>
    <n v="4"/>
    <n v="1220054"/>
    <d v="2026-09-10T00:00:00"/>
    <n v="9"/>
    <n v="10"/>
    <n v="2026"/>
    <x v="1"/>
    <s v="Q3"/>
    <x v="2"/>
  </r>
  <r>
    <s v="O104123"/>
    <x v="596"/>
    <x v="9"/>
    <x v="4"/>
    <x v="1"/>
    <x v="0"/>
    <n v="9"/>
    <n v="1219994"/>
    <d v="2025-08-09T00:00:00"/>
    <n v="8"/>
    <n v="9"/>
    <n v="2025"/>
    <x v="8"/>
    <m/>
    <x v="1"/>
  </r>
  <r>
    <s v="O109659"/>
    <x v="641"/>
    <x v="0"/>
    <x v="2"/>
    <x v="4"/>
    <x v="3"/>
    <n v="5"/>
    <n v="1219906"/>
    <d v="2026-10-08T00:00:00"/>
    <n v="10"/>
    <n v="8"/>
    <n v="2026"/>
    <x v="9"/>
    <s v="Q4"/>
    <x v="4"/>
  </r>
  <r>
    <s v="O109676"/>
    <x v="472"/>
    <x v="6"/>
    <x v="2"/>
    <x v="0"/>
    <x v="3"/>
    <n v="5"/>
    <n v="1219672"/>
    <d v="2026-11-08T00:00:00"/>
    <n v="11"/>
    <n v="8"/>
    <n v="2026"/>
    <x v="0"/>
    <s v="Q4"/>
    <x v="0"/>
  </r>
  <r>
    <s v="O100002"/>
    <x v="89"/>
    <x v="9"/>
    <x v="3"/>
    <x v="2"/>
    <x v="1"/>
    <n v="6"/>
    <n v="1219620"/>
    <d v="2025-01-01T00:00:00"/>
    <n v="1"/>
    <n v="1"/>
    <n v="2025"/>
    <x v="6"/>
    <s v="Q1"/>
    <x v="2"/>
  </r>
  <r>
    <s v="O109930"/>
    <x v="527"/>
    <x v="2"/>
    <x v="5"/>
    <x v="0"/>
    <x v="3"/>
    <n v="9"/>
    <n v="1218639"/>
    <d v="2026-08-27T00:00:00"/>
    <n v="8"/>
    <n v="27"/>
    <n v="2026"/>
    <x v="8"/>
    <m/>
    <x v="0"/>
  </r>
  <r>
    <s v="O104020"/>
    <x v="310"/>
    <x v="9"/>
    <x v="0"/>
    <x v="4"/>
    <x v="0"/>
    <n v="3"/>
    <n v="1218110"/>
    <d v="2025-02-09T00:00:00"/>
    <n v="2"/>
    <n v="9"/>
    <n v="2025"/>
    <x v="4"/>
    <s v="Q1"/>
    <x v="4"/>
  </r>
  <r>
    <s v="O107396"/>
    <x v="579"/>
    <x v="0"/>
    <x v="0"/>
    <x v="4"/>
    <x v="2"/>
    <n v="3"/>
    <n v="1217600"/>
    <d v="2026-03-26T00:00:00"/>
    <n v="3"/>
    <n v="26"/>
    <n v="2026"/>
    <x v="5"/>
    <s v="Q1"/>
    <x v="4"/>
  </r>
  <r>
    <s v="O104009"/>
    <x v="537"/>
    <x v="8"/>
    <x v="2"/>
    <x v="4"/>
    <x v="2"/>
    <n v="5"/>
    <n v="1217516"/>
    <d v="2025-01-09T00:00:00"/>
    <n v="1"/>
    <n v="9"/>
    <n v="2025"/>
    <x v="6"/>
    <s v="Q1"/>
    <x v="4"/>
  </r>
  <r>
    <s v="O108509"/>
    <x v="308"/>
    <x v="9"/>
    <x v="3"/>
    <x v="4"/>
    <x v="0"/>
    <n v="6"/>
    <n v="1217110"/>
    <d v="2026-01-06T00:00:00"/>
    <n v="1"/>
    <n v="6"/>
    <n v="2026"/>
    <x v="6"/>
    <s v="Q1"/>
    <x v="4"/>
  </r>
  <r>
    <s v="O100313"/>
    <x v="29"/>
    <x v="4"/>
    <x v="0"/>
    <x v="0"/>
    <x v="0"/>
    <n v="3"/>
    <n v="1216556"/>
    <d v="2025-01-19T00:00:00"/>
    <n v="1"/>
    <n v="19"/>
    <n v="2025"/>
    <x v="6"/>
    <s v="Q1"/>
    <x v="0"/>
  </r>
  <r>
    <s v="O107382"/>
    <x v="208"/>
    <x v="1"/>
    <x v="0"/>
    <x v="1"/>
    <x v="0"/>
    <n v="3"/>
    <n v="1214865"/>
    <d v="2026-03-25T00:00:00"/>
    <n v="3"/>
    <n v="25"/>
    <n v="2026"/>
    <x v="5"/>
    <s v="Q1"/>
    <x v="1"/>
  </r>
  <r>
    <s v="O105842"/>
    <x v="672"/>
    <x v="9"/>
    <x v="0"/>
    <x v="1"/>
    <x v="0"/>
    <n v="3"/>
    <n v="1214774"/>
    <d v="2025-12-21T00:00:00"/>
    <n v="12"/>
    <n v="21"/>
    <n v="2025"/>
    <x v="7"/>
    <s v="Q4"/>
    <x v="1"/>
  </r>
  <r>
    <s v="O107361"/>
    <x v="441"/>
    <x v="0"/>
    <x v="4"/>
    <x v="2"/>
    <x v="1"/>
    <n v="6"/>
    <n v="1214029"/>
    <d v="2026-03-24T00:00:00"/>
    <n v="3"/>
    <n v="24"/>
    <n v="2026"/>
    <x v="5"/>
    <s v="Q1"/>
    <x v="2"/>
  </r>
  <r>
    <s v="O111652"/>
    <x v="202"/>
    <x v="9"/>
    <x v="2"/>
    <x v="0"/>
    <x v="2"/>
    <n v="5"/>
    <n v="1213613"/>
    <d v="2026-09-12T00:00:00"/>
    <n v="9"/>
    <n v="12"/>
    <n v="2026"/>
    <x v="1"/>
    <s v="Q3"/>
    <x v="0"/>
  </r>
  <r>
    <s v="O101057"/>
    <x v="509"/>
    <x v="8"/>
    <x v="4"/>
    <x v="2"/>
    <x v="2"/>
    <n v="6"/>
    <n v="1213255"/>
    <d v="2025-06-03T00:00:00"/>
    <n v="6"/>
    <n v="3"/>
    <n v="2025"/>
    <x v="2"/>
    <s v="Q2"/>
    <x v="2"/>
  </r>
  <r>
    <s v="O105052"/>
    <x v="370"/>
    <x v="5"/>
    <x v="4"/>
    <x v="2"/>
    <x v="0"/>
    <n v="8"/>
    <n v="1212819"/>
    <d v="2025-03-11T00:00:00"/>
    <n v="3"/>
    <n v="11"/>
    <n v="2025"/>
    <x v="5"/>
    <s v="Q1"/>
    <x v="2"/>
  </r>
  <r>
    <s v="O101574"/>
    <x v="384"/>
    <x v="5"/>
    <x v="5"/>
    <x v="3"/>
    <x v="2"/>
    <n v="9"/>
    <n v="1212391"/>
    <d v="2025-06-04T00:00:00"/>
    <n v="6"/>
    <n v="4"/>
    <n v="2025"/>
    <x v="2"/>
    <s v="Q2"/>
    <x v="3"/>
  </r>
  <r>
    <s v="O103343"/>
    <x v="158"/>
    <x v="9"/>
    <x v="2"/>
    <x v="3"/>
    <x v="0"/>
    <n v="4"/>
    <n v="1211939"/>
    <d v="2025-07-23T00:00:00"/>
    <n v="7"/>
    <n v="23"/>
    <n v="2025"/>
    <x v="10"/>
    <s v="Q3"/>
    <x v="3"/>
  </r>
  <r>
    <s v="O111041"/>
    <x v="327"/>
    <x v="0"/>
    <x v="2"/>
    <x v="3"/>
    <x v="2"/>
    <n v="5"/>
    <n v="1211933"/>
    <d v="2026-02-11T00:00:00"/>
    <n v="2"/>
    <n v="11"/>
    <n v="2026"/>
    <x v="4"/>
    <s v="Q1"/>
    <x v="3"/>
  </r>
  <r>
    <s v="O101075"/>
    <x v="606"/>
    <x v="5"/>
    <x v="3"/>
    <x v="2"/>
    <x v="3"/>
    <n v="7"/>
    <n v="1211769"/>
    <d v="2025-07-03T00:00:00"/>
    <n v="7"/>
    <n v="3"/>
    <n v="2025"/>
    <x v="10"/>
    <s v="Q3"/>
    <x v="2"/>
  </r>
  <r>
    <s v="O100799"/>
    <x v="580"/>
    <x v="10"/>
    <x v="4"/>
    <x v="3"/>
    <x v="2"/>
    <n v="7"/>
    <n v="1211638"/>
    <d v="2025-02-18T00:00:00"/>
    <n v="2"/>
    <n v="18"/>
    <n v="2025"/>
    <x v="4"/>
    <s v="Q1"/>
    <x v="3"/>
  </r>
  <r>
    <s v="O109839"/>
    <x v="172"/>
    <x v="2"/>
    <x v="4"/>
    <x v="0"/>
    <x v="1"/>
    <n v="7"/>
    <n v="1211302"/>
    <d v="2026-08-21T00:00:00"/>
    <n v="8"/>
    <n v="21"/>
    <n v="2026"/>
    <x v="8"/>
    <s v="Q3"/>
    <x v="0"/>
  </r>
  <r>
    <s v="O108233"/>
    <x v="128"/>
    <x v="1"/>
    <x v="4"/>
    <x v="0"/>
    <x v="1"/>
    <n v="8"/>
    <n v="1211227"/>
    <d v="2026-05-16T00:00:00"/>
    <n v="5"/>
    <n v="16"/>
    <n v="2026"/>
    <x v="3"/>
    <s v="Q2"/>
    <x v="0"/>
  </r>
  <r>
    <s v="O102461"/>
    <x v="67"/>
    <x v="1"/>
    <x v="3"/>
    <x v="4"/>
    <x v="0"/>
    <n v="6"/>
    <n v="1209983"/>
    <d v="2025-05-30T00:00:00"/>
    <n v="5"/>
    <n v="30"/>
    <n v="2025"/>
    <x v="3"/>
    <s v="Q2"/>
    <x v="4"/>
  </r>
  <r>
    <s v="O109636"/>
    <x v="190"/>
    <x v="1"/>
    <x v="0"/>
    <x v="4"/>
    <x v="3"/>
    <n v="3"/>
    <n v="1209959"/>
    <d v="2026-09-08T00:00:00"/>
    <n v="9"/>
    <n v="8"/>
    <n v="2026"/>
    <x v="1"/>
    <s v="Q3"/>
    <x v="4"/>
  </r>
  <r>
    <s v="O102766"/>
    <x v="740"/>
    <x v="3"/>
    <x v="3"/>
    <x v="3"/>
    <x v="1"/>
    <n v="6"/>
    <n v="1208796"/>
    <d v="2025-06-17T00:00:00"/>
    <n v="6"/>
    <n v="17"/>
    <n v="2025"/>
    <x v="2"/>
    <s v="Q2"/>
    <x v="3"/>
  </r>
  <r>
    <s v="O101554"/>
    <x v="788"/>
    <x v="8"/>
    <x v="5"/>
    <x v="2"/>
    <x v="0"/>
    <n v="10"/>
    <n v="1208142"/>
    <d v="2025-05-04T00:00:00"/>
    <n v="5"/>
    <n v="4"/>
    <n v="2025"/>
    <x v="3"/>
    <s v="Q2"/>
    <x v="2"/>
  </r>
  <r>
    <s v="O103795"/>
    <x v="592"/>
    <x v="8"/>
    <x v="0"/>
    <x v="1"/>
    <x v="2"/>
    <n v="3"/>
    <n v="1207827"/>
    <d v="2025-08-19T00:00:00"/>
    <n v="8"/>
    <n v="19"/>
    <n v="2025"/>
    <x v="8"/>
    <s v="Q3"/>
    <x v="1"/>
  </r>
  <r>
    <s v="O100775"/>
    <x v="285"/>
    <x v="9"/>
    <x v="4"/>
    <x v="2"/>
    <x v="1"/>
    <n v="8"/>
    <n v="1207301"/>
    <d v="2025-02-17T00:00:00"/>
    <n v="2"/>
    <n v="17"/>
    <n v="2025"/>
    <x v="4"/>
    <s v="Q1"/>
    <x v="2"/>
  </r>
  <r>
    <s v="O100576"/>
    <x v="743"/>
    <x v="4"/>
    <x v="3"/>
    <x v="2"/>
    <x v="4"/>
    <n v="6"/>
    <n v="1207299"/>
    <d v="2025-04-02T00:00:00"/>
    <n v="4"/>
    <n v="2"/>
    <n v="2025"/>
    <x v="11"/>
    <s v="Q2"/>
    <x v="2"/>
  </r>
  <r>
    <s v="O107143"/>
    <x v="749"/>
    <x v="8"/>
    <x v="4"/>
    <x v="2"/>
    <x v="1"/>
    <n v="8"/>
    <n v="1207265"/>
    <d v="2026-10-03T00:00:00"/>
    <n v="10"/>
    <n v="3"/>
    <n v="2026"/>
    <x v="9"/>
    <m/>
    <x v="2"/>
  </r>
  <r>
    <s v="O111234"/>
    <x v="339"/>
    <x v="8"/>
    <x v="2"/>
    <x v="1"/>
    <x v="0"/>
    <n v="5"/>
    <n v="1207147"/>
    <d v="2026-11-14T00:00:00"/>
    <n v="11"/>
    <n v="14"/>
    <n v="2026"/>
    <x v="0"/>
    <s v="Q4"/>
    <x v="1"/>
  </r>
  <r>
    <s v="O108181"/>
    <x v="120"/>
    <x v="4"/>
    <x v="0"/>
    <x v="4"/>
    <x v="2"/>
    <n v="3"/>
    <n v="1206902"/>
    <d v="2026-12-05T00:00:00"/>
    <n v="12"/>
    <n v="5"/>
    <n v="2026"/>
    <x v="7"/>
    <s v="Q4"/>
    <x v="4"/>
  </r>
  <r>
    <s v="O104108"/>
    <x v="614"/>
    <x v="10"/>
    <x v="0"/>
    <x v="1"/>
    <x v="2"/>
    <n v="3"/>
    <n v="1206613"/>
    <d v="2025-07-09T00:00:00"/>
    <n v="7"/>
    <n v="9"/>
    <n v="2025"/>
    <x v="10"/>
    <s v="Q3"/>
    <x v="1"/>
  </r>
  <r>
    <s v="O103342"/>
    <x v="497"/>
    <x v="9"/>
    <x v="2"/>
    <x v="0"/>
    <x v="3"/>
    <n v="4"/>
    <n v="1206340"/>
    <d v="2025-07-22T00:00:00"/>
    <n v="7"/>
    <n v="22"/>
    <n v="2025"/>
    <x v="10"/>
    <s v="Q3"/>
    <x v="0"/>
  </r>
  <r>
    <s v="O109183"/>
    <x v="556"/>
    <x v="2"/>
    <x v="0"/>
    <x v="2"/>
    <x v="0"/>
    <n v="3"/>
    <n v="1204620"/>
    <d v="2026-12-07T00:00:00"/>
    <n v="12"/>
    <n v="7"/>
    <n v="2026"/>
    <x v="7"/>
    <s v="Q4"/>
    <x v="2"/>
  </r>
  <r>
    <s v="O104869"/>
    <x v="15"/>
    <x v="6"/>
    <x v="2"/>
    <x v="0"/>
    <x v="2"/>
    <n v="4"/>
    <n v="1204597"/>
    <d v="2025-10-23T00:00:00"/>
    <n v="10"/>
    <n v="23"/>
    <n v="2025"/>
    <x v="9"/>
    <s v="Q4"/>
    <x v="0"/>
  </r>
  <r>
    <s v="O101796"/>
    <x v="391"/>
    <x v="3"/>
    <x v="0"/>
    <x v="3"/>
    <x v="2"/>
    <n v="3"/>
    <n v="1204543"/>
    <d v="2025-04-20T00:00:00"/>
    <n v="4"/>
    <n v="20"/>
    <n v="2025"/>
    <x v="11"/>
    <s v="Q2"/>
    <x v="3"/>
  </r>
  <r>
    <s v="O100913"/>
    <x v="626"/>
    <x v="8"/>
    <x v="2"/>
    <x v="0"/>
    <x v="2"/>
    <n v="4"/>
    <n v="1204443"/>
    <d v="2025-02-25T00:00:00"/>
    <n v="2"/>
    <n v="25"/>
    <n v="2025"/>
    <x v="4"/>
    <s v="Q1"/>
    <x v="0"/>
  </r>
  <r>
    <s v="O106773"/>
    <x v="19"/>
    <x v="9"/>
    <x v="2"/>
    <x v="2"/>
    <x v="0"/>
    <n v="4"/>
    <n v="1203431"/>
    <d v="2026-02-16T00:00:00"/>
    <n v="2"/>
    <n v="16"/>
    <n v="2026"/>
    <x v="4"/>
    <s v="Q1"/>
    <x v="2"/>
  </r>
  <r>
    <s v="O110688"/>
    <x v="186"/>
    <x v="6"/>
    <x v="0"/>
    <x v="3"/>
    <x v="3"/>
    <n v="3"/>
    <n v="1203043"/>
    <d v="2026-12-10T00:00:00"/>
    <n v="12"/>
    <n v="10"/>
    <n v="2026"/>
    <x v="7"/>
    <s v="Q4"/>
    <x v="3"/>
  </r>
  <r>
    <s v="O103189"/>
    <x v="604"/>
    <x v="1"/>
    <x v="5"/>
    <x v="0"/>
    <x v="3"/>
    <n v="9"/>
    <n v="1202983"/>
    <d v="2025-07-13T00:00:00"/>
    <n v="7"/>
    <n v="13"/>
    <n v="2025"/>
    <x v="10"/>
    <s v="Q3"/>
    <x v="0"/>
  </r>
  <r>
    <s v="O109426"/>
    <x v="271"/>
    <x v="4"/>
    <x v="4"/>
    <x v="3"/>
    <x v="2"/>
    <n v="7"/>
    <n v="1202857"/>
    <d v="2026-07-27T00:00:00"/>
    <n v="7"/>
    <n v="27"/>
    <n v="2026"/>
    <x v="10"/>
    <s v="Q3"/>
    <x v="3"/>
  </r>
  <r>
    <s v="O108559"/>
    <x v="711"/>
    <x v="6"/>
    <x v="4"/>
    <x v="3"/>
    <x v="1"/>
    <n v="6"/>
    <n v="1202108"/>
    <d v="2026-04-06T00:00:00"/>
    <n v="4"/>
    <n v="6"/>
    <n v="2026"/>
    <x v="11"/>
    <s v="Q2"/>
    <x v="3"/>
  </r>
  <r>
    <s v="O111406"/>
    <x v="128"/>
    <x v="4"/>
    <x v="2"/>
    <x v="0"/>
    <x v="1"/>
    <n v="5"/>
    <n v="1201851"/>
    <d v="2026-11-24T00:00:00"/>
    <n v="11"/>
    <n v="24"/>
    <n v="2026"/>
    <x v="0"/>
    <s v="Q4"/>
    <x v="0"/>
  </r>
  <r>
    <s v="O102219"/>
    <x v="198"/>
    <x v="5"/>
    <x v="5"/>
    <x v="1"/>
    <x v="1"/>
    <n v="10"/>
    <n v="1201764"/>
    <d v="2025-05-15T00:00:00"/>
    <n v="5"/>
    <n v="15"/>
    <n v="2025"/>
    <x v="3"/>
    <s v="Q2"/>
    <x v="1"/>
  </r>
  <r>
    <s v="O105397"/>
    <x v="319"/>
    <x v="4"/>
    <x v="0"/>
    <x v="1"/>
    <x v="3"/>
    <n v="3"/>
    <n v="1201351"/>
    <d v="2025-11-24T00:00:00"/>
    <n v="11"/>
    <n v="24"/>
    <n v="2025"/>
    <x v="0"/>
    <s v="Q4"/>
    <x v="1"/>
  </r>
  <r>
    <s v="O105172"/>
    <x v="49"/>
    <x v="4"/>
    <x v="2"/>
    <x v="3"/>
    <x v="0"/>
    <n v="5"/>
    <n v="1201261"/>
    <d v="2025-11-11T00:00:00"/>
    <n v="11"/>
    <n v="11"/>
    <n v="2025"/>
    <x v="0"/>
    <s v="Q4"/>
    <x v="3"/>
  </r>
  <r>
    <s v="O101207"/>
    <x v="647"/>
    <x v="4"/>
    <x v="2"/>
    <x v="0"/>
    <x v="2"/>
    <n v="5"/>
    <n v="1200996"/>
    <d v="2025-03-15T00:00:00"/>
    <n v="3"/>
    <n v="15"/>
    <n v="2025"/>
    <x v="5"/>
    <s v="Q1"/>
    <x v="0"/>
  </r>
  <r>
    <s v="O100439"/>
    <x v="29"/>
    <x v="2"/>
    <x v="4"/>
    <x v="1"/>
    <x v="2"/>
    <n v="8"/>
    <n v="1200240"/>
    <d v="2025-01-27T00:00:00"/>
    <n v="1"/>
    <n v="27"/>
    <n v="2025"/>
    <x v="6"/>
    <s v="Q1"/>
    <x v="1"/>
  </r>
  <r>
    <s v="O110185"/>
    <x v="101"/>
    <x v="1"/>
    <x v="2"/>
    <x v="2"/>
    <x v="1"/>
    <n v="4"/>
    <n v="1199588"/>
    <d v="2026-11-09T00:00:00"/>
    <n v="11"/>
    <n v="9"/>
    <n v="2026"/>
    <x v="0"/>
    <s v="Q4"/>
    <x v="2"/>
  </r>
  <r>
    <s v="O104744"/>
    <x v="227"/>
    <x v="10"/>
    <x v="3"/>
    <x v="0"/>
    <x v="3"/>
    <n v="7"/>
    <n v="1199485"/>
    <d v="2025-10-16T00:00:00"/>
    <n v="10"/>
    <n v="16"/>
    <n v="2025"/>
    <x v="9"/>
    <s v="Q4"/>
    <x v="0"/>
  </r>
  <r>
    <s v="O108966"/>
    <x v="732"/>
    <x v="0"/>
    <x v="2"/>
    <x v="3"/>
    <x v="2"/>
    <n v="4"/>
    <n v="1199192"/>
    <d v="2026-06-29T00:00:00"/>
    <n v="6"/>
    <n v="29"/>
    <n v="2026"/>
    <x v="2"/>
    <s v="Q2"/>
    <x v="3"/>
  </r>
  <r>
    <s v="O108145"/>
    <x v="400"/>
    <x v="8"/>
    <x v="3"/>
    <x v="4"/>
    <x v="0"/>
    <n v="5"/>
    <n v="1199157"/>
    <d v="2026-10-05T00:00:00"/>
    <n v="10"/>
    <n v="5"/>
    <n v="2026"/>
    <x v="9"/>
    <s v="Q4"/>
    <x v="4"/>
  </r>
  <r>
    <s v="O106664"/>
    <x v="461"/>
    <x v="1"/>
    <x v="4"/>
    <x v="3"/>
    <x v="3"/>
    <n v="7"/>
    <n v="1199035"/>
    <d v="2026-09-02T00:00:00"/>
    <n v="9"/>
    <n v="2"/>
    <n v="2026"/>
    <x v="1"/>
    <s v="Q3"/>
    <x v="3"/>
  </r>
  <r>
    <s v="O106421"/>
    <x v="15"/>
    <x v="2"/>
    <x v="3"/>
    <x v="2"/>
    <x v="2"/>
    <n v="7"/>
    <n v="1199006"/>
    <d v="2026-01-26T00:00:00"/>
    <n v="1"/>
    <n v="26"/>
    <n v="2026"/>
    <x v="6"/>
    <s v="Q1"/>
    <x v="2"/>
  </r>
  <r>
    <s v="O110800"/>
    <x v="383"/>
    <x v="4"/>
    <x v="0"/>
    <x v="1"/>
    <x v="1"/>
    <n v="3"/>
    <n v="1198980"/>
    <d v="2026-10-19T00:00:00"/>
    <n v="10"/>
    <n v="19"/>
    <n v="2026"/>
    <x v="9"/>
    <s v="Q4"/>
    <x v="1"/>
  </r>
  <r>
    <s v="O100504"/>
    <x v="317"/>
    <x v="3"/>
    <x v="5"/>
    <x v="1"/>
    <x v="0"/>
    <n v="9"/>
    <n v="1198646"/>
    <d v="2025-01-31T00:00:00"/>
    <n v="1"/>
    <n v="31"/>
    <n v="2025"/>
    <x v="6"/>
    <s v="Q1"/>
    <x v="1"/>
  </r>
  <r>
    <s v="O102093"/>
    <x v="535"/>
    <x v="9"/>
    <x v="0"/>
    <x v="0"/>
    <x v="0"/>
    <n v="3"/>
    <n v="1198473"/>
    <d v="2025-08-05T00:00:00"/>
    <n v="8"/>
    <n v="5"/>
    <n v="2025"/>
    <x v="8"/>
    <s v="Q3"/>
    <x v="0"/>
  </r>
  <r>
    <s v="O104905"/>
    <x v="566"/>
    <x v="1"/>
    <x v="3"/>
    <x v="3"/>
    <x v="0"/>
    <n v="6"/>
    <n v="1197985"/>
    <d v="2025-10-25T00:00:00"/>
    <n v="10"/>
    <n v="25"/>
    <n v="2025"/>
    <x v="9"/>
    <s v="Q4"/>
    <x v="3"/>
  </r>
  <r>
    <s v="O100432"/>
    <x v="41"/>
    <x v="10"/>
    <x v="4"/>
    <x v="2"/>
    <x v="1"/>
    <n v="8"/>
    <n v="1197972"/>
    <d v="2025-01-27T00:00:00"/>
    <n v="1"/>
    <n v="27"/>
    <n v="2025"/>
    <x v="6"/>
    <s v="Q1"/>
    <x v="2"/>
  </r>
  <r>
    <s v="O105185"/>
    <x v="480"/>
    <x v="1"/>
    <x v="4"/>
    <x v="1"/>
    <x v="1"/>
    <n v="7"/>
    <n v="1197505"/>
    <d v="2025-11-11T00:00:00"/>
    <n v="11"/>
    <n v="11"/>
    <n v="2025"/>
    <x v="0"/>
    <s v="Q4"/>
    <x v="1"/>
  </r>
  <r>
    <s v="O102480"/>
    <x v="7"/>
    <x v="8"/>
    <x v="4"/>
    <x v="3"/>
    <x v="2"/>
    <n v="8"/>
    <n v="1197294"/>
    <d v="2025-05-31T00:00:00"/>
    <n v="5"/>
    <n v="31"/>
    <n v="2025"/>
    <x v="3"/>
    <s v="Q2"/>
    <x v="3"/>
  </r>
  <r>
    <s v="O103624"/>
    <x v="171"/>
    <x v="6"/>
    <x v="5"/>
    <x v="0"/>
    <x v="0"/>
    <n v="9"/>
    <n v="1197103"/>
    <d v="2025-09-08T00:00:00"/>
    <n v="9"/>
    <n v="8"/>
    <n v="2025"/>
    <x v="1"/>
    <s v="Q3"/>
    <x v="0"/>
  </r>
  <r>
    <s v="O111331"/>
    <x v="104"/>
    <x v="5"/>
    <x v="5"/>
    <x v="2"/>
    <x v="0"/>
    <n v="8"/>
    <n v="1196763"/>
    <d v="2026-11-20T00:00:00"/>
    <n v="11"/>
    <n v="20"/>
    <n v="2026"/>
    <x v="0"/>
    <s v="Q4"/>
    <x v="2"/>
  </r>
  <r>
    <s v="O110828"/>
    <x v="13"/>
    <x v="1"/>
    <x v="3"/>
    <x v="0"/>
    <x v="2"/>
    <n v="7"/>
    <n v="1196703"/>
    <d v="2026-10-20T00:00:00"/>
    <n v="10"/>
    <n v="20"/>
    <n v="2026"/>
    <x v="9"/>
    <s v="Q4"/>
    <x v="0"/>
  </r>
  <r>
    <s v="O109124"/>
    <x v="773"/>
    <x v="3"/>
    <x v="5"/>
    <x v="3"/>
    <x v="1"/>
    <n v="10"/>
    <n v="1196357"/>
    <d v="2026-09-07T00:00:00"/>
    <n v="9"/>
    <n v="7"/>
    <n v="2026"/>
    <x v="1"/>
    <s v="Q3"/>
    <x v="3"/>
  </r>
  <r>
    <s v="O101855"/>
    <x v="588"/>
    <x v="1"/>
    <x v="3"/>
    <x v="3"/>
    <x v="1"/>
    <n v="7"/>
    <n v="1196241"/>
    <d v="2025-04-23T00:00:00"/>
    <n v="4"/>
    <n v="23"/>
    <n v="2025"/>
    <x v="11"/>
    <s v="Q2"/>
    <x v="3"/>
  </r>
  <r>
    <s v="O111142"/>
    <x v="263"/>
    <x v="0"/>
    <x v="3"/>
    <x v="0"/>
    <x v="2"/>
    <n v="5"/>
    <n v="1195067"/>
    <d v="2026-08-11T00:00:00"/>
    <n v="8"/>
    <n v="11"/>
    <n v="2026"/>
    <x v="8"/>
    <s v="Q3"/>
    <x v="0"/>
  </r>
  <r>
    <s v="O108263"/>
    <x v="217"/>
    <x v="3"/>
    <x v="4"/>
    <x v="1"/>
    <x v="2"/>
    <n v="8"/>
    <n v="1194949"/>
    <d v="2026-05-17T00:00:00"/>
    <n v="5"/>
    <n v="17"/>
    <n v="2026"/>
    <x v="3"/>
    <s v="Q2"/>
    <x v="1"/>
  </r>
  <r>
    <s v="O106559"/>
    <x v="684"/>
    <x v="6"/>
    <x v="4"/>
    <x v="2"/>
    <x v="2"/>
    <n v="8"/>
    <n v="1194404"/>
    <d v="2026-03-02T00:00:00"/>
    <n v="3"/>
    <n v="2"/>
    <n v="2026"/>
    <x v="5"/>
    <s v="Q1"/>
    <x v="2"/>
  </r>
  <r>
    <s v="O104876"/>
    <x v="415"/>
    <x v="8"/>
    <x v="2"/>
    <x v="2"/>
    <x v="2"/>
    <n v="4"/>
    <n v="1194225"/>
    <d v="2025-10-24T00:00:00"/>
    <n v="10"/>
    <n v="24"/>
    <n v="2025"/>
    <x v="9"/>
    <s v="Q4"/>
    <x v="2"/>
  </r>
  <r>
    <s v="O100486"/>
    <x v="797"/>
    <x v="6"/>
    <x v="5"/>
    <x v="0"/>
    <x v="0"/>
    <n v="8"/>
    <n v="1194053"/>
    <d v="2025-01-30T00:00:00"/>
    <n v="1"/>
    <n v="30"/>
    <n v="2025"/>
    <x v="6"/>
    <s v="Q1"/>
    <x v="0"/>
  </r>
  <r>
    <s v="O106530"/>
    <x v="727"/>
    <x v="2"/>
    <x v="5"/>
    <x v="1"/>
    <x v="2"/>
    <n v="9"/>
    <n v="1193687"/>
    <d v="2026-01-02T00:00:00"/>
    <n v="1"/>
    <n v="2"/>
    <n v="2026"/>
    <x v="6"/>
    <s v="Q1"/>
    <x v="1"/>
  </r>
  <r>
    <s v="O101560"/>
    <x v="20"/>
    <x v="1"/>
    <x v="5"/>
    <x v="4"/>
    <x v="3"/>
    <n v="10"/>
    <n v="1193284"/>
    <d v="2025-05-04T00:00:00"/>
    <n v="5"/>
    <n v="4"/>
    <n v="2025"/>
    <x v="3"/>
    <s v="Q2"/>
    <x v="4"/>
  </r>
  <r>
    <s v="O102935"/>
    <x v="518"/>
    <x v="3"/>
    <x v="4"/>
    <x v="0"/>
    <x v="0"/>
    <n v="8"/>
    <n v="1193087"/>
    <d v="2025-06-28T00:00:00"/>
    <n v="6"/>
    <n v="28"/>
    <n v="2025"/>
    <x v="2"/>
    <s v="Q2"/>
    <x v="0"/>
  </r>
  <r>
    <s v="O107246"/>
    <x v="294"/>
    <x v="4"/>
    <x v="0"/>
    <x v="1"/>
    <x v="1"/>
    <n v="3"/>
    <n v="1192283"/>
    <d v="2026-03-17T00:00:00"/>
    <n v="3"/>
    <n v="17"/>
    <n v="2026"/>
    <x v="5"/>
    <s v="Q1"/>
    <x v="1"/>
  </r>
  <r>
    <s v="O108476"/>
    <x v="664"/>
    <x v="4"/>
    <x v="4"/>
    <x v="0"/>
    <x v="2"/>
    <n v="7"/>
    <n v="1191251"/>
    <d v="2026-05-30T00:00:00"/>
    <n v="5"/>
    <n v="30"/>
    <n v="2026"/>
    <x v="3"/>
    <s v="Q2"/>
    <x v="0"/>
  </r>
  <r>
    <s v="O101810"/>
    <x v="624"/>
    <x v="9"/>
    <x v="0"/>
    <x v="0"/>
    <x v="2"/>
    <n v="3"/>
    <n v="1191075"/>
    <d v="2025-04-20T00:00:00"/>
    <n v="4"/>
    <n v="20"/>
    <n v="2025"/>
    <x v="11"/>
    <s v="Q2"/>
    <x v="0"/>
  </r>
  <r>
    <s v="O107341"/>
    <x v="307"/>
    <x v="5"/>
    <x v="3"/>
    <x v="3"/>
    <x v="2"/>
    <n v="7"/>
    <n v="1191071"/>
    <d v="2026-03-22T00:00:00"/>
    <n v="3"/>
    <n v="22"/>
    <n v="2026"/>
    <x v="5"/>
    <s v="Q1"/>
    <x v="3"/>
  </r>
  <r>
    <s v="O111633"/>
    <x v="403"/>
    <x v="1"/>
    <x v="4"/>
    <x v="1"/>
    <x v="0"/>
    <n v="7"/>
    <n v="1190987"/>
    <d v="2026-08-12T00:00:00"/>
    <n v="8"/>
    <n v="12"/>
    <n v="2026"/>
    <x v="8"/>
    <s v="Q3"/>
    <x v="1"/>
  </r>
  <r>
    <s v="O103833"/>
    <x v="585"/>
    <x v="3"/>
    <x v="5"/>
    <x v="4"/>
    <x v="0"/>
    <n v="9"/>
    <n v="1189925"/>
    <d v="2025-08-21T00:00:00"/>
    <n v="8"/>
    <n v="21"/>
    <n v="2025"/>
    <x v="8"/>
    <s v="Q3"/>
    <x v="4"/>
  </r>
  <r>
    <s v="O104513"/>
    <x v="382"/>
    <x v="5"/>
    <x v="0"/>
    <x v="2"/>
    <x v="0"/>
    <n v="3"/>
    <n v="1189202"/>
    <d v="2025-02-10T00:00:00"/>
    <n v="2"/>
    <n v="10"/>
    <n v="2025"/>
    <x v="4"/>
    <s v="Q1"/>
    <x v="2"/>
  </r>
  <r>
    <s v="O102045"/>
    <x v="39"/>
    <x v="5"/>
    <x v="5"/>
    <x v="3"/>
    <x v="3"/>
    <n v="10"/>
    <n v="1189121"/>
    <d v="2025-05-05T00:00:00"/>
    <n v="5"/>
    <n v="5"/>
    <n v="2025"/>
    <x v="3"/>
    <s v="Q2"/>
    <x v="3"/>
  </r>
  <r>
    <s v="O101325"/>
    <x v="223"/>
    <x v="8"/>
    <x v="3"/>
    <x v="1"/>
    <x v="0"/>
    <n v="7"/>
    <n v="1188525"/>
    <d v="2025-03-22T00:00:00"/>
    <n v="3"/>
    <n v="22"/>
    <n v="2025"/>
    <x v="5"/>
    <s v="Q1"/>
    <x v="1"/>
  </r>
  <r>
    <s v="O110814"/>
    <x v="710"/>
    <x v="8"/>
    <x v="5"/>
    <x v="0"/>
    <x v="3"/>
    <n v="9"/>
    <n v="1188518"/>
    <d v="2026-10-19T00:00:00"/>
    <n v="10"/>
    <n v="19"/>
    <n v="2026"/>
    <x v="9"/>
    <s v="Q4"/>
    <x v="0"/>
  </r>
  <r>
    <s v="O101400"/>
    <x v="598"/>
    <x v="0"/>
    <x v="4"/>
    <x v="0"/>
    <x v="3"/>
    <n v="7"/>
    <n v="1188423"/>
    <d v="2025-03-26T00:00:00"/>
    <n v="3"/>
    <n v="26"/>
    <n v="2025"/>
    <x v="5"/>
    <s v="Q1"/>
    <x v="0"/>
  </r>
  <r>
    <s v="O109764"/>
    <x v="396"/>
    <x v="8"/>
    <x v="3"/>
    <x v="2"/>
    <x v="0"/>
    <n v="5"/>
    <n v="1188120"/>
    <d v="2026-08-17T00:00:00"/>
    <n v="8"/>
    <n v="17"/>
    <n v="2026"/>
    <x v="8"/>
    <s v="Q3"/>
    <x v="2"/>
  </r>
  <r>
    <s v="O105846"/>
    <x v="525"/>
    <x v="5"/>
    <x v="0"/>
    <x v="1"/>
    <x v="3"/>
    <n v="3"/>
    <n v="1187541"/>
    <d v="2025-12-22T00:00:00"/>
    <n v="12"/>
    <n v="22"/>
    <n v="2025"/>
    <x v="7"/>
    <s v="Q4"/>
    <x v="1"/>
  </r>
  <r>
    <s v="O111531"/>
    <x v="482"/>
    <x v="5"/>
    <x v="3"/>
    <x v="3"/>
    <x v="2"/>
    <n v="5"/>
    <n v="1186832"/>
    <d v="2026-02-12T00:00:00"/>
    <n v="2"/>
    <n v="12"/>
    <n v="2026"/>
    <x v="4"/>
    <s v="Q1"/>
    <x v="3"/>
  </r>
  <r>
    <s v="O110352"/>
    <x v="747"/>
    <x v="4"/>
    <x v="2"/>
    <x v="3"/>
    <x v="3"/>
    <n v="5"/>
    <n v="1186705"/>
    <d v="2026-09-21T00:00:00"/>
    <n v="9"/>
    <n v="21"/>
    <n v="2026"/>
    <x v="1"/>
    <m/>
    <x v="3"/>
  </r>
  <r>
    <s v="O107070"/>
    <x v="552"/>
    <x v="5"/>
    <x v="0"/>
    <x v="0"/>
    <x v="3"/>
    <n v="3"/>
    <n v="1185437"/>
    <d v="2026-06-03T00:00:00"/>
    <n v="6"/>
    <n v="3"/>
    <n v="2026"/>
    <x v="2"/>
    <s v="Q2"/>
    <x v="0"/>
  </r>
  <r>
    <s v="O105043"/>
    <x v="461"/>
    <x v="1"/>
    <x v="0"/>
    <x v="0"/>
    <x v="3"/>
    <n v="3"/>
    <n v="1185431"/>
    <d v="2025-03-11T00:00:00"/>
    <n v="3"/>
    <n v="11"/>
    <n v="2025"/>
    <x v="5"/>
    <s v="Q1"/>
    <x v="0"/>
  </r>
  <r>
    <s v="O108129"/>
    <x v="739"/>
    <x v="9"/>
    <x v="5"/>
    <x v="4"/>
    <x v="2"/>
    <n v="8"/>
    <n v="1185246"/>
    <d v="2026-09-05T00:00:00"/>
    <n v="9"/>
    <n v="5"/>
    <n v="2026"/>
    <x v="1"/>
    <s v="Q3"/>
    <x v="4"/>
  </r>
  <r>
    <s v="O101839"/>
    <x v="427"/>
    <x v="8"/>
    <x v="3"/>
    <x v="1"/>
    <x v="1"/>
    <n v="6"/>
    <n v="1185174"/>
    <d v="2025-04-22T00:00:00"/>
    <n v="4"/>
    <n v="22"/>
    <n v="2025"/>
    <x v="11"/>
    <s v="Q2"/>
    <x v="1"/>
  </r>
  <r>
    <s v="O106238"/>
    <x v="572"/>
    <x v="6"/>
    <x v="2"/>
    <x v="2"/>
    <x v="3"/>
    <n v="4"/>
    <n v="1184630"/>
    <d v="2026-01-14T00:00:00"/>
    <n v="1"/>
    <n v="14"/>
    <n v="2026"/>
    <x v="6"/>
    <s v="Q1"/>
    <x v="2"/>
  </r>
  <r>
    <s v="O106941"/>
    <x v="88"/>
    <x v="2"/>
    <x v="5"/>
    <x v="2"/>
    <x v="2"/>
    <n v="10"/>
    <n v="1183912"/>
    <d v="2026-02-26T00:00:00"/>
    <n v="2"/>
    <n v="26"/>
    <n v="2026"/>
    <x v="4"/>
    <s v="Q1"/>
    <x v="2"/>
  </r>
  <r>
    <s v="O110265"/>
    <x v="456"/>
    <x v="8"/>
    <x v="5"/>
    <x v="0"/>
    <x v="1"/>
    <n v="10"/>
    <n v="1183737"/>
    <d v="2026-09-16T00:00:00"/>
    <n v="9"/>
    <n v="16"/>
    <n v="2026"/>
    <x v="1"/>
    <s v="Q3"/>
    <x v="0"/>
  </r>
  <r>
    <s v="O111771"/>
    <x v="550"/>
    <x v="9"/>
    <x v="0"/>
    <x v="3"/>
    <x v="2"/>
    <n v="3"/>
    <n v="1183007"/>
    <d v="2026-12-17T00:00:00"/>
    <n v="12"/>
    <n v="17"/>
    <n v="2026"/>
    <x v="7"/>
    <s v="Q4"/>
    <x v="3"/>
  </r>
  <r>
    <s v="O102059"/>
    <x v="160"/>
    <x v="10"/>
    <x v="2"/>
    <x v="2"/>
    <x v="1"/>
    <n v="5"/>
    <n v="1182774"/>
    <d v="2025-06-05T00:00:00"/>
    <n v="6"/>
    <n v="5"/>
    <n v="2025"/>
    <x v="2"/>
    <s v="Q2"/>
    <x v="2"/>
  </r>
  <r>
    <s v="O104147"/>
    <x v="732"/>
    <x v="3"/>
    <x v="0"/>
    <x v="3"/>
    <x v="1"/>
    <n v="3"/>
    <n v="1182563"/>
    <d v="2025-09-09T00:00:00"/>
    <n v="9"/>
    <n v="9"/>
    <n v="2025"/>
    <x v="1"/>
    <s v="Q3"/>
    <x v="3"/>
  </r>
  <r>
    <s v="O107708"/>
    <x v="535"/>
    <x v="2"/>
    <x v="4"/>
    <x v="2"/>
    <x v="3"/>
    <n v="8"/>
    <n v="1181812"/>
    <d v="2026-04-14T00:00:00"/>
    <n v="4"/>
    <n v="14"/>
    <n v="2026"/>
    <x v="11"/>
    <s v="Q2"/>
    <x v="2"/>
  </r>
  <r>
    <s v="O104841"/>
    <x v="694"/>
    <x v="2"/>
    <x v="3"/>
    <x v="1"/>
    <x v="1"/>
    <n v="6"/>
    <n v="1181724"/>
    <d v="2025-10-22T00:00:00"/>
    <n v="10"/>
    <n v="22"/>
    <n v="2025"/>
    <x v="9"/>
    <s v="Q4"/>
    <x v="1"/>
  </r>
  <r>
    <s v="O109563"/>
    <x v="413"/>
    <x v="6"/>
    <x v="4"/>
    <x v="2"/>
    <x v="3"/>
    <n v="8"/>
    <n v="1180833"/>
    <d v="2026-04-08T00:00:00"/>
    <n v="4"/>
    <n v="8"/>
    <n v="2026"/>
    <x v="11"/>
    <s v="Q2"/>
    <x v="2"/>
  </r>
  <r>
    <s v="O110811"/>
    <x v="91"/>
    <x v="2"/>
    <x v="2"/>
    <x v="2"/>
    <x v="0"/>
    <n v="4"/>
    <n v="1180182"/>
    <d v="2026-10-19T00:00:00"/>
    <n v="10"/>
    <n v="19"/>
    <n v="2026"/>
    <x v="9"/>
    <s v="Q4"/>
    <x v="2"/>
  </r>
  <r>
    <s v="O100518"/>
    <x v="128"/>
    <x v="10"/>
    <x v="5"/>
    <x v="0"/>
    <x v="0"/>
    <n v="8"/>
    <n v="1180138"/>
    <d v="2025-01-02T00:00:00"/>
    <n v="1"/>
    <n v="2"/>
    <n v="2025"/>
    <x v="6"/>
    <s v="Q1"/>
    <x v="0"/>
  </r>
  <r>
    <s v="O107543"/>
    <x v="188"/>
    <x v="1"/>
    <x v="2"/>
    <x v="4"/>
    <x v="3"/>
    <n v="4"/>
    <n v="1180053"/>
    <d v="2026-04-04T00:00:00"/>
    <n v="4"/>
    <n v="4"/>
    <n v="2026"/>
    <x v="11"/>
    <s v="Q2"/>
    <x v="4"/>
  </r>
  <r>
    <s v="O106526"/>
    <x v="8"/>
    <x v="3"/>
    <x v="3"/>
    <x v="3"/>
    <x v="0"/>
    <n v="7"/>
    <n v="1179971"/>
    <d v="2026-01-02T00:00:00"/>
    <n v="1"/>
    <n v="2"/>
    <n v="2026"/>
    <x v="6"/>
    <s v="Q1"/>
    <x v="3"/>
  </r>
  <r>
    <s v="O109465"/>
    <x v="183"/>
    <x v="9"/>
    <x v="5"/>
    <x v="2"/>
    <x v="1"/>
    <n v="8"/>
    <n v="1179751"/>
    <d v="2026-07-29T00:00:00"/>
    <n v="7"/>
    <n v="29"/>
    <n v="2026"/>
    <x v="10"/>
    <s v="Q3"/>
    <x v="2"/>
  </r>
  <r>
    <s v="O104438"/>
    <x v="740"/>
    <x v="2"/>
    <x v="4"/>
    <x v="0"/>
    <x v="1"/>
    <n v="7"/>
    <n v="1179148"/>
    <d v="2025-09-27T00:00:00"/>
    <n v="9"/>
    <n v="27"/>
    <n v="2025"/>
    <x v="1"/>
    <s v="Q3"/>
    <x v="0"/>
  </r>
  <r>
    <s v="O104709"/>
    <x v="95"/>
    <x v="6"/>
    <x v="5"/>
    <x v="4"/>
    <x v="0"/>
    <n v="9"/>
    <n v="1178888"/>
    <d v="2025-10-14T00:00:00"/>
    <n v="10"/>
    <n v="14"/>
    <n v="2025"/>
    <x v="9"/>
    <s v="Q4"/>
    <x v="4"/>
  </r>
  <r>
    <s v="O101840"/>
    <x v="604"/>
    <x v="1"/>
    <x v="0"/>
    <x v="2"/>
    <x v="1"/>
    <n v="3"/>
    <n v="1178730"/>
    <d v="2025-04-22T00:00:00"/>
    <n v="4"/>
    <n v="22"/>
    <n v="2025"/>
    <x v="11"/>
    <s v="Q2"/>
    <x v="2"/>
  </r>
  <r>
    <s v="O108610"/>
    <x v="769"/>
    <x v="10"/>
    <x v="5"/>
    <x v="2"/>
    <x v="0"/>
    <n v="9"/>
    <n v="1178692"/>
    <d v="2026-08-06T00:00:00"/>
    <n v="8"/>
    <n v="6"/>
    <n v="2026"/>
    <x v="8"/>
    <s v="Q3"/>
    <x v="2"/>
  </r>
  <r>
    <s v="O107627"/>
    <x v="627"/>
    <x v="10"/>
    <x v="5"/>
    <x v="0"/>
    <x v="1"/>
    <n v="10"/>
    <n v="1178445"/>
    <d v="2026-09-04T00:00:00"/>
    <n v="9"/>
    <n v="4"/>
    <n v="2026"/>
    <x v="1"/>
    <s v="Q3"/>
    <x v="0"/>
  </r>
  <r>
    <s v="O100899"/>
    <x v="663"/>
    <x v="4"/>
    <x v="0"/>
    <x v="1"/>
    <x v="2"/>
    <n v="3"/>
    <n v="1178422"/>
    <d v="2025-02-24T00:00:00"/>
    <n v="2"/>
    <n v="24"/>
    <n v="2025"/>
    <x v="4"/>
    <s v="Q1"/>
    <x v="1"/>
  </r>
  <r>
    <s v="O106022"/>
    <x v="513"/>
    <x v="0"/>
    <x v="5"/>
    <x v="3"/>
    <x v="3"/>
    <n v="10"/>
    <n v="1177783"/>
    <d v="2026-01-01T00:00:00"/>
    <n v="1"/>
    <n v="1"/>
    <n v="2026"/>
    <x v="6"/>
    <s v="Q1"/>
    <x v="3"/>
  </r>
  <r>
    <s v="O109003"/>
    <x v="708"/>
    <x v="9"/>
    <x v="4"/>
    <x v="1"/>
    <x v="0"/>
    <n v="6"/>
    <n v="1177274"/>
    <d v="2026-01-07T00:00:00"/>
    <n v="1"/>
    <n v="7"/>
    <n v="2026"/>
    <x v="6"/>
    <s v="Q1"/>
    <x v="1"/>
  </r>
  <r>
    <s v="O101976"/>
    <x v="776"/>
    <x v="10"/>
    <x v="3"/>
    <x v="1"/>
    <x v="1"/>
    <n v="6"/>
    <n v="1177127"/>
    <d v="2025-04-30T00:00:00"/>
    <n v="4"/>
    <n v="30"/>
    <n v="2025"/>
    <x v="11"/>
    <s v="Q2"/>
    <x v="1"/>
  </r>
  <r>
    <s v="O101272"/>
    <x v="349"/>
    <x v="5"/>
    <x v="5"/>
    <x v="4"/>
    <x v="1"/>
    <n v="10"/>
    <n v="1176369"/>
    <d v="2025-03-19T00:00:00"/>
    <n v="3"/>
    <n v="19"/>
    <n v="2025"/>
    <x v="5"/>
    <s v="Q1"/>
    <x v="4"/>
  </r>
  <r>
    <s v="O110652"/>
    <x v="322"/>
    <x v="2"/>
    <x v="5"/>
    <x v="4"/>
    <x v="2"/>
    <n v="10"/>
    <n v="1176308"/>
    <d v="2026-10-10T00:00:00"/>
    <n v="10"/>
    <n v="10"/>
    <n v="2026"/>
    <x v="9"/>
    <s v="Q4"/>
    <x v="4"/>
  </r>
  <r>
    <s v="O108455"/>
    <x v="603"/>
    <x v="1"/>
    <x v="3"/>
    <x v="1"/>
    <x v="3"/>
    <n v="5"/>
    <n v="1176161"/>
    <d v="2026-05-29T00:00:00"/>
    <n v="5"/>
    <n v="29"/>
    <n v="2026"/>
    <x v="3"/>
    <s v="Q2"/>
    <x v="1"/>
  </r>
  <r>
    <s v="O104766"/>
    <x v="323"/>
    <x v="1"/>
    <x v="3"/>
    <x v="1"/>
    <x v="1"/>
    <n v="7"/>
    <n v="1176149"/>
    <d v="2025-10-17T00:00:00"/>
    <n v="10"/>
    <n v="17"/>
    <n v="2025"/>
    <x v="9"/>
    <s v="Q4"/>
    <x v="1"/>
  </r>
  <r>
    <s v="O109656"/>
    <x v="175"/>
    <x v="10"/>
    <x v="2"/>
    <x v="2"/>
    <x v="1"/>
    <n v="4"/>
    <n v="1175019"/>
    <d v="2026-10-08T00:00:00"/>
    <n v="10"/>
    <n v="8"/>
    <n v="2026"/>
    <x v="9"/>
    <s v="Q4"/>
    <x v="2"/>
  </r>
  <r>
    <s v="O100198"/>
    <x v="240"/>
    <x v="8"/>
    <x v="5"/>
    <x v="4"/>
    <x v="2"/>
    <n v="8"/>
    <n v="1174468"/>
    <d v="2025-12-01T00:00:00"/>
    <n v="12"/>
    <n v="1"/>
    <n v="2025"/>
    <x v="7"/>
    <s v="Q4"/>
    <x v="4"/>
  </r>
  <r>
    <s v="O104087"/>
    <x v="87"/>
    <x v="2"/>
    <x v="0"/>
    <x v="4"/>
    <x v="0"/>
    <n v="3"/>
    <n v="1174000"/>
    <d v="2025-06-09T00:00:00"/>
    <n v="6"/>
    <n v="9"/>
    <n v="2025"/>
    <x v="2"/>
    <s v="Q2"/>
    <x v="4"/>
  </r>
  <r>
    <s v="O105833"/>
    <x v="741"/>
    <x v="1"/>
    <x v="5"/>
    <x v="2"/>
    <x v="0"/>
    <n v="8"/>
    <n v="1173749"/>
    <d v="2025-12-21T00:00:00"/>
    <n v="12"/>
    <n v="21"/>
    <n v="2025"/>
    <x v="7"/>
    <s v="Q4"/>
    <x v="2"/>
  </r>
  <r>
    <s v="O106823"/>
    <x v="193"/>
    <x v="6"/>
    <x v="3"/>
    <x v="1"/>
    <x v="1"/>
    <n v="6"/>
    <n v="1173660"/>
    <d v="2026-02-19T00:00:00"/>
    <n v="2"/>
    <n v="19"/>
    <n v="2026"/>
    <x v="4"/>
    <s v="Q1"/>
    <x v="1"/>
  </r>
  <r>
    <s v="O104579"/>
    <x v="485"/>
    <x v="3"/>
    <x v="3"/>
    <x v="3"/>
    <x v="2"/>
    <n v="5"/>
    <n v="1173418"/>
    <d v="2025-06-10T00:00:00"/>
    <n v="6"/>
    <n v="10"/>
    <n v="2025"/>
    <x v="2"/>
    <s v="Q2"/>
    <x v="3"/>
  </r>
  <r>
    <s v="O102512"/>
    <x v="534"/>
    <x v="3"/>
    <x v="5"/>
    <x v="4"/>
    <x v="0"/>
    <n v="8"/>
    <n v="1172769"/>
    <d v="2025-02-06T00:00:00"/>
    <n v="2"/>
    <n v="6"/>
    <n v="2025"/>
    <x v="4"/>
    <s v="Q1"/>
    <x v="4"/>
  </r>
  <r>
    <s v="O101993"/>
    <x v="157"/>
    <x v="3"/>
    <x v="2"/>
    <x v="0"/>
    <x v="3"/>
    <n v="4"/>
    <n v="1171782"/>
    <d v="2025-02-05T00:00:00"/>
    <n v="2"/>
    <n v="5"/>
    <n v="2025"/>
    <x v="4"/>
    <s v="Q1"/>
    <x v="0"/>
  </r>
  <r>
    <s v="O106767"/>
    <x v="637"/>
    <x v="6"/>
    <x v="3"/>
    <x v="2"/>
    <x v="2"/>
    <n v="5"/>
    <n v="1171118"/>
    <d v="2026-02-16T00:00:00"/>
    <n v="2"/>
    <n v="16"/>
    <n v="2026"/>
    <x v="4"/>
    <s v="Q1"/>
    <x v="2"/>
  </r>
  <r>
    <s v="O103584"/>
    <x v="370"/>
    <x v="1"/>
    <x v="5"/>
    <x v="3"/>
    <x v="0"/>
    <n v="10"/>
    <n v="1170651"/>
    <d v="2025-06-08T00:00:00"/>
    <n v="6"/>
    <n v="8"/>
    <n v="2025"/>
    <x v="2"/>
    <s v="Q2"/>
    <x v="3"/>
  </r>
  <r>
    <s v="O100183"/>
    <x v="68"/>
    <x v="4"/>
    <x v="3"/>
    <x v="3"/>
    <x v="2"/>
    <n v="7"/>
    <n v="1169843"/>
    <d v="2025-12-01T00:00:00"/>
    <n v="12"/>
    <n v="1"/>
    <n v="2025"/>
    <x v="7"/>
    <s v="Q4"/>
    <x v="3"/>
  </r>
  <r>
    <s v="O106759"/>
    <x v="302"/>
    <x v="9"/>
    <x v="3"/>
    <x v="2"/>
    <x v="0"/>
    <n v="6"/>
    <n v="1169726"/>
    <d v="2026-02-15T00:00:00"/>
    <n v="2"/>
    <n v="15"/>
    <n v="2026"/>
    <x v="4"/>
    <s v="Q1"/>
    <x v="2"/>
  </r>
  <r>
    <s v="O110094"/>
    <x v="328"/>
    <x v="4"/>
    <x v="5"/>
    <x v="4"/>
    <x v="3"/>
    <n v="9"/>
    <n v="1169312"/>
    <d v="2026-06-09T00:00:00"/>
    <n v="6"/>
    <n v="9"/>
    <n v="2026"/>
    <x v="2"/>
    <s v="Q2"/>
    <x v="4"/>
  </r>
  <r>
    <s v="O100536"/>
    <x v="595"/>
    <x v="2"/>
    <x v="3"/>
    <x v="1"/>
    <x v="3"/>
    <n v="7"/>
    <n v="1169052"/>
    <d v="2025-02-02T00:00:00"/>
    <n v="2"/>
    <n v="2"/>
    <n v="2025"/>
    <x v="4"/>
    <s v="Q1"/>
    <x v="1"/>
  </r>
  <r>
    <s v="O100201"/>
    <x v="103"/>
    <x v="3"/>
    <x v="2"/>
    <x v="3"/>
    <x v="0"/>
    <n v="5"/>
    <n v="1168872"/>
    <d v="2025-01-13T00:00:00"/>
    <n v="1"/>
    <n v="13"/>
    <n v="2025"/>
    <x v="6"/>
    <s v="Q1"/>
    <x v="3"/>
  </r>
  <r>
    <s v="O111779"/>
    <x v="250"/>
    <x v="1"/>
    <x v="5"/>
    <x v="1"/>
    <x v="3"/>
    <n v="9"/>
    <n v="1168765"/>
    <d v="2026-12-17T00:00:00"/>
    <n v="12"/>
    <n v="17"/>
    <n v="2026"/>
    <x v="7"/>
    <s v="Q4"/>
    <x v="1"/>
  </r>
  <r>
    <s v="O104362"/>
    <x v="477"/>
    <x v="3"/>
    <x v="2"/>
    <x v="1"/>
    <x v="0"/>
    <n v="5"/>
    <n v="1168571"/>
    <d v="2025-09-22T00:00:00"/>
    <n v="9"/>
    <n v="22"/>
    <n v="2025"/>
    <x v="1"/>
    <s v="Q3"/>
    <x v="1"/>
  </r>
  <r>
    <s v="O103270"/>
    <x v="83"/>
    <x v="7"/>
    <x v="2"/>
    <x v="0"/>
    <x v="3"/>
    <n v="4"/>
    <n v="1168459"/>
    <d v="2025-07-18T00:00:00"/>
    <n v="7"/>
    <n v="18"/>
    <n v="2025"/>
    <x v="10"/>
    <s v="Q3"/>
    <x v="0"/>
  </r>
  <r>
    <s v="O104960"/>
    <x v="103"/>
    <x v="0"/>
    <x v="4"/>
    <x v="3"/>
    <x v="3"/>
    <n v="7"/>
    <n v="1168314"/>
    <d v="2025-10-29T00:00:00"/>
    <n v="10"/>
    <n v="29"/>
    <n v="2025"/>
    <x v="9"/>
    <s v="Q4"/>
    <x v="3"/>
  </r>
  <r>
    <s v="O101013"/>
    <x v="10"/>
    <x v="3"/>
    <x v="3"/>
    <x v="1"/>
    <x v="0"/>
    <n v="7"/>
    <n v="1167321"/>
    <d v="2025-03-03T00:00:00"/>
    <n v="3"/>
    <n v="3"/>
    <n v="2025"/>
    <x v="5"/>
    <s v="Q1"/>
    <x v="1"/>
  </r>
  <r>
    <s v="O107279"/>
    <x v="670"/>
    <x v="8"/>
    <x v="4"/>
    <x v="0"/>
    <x v="1"/>
    <n v="7"/>
    <n v="1167292"/>
    <d v="2026-03-19T00:00:00"/>
    <n v="3"/>
    <n v="19"/>
    <n v="2026"/>
    <x v="5"/>
    <s v="Q1"/>
    <x v="0"/>
  </r>
  <r>
    <s v="O105352"/>
    <x v="254"/>
    <x v="8"/>
    <x v="3"/>
    <x v="4"/>
    <x v="0"/>
    <n v="5"/>
    <n v="1166813"/>
    <d v="2025-11-22T00:00:00"/>
    <n v="11"/>
    <n v="22"/>
    <n v="2025"/>
    <x v="0"/>
    <s v="Q4"/>
    <x v="4"/>
  </r>
  <r>
    <s v="O103606"/>
    <x v="255"/>
    <x v="2"/>
    <x v="0"/>
    <x v="3"/>
    <x v="2"/>
    <n v="3"/>
    <n v="1166726"/>
    <d v="2025-08-08T00:00:00"/>
    <n v="8"/>
    <n v="8"/>
    <n v="2025"/>
    <x v="8"/>
    <s v="Q3"/>
    <x v="3"/>
  </r>
  <r>
    <s v="O107779"/>
    <x v="224"/>
    <x v="2"/>
    <x v="5"/>
    <x v="3"/>
    <x v="1"/>
    <n v="9"/>
    <n v="1165827"/>
    <d v="2026-04-18T00:00:00"/>
    <n v="4"/>
    <n v="18"/>
    <n v="2026"/>
    <x v="11"/>
    <s v="Q2"/>
    <x v="3"/>
  </r>
  <r>
    <s v="O107692"/>
    <x v="475"/>
    <x v="6"/>
    <x v="5"/>
    <x v="2"/>
    <x v="0"/>
    <n v="8"/>
    <n v="1165435"/>
    <d v="2026-04-13T00:00:00"/>
    <n v="4"/>
    <n v="13"/>
    <n v="2026"/>
    <x v="11"/>
    <s v="Q2"/>
    <x v="2"/>
  </r>
  <r>
    <s v="O110097"/>
    <x v="61"/>
    <x v="0"/>
    <x v="2"/>
    <x v="3"/>
    <x v="3"/>
    <n v="4"/>
    <n v="1165380"/>
    <d v="2026-06-09T00:00:00"/>
    <n v="6"/>
    <n v="9"/>
    <n v="2026"/>
    <x v="2"/>
    <s v="Q2"/>
    <x v="3"/>
  </r>
  <r>
    <s v="O102345"/>
    <x v="14"/>
    <x v="8"/>
    <x v="3"/>
    <x v="4"/>
    <x v="2"/>
    <n v="5"/>
    <n v="1165277"/>
    <d v="2025-05-23T00:00:00"/>
    <n v="5"/>
    <n v="23"/>
    <n v="2025"/>
    <x v="3"/>
    <s v="Q2"/>
    <x v="4"/>
  </r>
  <r>
    <s v="O102274"/>
    <x v="229"/>
    <x v="8"/>
    <x v="2"/>
    <x v="4"/>
    <x v="2"/>
    <n v="5"/>
    <n v="1164977"/>
    <d v="2025-05-19T00:00:00"/>
    <n v="5"/>
    <n v="19"/>
    <n v="2025"/>
    <x v="3"/>
    <s v="Q2"/>
    <x v="4"/>
  </r>
  <r>
    <s v="O109357"/>
    <x v="392"/>
    <x v="6"/>
    <x v="5"/>
    <x v="3"/>
    <x v="2"/>
    <n v="9"/>
    <n v="1164819"/>
    <d v="2026-07-23T00:00:00"/>
    <n v="7"/>
    <n v="23"/>
    <n v="2026"/>
    <x v="10"/>
    <s v="Q3"/>
    <x v="3"/>
  </r>
  <r>
    <s v="O102673"/>
    <x v="121"/>
    <x v="4"/>
    <x v="4"/>
    <x v="4"/>
    <x v="2"/>
    <n v="6"/>
    <n v="1164271"/>
    <d v="2025-12-06T00:00:00"/>
    <n v="12"/>
    <n v="6"/>
    <n v="2025"/>
    <x v="7"/>
    <s v="Q4"/>
    <x v="4"/>
  </r>
  <r>
    <s v="O105214"/>
    <x v="638"/>
    <x v="9"/>
    <x v="4"/>
    <x v="4"/>
    <x v="0"/>
    <n v="8"/>
    <n v="1164027"/>
    <d v="2025-11-13T00:00:00"/>
    <n v="11"/>
    <n v="13"/>
    <n v="2025"/>
    <x v="0"/>
    <s v="Q4"/>
    <x v="4"/>
  </r>
  <r>
    <s v="O102241"/>
    <x v="544"/>
    <x v="2"/>
    <x v="4"/>
    <x v="2"/>
    <x v="2"/>
    <n v="6"/>
    <n v="1163939"/>
    <d v="2025-05-17T00:00:00"/>
    <n v="5"/>
    <n v="17"/>
    <n v="2025"/>
    <x v="3"/>
    <s v="Q2"/>
    <x v="2"/>
  </r>
  <r>
    <s v="O101972"/>
    <x v="737"/>
    <x v="5"/>
    <x v="5"/>
    <x v="2"/>
    <x v="0"/>
    <n v="10"/>
    <n v="1163811"/>
    <d v="2025-04-30T00:00:00"/>
    <n v="4"/>
    <n v="30"/>
    <n v="2025"/>
    <x v="11"/>
    <s v="Q2"/>
    <x v="2"/>
  </r>
  <r>
    <s v="O100510"/>
    <x v="779"/>
    <x v="1"/>
    <x v="4"/>
    <x v="3"/>
    <x v="1"/>
    <n v="6"/>
    <n v="1163012"/>
    <d v="2025-01-31T00:00:00"/>
    <n v="1"/>
    <n v="31"/>
    <n v="2025"/>
    <x v="6"/>
    <s v="Q1"/>
    <x v="3"/>
  </r>
  <r>
    <s v="O105286"/>
    <x v="547"/>
    <x v="8"/>
    <x v="4"/>
    <x v="0"/>
    <x v="2"/>
    <n v="8"/>
    <n v="1162711"/>
    <d v="2025-11-18T00:00:00"/>
    <n v="11"/>
    <n v="18"/>
    <n v="2025"/>
    <x v="0"/>
    <s v="Q4"/>
    <x v="0"/>
  </r>
  <r>
    <s v="O110742"/>
    <x v="577"/>
    <x v="3"/>
    <x v="4"/>
    <x v="0"/>
    <x v="0"/>
    <n v="6"/>
    <n v="1161585"/>
    <d v="2026-10-15T00:00:00"/>
    <n v="10"/>
    <n v="15"/>
    <n v="2026"/>
    <x v="9"/>
    <s v="Q4"/>
    <x v="0"/>
  </r>
  <r>
    <s v="O106442"/>
    <x v="193"/>
    <x v="4"/>
    <x v="0"/>
    <x v="2"/>
    <x v="0"/>
    <n v="3"/>
    <n v="1161353"/>
    <d v="2026-01-27T00:00:00"/>
    <n v="1"/>
    <n v="27"/>
    <n v="2026"/>
    <x v="6"/>
    <s v="Q1"/>
    <x v="2"/>
  </r>
  <r>
    <s v="O104919"/>
    <x v="562"/>
    <x v="9"/>
    <x v="4"/>
    <x v="2"/>
    <x v="2"/>
    <n v="7"/>
    <n v="1161346"/>
    <d v="2025-10-26T00:00:00"/>
    <n v="10"/>
    <n v="26"/>
    <n v="2025"/>
    <x v="9"/>
    <s v="Q4"/>
    <x v="2"/>
  </r>
  <r>
    <s v="O100501"/>
    <x v="797"/>
    <x v="8"/>
    <x v="4"/>
    <x v="2"/>
    <x v="3"/>
    <n v="6"/>
    <n v="1161063"/>
    <d v="2025-01-31T00:00:00"/>
    <n v="1"/>
    <n v="31"/>
    <n v="2025"/>
    <x v="6"/>
    <s v="Q1"/>
    <x v="2"/>
  </r>
  <r>
    <s v="O107687"/>
    <x v="513"/>
    <x v="9"/>
    <x v="4"/>
    <x v="3"/>
    <x v="2"/>
    <n v="6"/>
    <n v="1160813"/>
    <d v="2026-12-04T00:00:00"/>
    <n v="12"/>
    <n v="4"/>
    <n v="2026"/>
    <x v="7"/>
    <s v="Q4"/>
    <x v="3"/>
  </r>
  <r>
    <s v="O101425"/>
    <x v="412"/>
    <x v="9"/>
    <x v="3"/>
    <x v="3"/>
    <x v="2"/>
    <n v="5"/>
    <n v="1160779"/>
    <d v="2025-03-28T00:00:00"/>
    <n v="3"/>
    <n v="28"/>
    <n v="2025"/>
    <x v="5"/>
    <s v="Q1"/>
    <x v="3"/>
  </r>
  <r>
    <s v="O109841"/>
    <x v="611"/>
    <x v="3"/>
    <x v="5"/>
    <x v="1"/>
    <x v="0"/>
    <n v="8"/>
    <n v="1159970"/>
    <d v="2026-08-21T00:00:00"/>
    <n v="8"/>
    <n v="21"/>
    <n v="2026"/>
    <x v="8"/>
    <s v="Q3"/>
    <x v="1"/>
  </r>
  <r>
    <s v="O103477"/>
    <x v="763"/>
    <x v="1"/>
    <x v="3"/>
    <x v="3"/>
    <x v="0"/>
    <n v="7"/>
    <n v="1159225"/>
    <d v="2025-07-31T00:00:00"/>
    <n v="7"/>
    <n v="31"/>
    <n v="2025"/>
    <x v="10"/>
    <s v="Q3"/>
    <x v="3"/>
  </r>
  <r>
    <s v="O101381"/>
    <x v="631"/>
    <x v="10"/>
    <x v="0"/>
    <x v="1"/>
    <x v="3"/>
    <n v="3"/>
    <n v="1158966"/>
    <d v="2025-03-25T00:00:00"/>
    <n v="3"/>
    <n v="25"/>
    <n v="2025"/>
    <x v="5"/>
    <s v="Q1"/>
    <x v="1"/>
  </r>
  <r>
    <s v="O110618"/>
    <x v="61"/>
    <x v="6"/>
    <x v="5"/>
    <x v="0"/>
    <x v="2"/>
    <n v="8"/>
    <n v="1158711"/>
    <d v="2026-08-10T00:00:00"/>
    <n v="8"/>
    <n v="10"/>
    <n v="2026"/>
    <x v="8"/>
    <s v="Q3"/>
    <x v="0"/>
  </r>
  <r>
    <s v="O103440"/>
    <x v="337"/>
    <x v="8"/>
    <x v="3"/>
    <x v="1"/>
    <x v="0"/>
    <n v="5"/>
    <n v="1157468"/>
    <d v="2025-07-28T00:00:00"/>
    <n v="7"/>
    <n v="28"/>
    <n v="2025"/>
    <x v="10"/>
    <s v="Q3"/>
    <x v="1"/>
  </r>
  <r>
    <s v="O106904"/>
    <x v="496"/>
    <x v="5"/>
    <x v="2"/>
    <x v="3"/>
    <x v="1"/>
    <n v="4"/>
    <n v="1157177"/>
    <d v="2026-02-24T00:00:00"/>
    <n v="2"/>
    <n v="24"/>
    <n v="2026"/>
    <x v="4"/>
    <s v="Q1"/>
    <x v="3"/>
  </r>
  <r>
    <s v="O104989"/>
    <x v="773"/>
    <x v="4"/>
    <x v="4"/>
    <x v="3"/>
    <x v="2"/>
    <n v="7"/>
    <n v="1157067"/>
    <d v="2025-10-31T00:00:00"/>
    <n v="10"/>
    <n v="31"/>
    <n v="2025"/>
    <x v="9"/>
    <s v="Q4"/>
    <x v="3"/>
  </r>
  <r>
    <s v="O105257"/>
    <x v="501"/>
    <x v="8"/>
    <x v="0"/>
    <x v="0"/>
    <x v="2"/>
    <n v="3"/>
    <n v="1155980"/>
    <d v="2025-11-16T00:00:00"/>
    <n v="11"/>
    <n v="16"/>
    <n v="2025"/>
    <x v="0"/>
    <s v="Q4"/>
    <x v="0"/>
  </r>
  <r>
    <s v="O106040"/>
    <x v="585"/>
    <x v="9"/>
    <x v="5"/>
    <x v="2"/>
    <x v="0"/>
    <n v="9"/>
    <n v="1155925"/>
    <d v="2026-02-01T00:00:00"/>
    <n v="2"/>
    <n v="1"/>
    <n v="2026"/>
    <x v="4"/>
    <s v="Q1"/>
    <x v="2"/>
  </r>
  <r>
    <s v="O104757"/>
    <x v="521"/>
    <x v="5"/>
    <x v="0"/>
    <x v="3"/>
    <x v="2"/>
    <n v="3"/>
    <n v="1155846"/>
    <d v="2025-10-16T00:00:00"/>
    <n v="10"/>
    <n v="16"/>
    <n v="2025"/>
    <x v="9"/>
    <s v="Q4"/>
    <x v="3"/>
  </r>
  <r>
    <s v="O101543"/>
    <x v="345"/>
    <x v="6"/>
    <x v="2"/>
    <x v="3"/>
    <x v="2"/>
    <n v="4"/>
    <n v="1154953"/>
    <d v="2025-04-04T00:00:00"/>
    <n v="4"/>
    <n v="4"/>
    <n v="2025"/>
    <x v="11"/>
    <s v="Q2"/>
    <x v="3"/>
  </r>
  <r>
    <s v="O101488"/>
    <x v="108"/>
    <x v="2"/>
    <x v="4"/>
    <x v="3"/>
    <x v="2"/>
    <n v="7"/>
    <n v="1154141"/>
    <d v="2025-01-04T00:00:00"/>
    <n v="1"/>
    <n v="4"/>
    <n v="2025"/>
    <x v="6"/>
    <s v="Q1"/>
    <x v="3"/>
  </r>
  <r>
    <s v="O109288"/>
    <x v="655"/>
    <x v="9"/>
    <x v="5"/>
    <x v="2"/>
    <x v="1"/>
    <n v="9"/>
    <n v="1153552"/>
    <d v="2026-07-19T00:00:00"/>
    <n v="7"/>
    <n v="19"/>
    <n v="2026"/>
    <x v="10"/>
    <s v="Q3"/>
    <x v="2"/>
  </r>
  <r>
    <s v="O100952"/>
    <x v="308"/>
    <x v="5"/>
    <x v="2"/>
    <x v="3"/>
    <x v="0"/>
    <n v="4"/>
    <n v="1153447"/>
    <d v="2025-02-27T00:00:00"/>
    <n v="2"/>
    <n v="27"/>
    <n v="2025"/>
    <x v="4"/>
    <s v="Q1"/>
    <x v="3"/>
  </r>
  <r>
    <s v="O110893"/>
    <x v="44"/>
    <x v="3"/>
    <x v="5"/>
    <x v="1"/>
    <x v="1"/>
    <n v="10"/>
    <n v="1153052"/>
    <d v="2026-10-24T00:00:00"/>
    <n v="10"/>
    <n v="24"/>
    <n v="2026"/>
    <x v="9"/>
    <s v="Q4"/>
    <x v="1"/>
  </r>
  <r>
    <s v="O110697"/>
    <x v="527"/>
    <x v="6"/>
    <x v="3"/>
    <x v="3"/>
    <x v="0"/>
    <n v="6"/>
    <n v="1152857"/>
    <d v="2026-12-10T00:00:00"/>
    <n v="12"/>
    <n v="10"/>
    <n v="2026"/>
    <x v="7"/>
    <m/>
    <x v="3"/>
  </r>
  <r>
    <s v="O104602"/>
    <x v="650"/>
    <x v="3"/>
    <x v="4"/>
    <x v="3"/>
    <x v="1"/>
    <n v="7"/>
    <n v="1152830"/>
    <d v="2025-07-10T00:00:00"/>
    <n v="7"/>
    <n v="10"/>
    <n v="2025"/>
    <x v="10"/>
    <s v="Q3"/>
    <x v="3"/>
  </r>
  <r>
    <s v="O105966"/>
    <x v="576"/>
    <x v="5"/>
    <x v="5"/>
    <x v="4"/>
    <x v="0"/>
    <n v="8"/>
    <n v="1152635"/>
    <d v="2025-12-29T00:00:00"/>
    <n v="12"/>
    <n v="29"/>
    <n v="2025"/>
    <x v="7"/>
    <s v="Q4"/>
    <x v="4"/>
  </r>
  <r>
    <s v="O109523"/>
    <x v="561"/>
    <x v="2"/>
    <x v="3"/>
    <x v="0"/>
    <x v="2"/>
    <n v="6"/>
    <n v="1152521"/>
    <d v="2026-02-08T00:00:00"/>
    <n v="2"/>
    <n v="8"/>
    <n v="2026"/>
    <x v="4"/>
    <s v="Q1"/>
    <x v="0"/>
  </r>
  <r>
    <s v="O102012"/>
    <x v="507"/>
    <x v="8"/>
    <x v="0"/>
    <x v="0"/>
    <x v="1"/>
    <n v="3"/>
    <n v="1152159"/>
    <d v="2025-03-05T00:00:00"/>
    <n v="3"/>
    <n v="5"/>
    <n v="2025"/>
    <x v="5"/>
    <s v="Q1"/>
    <x v="0"/>
  </r>
  <r>
    <s v="O106789"/>
    <x v="434"/>
    <x v="6"/>
    <x v="5"/>
    <x v="1"/>
    <x v="1"/>
    <n v="10"/>
    <n v="1151594"/>
    <d v="2026-02-17T00:00:00"/>
    <n v="2"/>
    <n v="17"/>
    <n v="2026"/>
    <x v="4"/>
    <s v="Q1"/>
    <x v="1"/>
  </r>
  <r>
    <s v="O107241"/>
    <x v="186"/>
    <x v="6"/>
    <x v="5"/>
    <x v="1"/>
    <x v="1"/>
    <n v="8"/>
    <n v="1151381"/>
    <d v="2026-03-16T00:00:00"/>
    <n v="3"/>
    <n v="16"/>
    <n v="2026"/>
    <x v="5"/>
    <s v="Q1"/>
    <x v="1"/>
  </r>
  <r>
    <s v="O111087"/>
    <x v="135"/>
    <x v="10"/>
    <x v="5"/>
    <x v="0"/>
    <x v="3"/>
    <n v="10"/>
    <n v="1151036"/>
    <d v="2026-05-11T00:00:00"/>
    <n v="5"/>
    <n v="11"/>
    <n v="2026"/>
    <x v="3"/>
    <s v="Q2"/>
    <x v="0"/>
  </r>
  <r>
    <s v="O100322"/>
    <x v="576"/>
    <x v="10"/>
    <x v="4"/>
    <x v="3"/>
    <x v="3"/>
    <n v="7"/>
    <n v="1150832"/>
    <d v="2025-01-20T00:00:00"/>
    <n v="1"/>
    <n v="20"/>
    <n v="2025"/>
    <x v="6"/>
    <s v="Q1"/>
    <x v="3"/>
  </r>
  <r>
    <s v="O107999"/>
    <x v="751"/>
    <x v="10"/>
    <x v="5"/>
    <x v="0"/>
    <x v="3"/>
    <n v="8"/>
    <n v="1150652"/>
    <d v="2026-01-05T00:00:00"/>
    <n v="1"/>
    <n v="5"/>
    <n v="2026"/>
    <x v="6"/>
    <s v="Q1"/>
    <x v="0"/>
  </r>
  <r>
    <s v="O101294"/>
    <x v="415"/>
    <x v="0"/>
    <x v="2"/>
    <x v="0"/>
    <x v="2"/>
    <n v="5"/>
    <n v="1150274"/>
    <d v="2025-03-20T00:00:00"/>
    <n v="3"/>
    <n v="20"/>
    <n v="2025"/>
    <x v="5"/>
    <s v="Q1"/>
    <x v="0"/>
  </r>
  <r>
    <s v="O108628"/>
    <x v="385"/>
    <x v="1"/>
    <x v="5"/>
    <x v="1"/>
    <x v="3"/>
    <n v="10"/>
    <n v="1150106"/>
    <d v="2026-09-06T00:00:00"/>
    <n v="9"/>
    <n v="6"/>
    <n v="2026"/>
    <x v="1"/>
    <s v="Q3"/>
    <x v="1"/>
  </r>
  <r>
    <s v="O105011"/>
    <x v="774"/>
    <x v="0"/>
    <x v="0"/>
    <x v="4"/>
    <x v="3"/>
    <n v="3"/>
    <n v="1150014"/>
    <d v="2025-01-11T00:00:00"/>
    <n v="1"/>
    <n v="11"/>
    <n v="2025"/>
    <x v="6"/>
    <s v="Q1"/>
    <x v="4"/>
  </r>
  <r>
    <s v="O100891"/>
    <x v="217"/>
    <x v="4"/>
    <x v="4"/>
    <x v="4"/>
    <x v="2"/>
    <n v="6"/>
    <n v="1149525"/>
    <d v="2025-02-24T00:00:00"/>
    <n v="2"/>
    <n v="24"/>
    <n v="2025"/>
    <x v="4"/>
    <s v="Q1"/>
    <x v="4"/>
  </r>
  <r>
    <s v="O111187"/>
    <x v="121"/>
    <x v="6"/>
    <x v="0"/>
    <x v="4"/>
    <x v="0"/>
    <n v="3"/>
    <n v="1149518"/>
    <d v="2026-11-11T00:00:00"/>
    <n v="11"/>
    <n v="11"/>
    <n v="2026"/>
    <x v="0"/>
    <s v="Q4"/>
    <x v="4"/>
  </r>
  <r>
    <s v="O104450"/>
    <x v="287"/>
    <x v="10"/>
    <x v="4"/>
    <x v="3"/>
    <x v="0"/>
    <n v="8"/>
    <n v="1149455"/>
    <d v="2025-09-28T00:00:00"/>
    <n v="9"/>
    <n v="28"/>
    <n v="2025"/>
    <x v="1"/>
    <s v="Q3"/>
    <x v="3"/>
  </r>
  <r>
    <s v="O101600"/>
    <x v="169"/>
    <x v="9"/>
    <x v="5"/>
    <x v="3"/>
    <x v="1"/>
    <n v="9"/>
    <n v="1148682"/>
    <d v="2025-08-04T00:00:00"/>
    <n v="8"/>
    <n v="4"/>
    <n v="2025"/>
    <x v="8"/>
    <m/>
    <x v="3"/>
  </r>
  <r>
    <s v="O108041"/>
    <x v="23"/>
    <x v="3"/>
    <x v="3"/>
    <x v="0"/>
    <x v="3"/>
    <n v="6"/>
    <n v="1148116"/>
    <d v="2026-04-05T00:00:00"/>
    <n v="4"/>
    <n v="5"/>
    <n v="2026"/>
    <x v="11"/>
    <s v="Q2"/>
    <x v="0"/>
  </r>
  <r>
    <s v="O105956"/>
    <x v="160"/>
    <x v="6"/>
    <x v="2"/>
    <x v="2"/>
    <x v="0"/>
    <n v="4"/>
    <n v="1147889"/>
    <d v="2025-12-28T00:00:00"/>
    <n v="12"/>
    <n v="28"/>
    <n v="2025"/>
    <x v="7"/>
    <s v="Q4"/>
    <x v="2"/>
  </r>
  <r>
    <s v="O104189"/>
    <x v="668"/>
    <x v="1"/>
    <x v="4"/>
    <x v="2"/>
    <x v="1"/>
    <n v="7"/>
    <n v="1147582"/>
    <d v="2025-12-09T00:00:00"/>
    <n v="12"/>
    <n v="9"/>
    <n v="2025"/>
    <x v="7"/>
    <s v="Q4"/>
    <x v="2"/>
  </r>
  <r>
    <s v="O105182"/>
    <x v="322"/>
    <x v="6"/>
    <x v="5"/>
    <x v="4"/>
    <x v="1"/>
    <n v="8"/>
    <n v="1147444"/>
    <d v="2025-11-11T00:00:00"/>
    <n v="11"/>
    <n v="11"/>
    <n v="2025"/>
    <x v="0"/>
    <s v="Q4"/>
    <x v="4"/>
  </r>
  <r>
    <s v="O103472"/>
    <x v="367"/>
    <x v="5"/>
    <x v="4"/>
    <x v="1"/>
    <x v="2"/>
    <n v="6"/>
    <n v="1147129"/>
    <d v="2025-07-30T00:00:00"/>
    <n v="7"/>
    <n v="30"/>
    <n v="2025"/>
    <x v="10"/>
    <s v="Q3"/>
    <x v="1"/>
  </r>
  <r>
    <s v="O109102"/>
    <x v="578"/>
    <x v="2"/>
    <x v="4"/>
    <x v="0"/>
    <x v="3"/>
    <n v="6"/>
    <n v="1146695"/>
    <d v="2026-07-07T00:00:00"/>
    <n v="7"/>
    <n v="7"/>
    <n v="2026"/>
    <x v="10"/>
    <s v="Q3"/>
    <x v="0"/>
  </r>
  <r>
    <s v="O110361"/>
    <x v="97"/>
    <x v="1"/>
    <x v="5"/>
    <x v="4"/>
    <x v="1"/>
    <n v="8"/>
    <n v="1146409"/>
    <d v="2026-09-22T00:00:00"/>
    <n v="9"/>
    <n v="22"/>
    <n v="2026"/>
    <x v="1"/>
    <s v="Q3"/>
    <x v="4"/>
  </r>
  <r>
    <s v="O110632"/>
    <x v="264"/>
    <x v="3"/>
    <x v="4"/>
    <x v="0"/>
    <x v="1"/>
    <n v="8"/>
    <n v="1146015"/>
    <d v="2026-08-10T00:00:00"/>
    <n v="8"/>
    <n v="10"/>
    <n v="2026"/>
    <x v="8"/>
    <s v="Q3"/>
    <x v="0"/>
  </r>
  <r>
    <s v="O110237"/>
    <x v="61"/>
    <x v="6"/>
    <x v="4"/>
    <x v="0"/>
    <x v="2"/>
    <n v="7"/>
    <n v="1145776"/>
    <d v="2026-09-14T00:00:00"/>
    <n v="9"/>
    <n v="14"/>
    <n v="2026"/>
    <x v="1"/>
    <s v="Q3"/>
    <x v="0"/>
  </r>
  <r>
    <s v="O104788"/>
    <x v="127"/>
    <x v="0"/>
    <x v="5"/>
    <x v="2"/>
    <x v="2"/>
    <n v="9"/>
    <n v="1144311"/>
    <d v="2025-10-18T00:00:00"/>
    <n v="10"/>
    <n v="18"/>
    <n v="2025"/>
    <x v="9"/>
    <s v="Q4"/>
    <x v="2"/>
  </r>
  <r>
    <s v="O101476"/>
    <x v="239"/>
    <x v="0"/>
    <x v="2"/>
    <x v="7"/>
    <x v="3"/>
    <n v="5"/>
    <n v="1143859"/>
    <d v="2025-03-31T00:00:00"/>
    <n v="3"/>
    <n v="31"/>
    <n v="2025"/>
    <x v="5"/>
    <s v="Q1"/>
    <x v="3"/>
  </r>
  <r>
    <s v="O107325"/>
    <x v="484"/>
    <x v="4"/>
    <x v="0"/>
    <x v="1"/>
    <x v="0"/>
    <n v="3"/>
    <n v="1143669"/>
    <d v="2026-03-21T00:00:00"/>
    <n v="3"/>
    <n v="21"/>
    <n v="2026"/>
    <x v="5"/>
    <s v="Q1"/>
    <x v="1"/>
  </r>
  <r>
    <s v="O103232"/>
    <x v="279"/>
    <x v="10"/>
    <x v="2"/>
    <x v="0"/>
    <x v="1"/>
    <n v="5"/>
    <n v="1143442"/>
    <d v="2025-07-16T00:00:00"/>
    <n v="7"/>
    <n v="16"/>
    <n v="2025"/>
    <x v="10"/>
    <s v="Q3"/>
    <x v="0"/>
  </r>
  <r>
    <s v="O110591"/>
    <x v="129"/>
    <x v="3"/>
    <x v="4"/>
    <x v="3"/>
    <x v="3"/>
    <n v="7"/>
    <n v="1143009"/>
    <d v="2026-06-10T00:00:00"/>
    <n v="6"/>
    <n v="10"/>
    <n v="2026"/>
    <x v="2"/>
    <s v="Q2"/>
    <x v="3"/>
  </r>
  <r>
    <s v="O111339"/>
    <x v="731"/>
    <x v="10"/>
    <x v="5"/>
    <x v="3"/>
    <x v="0"/>
    <n v="10"/>
    <n v="1142760"/>
    <d v="2026-11-20T00:00:00"/>
    <n v="11"/>
    <n v="20"/>
    <n v="2026"/>
    <x v="0"/>
    <s v="Q4"/>
    <x v="3"/>
  </r>
  <r>
    <s v="O107608"/>
    <x v="328"/>
    <x v="10"/>
    <x v="2"/>
    <x v="0"/>
    <x v="0"/>
    <n v="4"/>
    <n v="1142091"/>
    <d v="2026-08-04T00:00:00"/>
    <n v="8"/>
    <n v="4"/>
    <n v="2026"/>
    <x v="8"/>
    <s v="Q3"/>
    <x v="0"/>
  </r>
  <r>
    <s v="O108564"/>
    <x v="497"/>
    <x v="10"/>
    <x v="5"/>
    <x v="0"/>
    <x v="2"/>
    <n v="9"/>
    <n v="1141892"/>
    <d v="2026-05-06T00:00:00"/>
    <n v="5"/>
    <n v="6"/>
    <n v="2026"/>
    <x v="3"/>
    <s v="Q2"/>
    <x v="0"/>
  </r>
  <r>
    <s v="O109072"/>
    <x v="538"/>
    <x v="6"/>
    <x v="4"/>
    <x v="3"/>
    <x v="1"/>
    <n v="6"/>
    <n v="1141180"/>
    <d v="2026-06-07T00:00:00"/>
    <n v="6"/>
    <n v="7"/>
    <n v="2026"/>
    <x v="2"/>
    <m/>
    <x v="3"/>
  </r>
  <r>
    <s v="O102125"/>
    <x v="252"/>
    <x v="1"/>
    <x v="3"/>
    <x v="1"/>
    <x v="0"/>
    <n v="5"/>
    <n v="1141075"/>
    <d v="2025-10-05T00:00:00"/>
    <n v="10"/>
    <n v="5"/>
    <n v="2025"/>
    <x v="9"/>
    <s v="Q4"/>
    <x v="1"/>
  </r>
  <r>
    <s v="O104337"/>
    <x v="428"/>
    <x v="3"/>
    <x v="2"/>
    <x v="1"/>
    <x v="2"/>
    <n v="5"/>
    <n v="1140559"/>
    <d v="2025-09-21T00:00:00"/>
    <n v="9"/>
    <n v="21"/>
    <n v="2025"/>
    <x v="1"/>
    <s v="Q3"/>
    <x v="1"/>
  </r>
  <r>
    <s v="O107320"/>
    <x v="762"/>
    <x v="9"/>
    <x v="3"/>
    <x v="0"/>
    <x v="3"/>
    <n v="6"/>
    <n v="1139995"/>
    <d v="2026-03-21T00:00:00"/>
    <n v="3"/>
    <n v="21"/>
    <n v="2026"/>
    <x v="5"/>
    <s v="Q1"/>
    <x v="0"/>
  </r>
  <r>
    <s v="O102183"/>
    <x v="229"/>
    <x v="10"/>
    <x v="0"/>
    <x v="1"/>
    <x v="1"/>
    <n v="3"/>
    <n v="1138249"/>
    <d v="2025-05-13T00:00:00"/>
    <n v="5"/>
    <n v="13"/>
    <n v="2025"/>
    <x v="3"/>
    <s v="Q2"/>
    <x v="1"/>
  </r>
  <r>
    <s v="O106102"/>
    <x v="384"/>
    <x v="2"/>
    <x v="4"/>
    <x v="3"/>
    <x v="3"/>
    <n v="7"/>
    <n v="1138145"/>
    <d v="2026-06-01T00:00:00"/>
    <n v="6"/>
    <n v="1"/>
    <n v="2026"/>
    <x v="2"/>
    <s v="Q2"/>
    <x v="3"/>
  </r>
  <r>
    <s v="O104626"/>
    <x v="424"/>
    <x v="8"/>
    <x v="2"/>
    <x v="2"/>
    <x v="0"/>
    <n v="4"/>
    <n v="1137807"/>
    <d v="2025-08-10T00:00:00"/>
    <n v="8"/>
    <n v="10"/>
    <n v="2025"/>
    <x v="8"/>
    <s v="Q3"/>
    <x v="2"/>
  </r>
  <r>
    <s v="O104017"/>
    <x v="700"/>
    <x v="8"/>
    <x v="5"/>
    <x v="2"/>
    <x v="1"/>
    <n v="9"/>
    <n v="1137405"/>
    <d v="2025-01-09T00:00:00"/>
    <n v="1"/>
    <n v="9"/>
    <n v="2025"/>
    <x v="6"/>
    <s v="Q1"/>
    <x v="2"/>
  </r>
  <r>
    <s v="O106016"/>
    <x v="249"/>
    <x v="1"/>
    <x v="4"/>
    <x v="4"/>
    <x v="3"/>
    <n v="6"/>
    <n v="1137277"/>
    <d v="2026-01-01T00:00:00"/>
    <n v="1"/>
    <n v="1"/>
    <n v="2026"/>
    <x v="6"/>
    <s v="Q1"/>
    <x v="4"/>
  </r>
  <r>
    <s v="O103641"/>
    <x v="794"/>
    <x v="2"/>
    <x v="0"/>
    <x v="0"/>
    <x v="3"/>
    <n v="3"/>
    <n v="1137229"/>
    <d v="2025-10-08T00:00:00"/>
    <n v="10"/>
    <n v="8"/>
    <n v="2025"/>
    <x v="9"/>
    <s v="Q4"/>
    <x v="0"/>
  </r>
  <r>
    <s v="O102477"/>
    <x v="713"/>
    <x v="2"/>
    <x v="0"/>
    <x v="4"/>
    <x v="1"/>
    <n v="3"/>
    <n v="1136645"/>
    <d v="2025-05-31T00:00:00"/>
    <n v="5"/>
    <n v="31"/>
    <n v="2025"/>
    <x v="3"/>
    <s v="Q2"/>
    <x v="4"/>
  </r>
  <r>
    <s v="O109349"/>
    <x v="152"/>
    <x v="9"/>
    <x v="2"/>
    <x v="4"/>
    <x v="2"/>
    <n v="4"/>
    <n v="1135154"/>
    <d v="2026-07-22T00:00:00"/>
    <n v="7"/>
    <n v="22"/>
    <n v="2026"/>
    <x v="10"/>
    <s v="Q3"/>
    <x v="4"/>
  </r>
  <r>
    <s v="O106383"/>
    <x v="500"/>
    <x v="1"/>
    <x v="0"/>
    <x v="1"/>
    <x v="2"/>
    <n v="3"/>
    <n v="1134681"/>
    <d v="2026-01-23T00:00:00"/>
    <n v="1"/>
    <n v="23"/>
    <n v="2026"/>
    <x v="6"/>
    <s v="Q1"/>
    <x v="1"/>
  </r>
  <r>
    <s v="O104551"/>
    <x v="241"/>
    <x v="1"/>
    <x v="3"/>
    <x v="2"/>
    <x v="0"/>
    <n v="6"/>
    <n v="1134203"/>
    <d v="2025-04-10T00:00:00"/>
    <n v="4"/>
    <n v="10"/>
    <n v="2025"/>
    <x v="11"/>
    <s v="Q2"/>
    <x v="2"/>
  </r>
  <r>
    <s v="O107716"/>
    <x v="176"/>
    <x v="1"/>
    <x v="3"/>
    <x v="1"/>
    <x v="0"/>
    <n v="5"/>
    <n v="1133728"/>
    <d v="2026-04-14T00:00:00"/>
    <n v="4"/>
    <n v="14"/>
    <n v="2026"/>
    <x v="11"/>
    <s v="Q2"/>
    <x v="1"/>
  </r>
  <r>
    <s v="O109452"/>
    <x v="36"/>
    <x v="9"/>
    <x v="2"/>
    <x v="3"/>
    <x v="2"/>
    <n v="4"/>
    <n v="1133680"/>
    <d v="2026-07-29T00:00:00"/>
    <n v="7"/>
    <n v="29"/>
    <n v="2026"/>
    <x v="10"/>
    <s v="Q3"/>
    <x v="3"/>
  </r>
  <r>
    <s v="O103897"/>
    <x v="339"/>
    <x v="0"/>
    <x v="0"/>
    <x v="1"/>
    <x v="3"/>
    <n v="3"/>
    <n v="1133673"/>
    <d v="2025-08-25T00:00:00"/>
    <n v="8"/>
    <n v="25"/>
    <n v="2025"/>
    <x v="8"/>
    <s v="Q3"/>
    <x v="1"/>
  </r>
  <r>
    <s v="O106204"/>
    <x v="588"/>
    <x v="5"/>
    <x v="2"/>
    <x v="1"/>
    <x v="0"/>
    <n v="4"/>
    <n v="1132407"/>
    <d v="2026-12-01T00:00:00"/>
    <n v="12"/>
    <n v="1"/>
    <n v="2026"/>
    <x v="7"/>
    <s v="Q4"/>
    <x v="1"/>
  </r>
  <r>
    <s v="O105577"/>
    <x v="334"/>
    <x v="5"/>
    <x v="2"/>
    <x v="3"/>
    <x v="3"/>
    <n v="5"/>
    <n v="1132383"/>
    <d v="2025-05-12T00:00:00"/>
    <n v="5"/>
    <n v="12"/>
    <n v="2025"/>
    <x v="3"/>
    <s v="Q2"/>
    <x v="3"/>
  </r>
  <r>
    <s v="O105392"/>
    <x v="783"/>
    <x v="9"/>
    <x v="2"/>
    <x v="0"/>
    <x v="1"/>
    <n v="4"/>
    <n v="1132314"/>
    <d v="2025-11-24T00:00:00"/>
    <n v="11"/>
    <n v="24"/>
    <n v="2025"/>
    <x v="0"/>
    <s v="Q4"/>
    <x v="0"/>
  </r>
  <r>
    <s v="O108418"/>
    <x v="55"/>
    <x v="6"/>
    <x v="2"/>
    <x v="0"/>
    <x v="2"/>
    <n v="5"/>
    <n v="1132071"/>
    <d v="2026-05-27T00:00:00"/>
    <n v="5"/>
    <n v="27"/>
    <n v="2026"/>
    <x v="3"/>
    <s v="Q2"/>
    <x v="0"/>
  </r>
  <r>
    <s v="O110319"/>
    <x v="433"/>
    <x v="9"/>
    <x v="4"/>
    <x v="4"/>
    <x v="3"/>
    <n v="7"/>
    <n v="1131822"/>
    <d v="2026-09-19T00:00:00"/>
    <n v="9"/>
    <n v="19"/>
    <n v="2026"/>
    <x v="1"/>
    <s v="Q3"/>
    <x v="4"/>
  </r>
  <r>
    <s v="O102607"/>
    <x v="160"/>
    <x v="8"/>
    <x v="0"/>
    <x v="0"/>
    <x v="0"/>
    <n v="3"/>
    <n v="1131766"/>
    <d v="2025-08-06T00:00:00"/>
    <n v="8"/>
    <n v="6"/>
    <n v="2025"/>
    <x v="8"/>
    <s v="Q3"/>
    <x v="0"/>
  </r>
  <r>
    <s v="O102296"/>
    <x v="666"/>
    <x v="4"/>
    <x v="0"/>
    <x v="4"/>
    <x v="1"/>
    <n v="3"/>
    <n v="1131209"/>
    <d v="2025-05-20T00:00:00"/>
    <n v="5"/>
    <n v="20"/>
    <n v="2025"/>
    <x v="3"/>
    <m/>
    <x v="4"/>
  </r>
  <r>
    <s v="O105710"/>
    <x v="646"/>
    <x v="4"/>
    <x v="5"/>
    <x v="1"/>
    <x v="2"/>
    <n v="10"/>
    <n v="1130782"/>
    <d v="2025-12-13T00:00:00"/>
    <n v="12"/>
    <n v="13"/>
    <n v="2025"/>
    <x v="7"/>
    <s v="Q4"/>
    <x v="1"/>
  </r>
  <r>
    <s v="O102352"/>
    <x v="464"/>
    <x v="8"/>
    <x v="3"/>
    <x v="0"/>
    <x v="0"/>
    <n v="5"/>
    <n v="1130753"/>
    <d v="2025-05-23T00:00:00"/>
    <n v="5"/>
    <n v="23"/>
    <n v="2025"/>
    <x v="3"/>
    <s v="Q2"/>
    <x v="0"/>
  </r>
  <r>
    <s v="O103497"/>
    <x v="738"/>
    <x v="5"/>
    <x v="5"/>
    <x v="0"/>
    <x v="3"/>
    <n v="8"/>
    <n v="1130460"/>
    <d v="2025-01-08T00:00:00"/>
    <n v="1"/>
    <n v="8"/>
    <n v="2025"/>
    <x v="6"/>
    <s v="Q1"/>
    <x v="0"/>
  </r>
  <r>
    <s v="O105218"/>
    <x v="528"/>
    <x v="0"/>
    <x v="4"/>
    <x v="3"/>
    <x v="0"/>
    <n v="7"/>
    <n v="1129877"/>
    <d v="2025-11-13T00:00:00"/>
    <n v="11"/>
    <n v="13"/>
    <n v="2025"/>
    <x v="0"/>
    <s v="Q4"/>
    <x v="3"/>
  </r>
  <r>
    <s v="O111584"/>
    <x v="150"/>
    <x v="10"/>
    <x v="4"/>
    <x v="0"/>
    <x v="1"/>
    <n v="7"/>
    <n v="1128888"/>
    <d v="2026-05-12T00:00:00"/>
    <n v="5"/>
    <n v="12"/>
    <n v="2026"/>
    <x v="3"/>
    <s v="Q2"/>
    <x v="0"/>
  </r>
  <r>
    <s v="O101774"/>
    <x v="485"/>
    <x v="0"/>
    <x v="3"/>
    <x v="3"/>
    <x v="3"/>
    <n v="6"/>
    <n v="1128355"/>
    <d v="2025-04-18T00:00:00"/>
    <n v="4"/>
    <n v="18"/>
    <n v="2025"/>
    <x v="11"/>
    <s v="Q2"/>
    <x v="3"/>
  </r>
  <r>
    <s v="O105755"/>
    <x v="326"/>
    <x v="2"/>
    <x v="3"/>
    <x v="0"/>
    <x v="3"/>
    <n v="5"/>
    <n v="1128200"/>
    <d v="2025-12-16T00:00:00"/>
    <n v="12"/>
    <n v="16"/>
    <n v="2025"/>
    <x v="7"/>
    <s v="Q4"/>
    <x v="0"/>
  </r>
  <r>
    <s v="O103903"/>
    <x v="206"/>
    <x v="3"/>
    <x v="3"/>
    <x v="1"/>
    <x v="1"/>
    <n v="6"/>
    <n v="1128120"/>
    <d v="2025-08-26T00:00:00"/>
    <n v="8"/>
    <n v="26"/>
    <n v="2025"/>
    <x v="8"/>
    <s v="Q3"/>
    <x v="1"/>
  </r>
  <r>
    <s v="O105444"/>
    <x v="637"/>
    <x v="1"/>
    <x v="3"/>
    <x v="1"/>
    <x v="2"/>
    <n v="6"/>
    <n v="1126341"/>
    <d v="2025-11-27T00:00:00"/>
    <n v="11"/>
    <n v="27"/>
    <n v="2025"/>
    <x v="0"/>
    <s v="Q4"/>
    <x v="1"/>
  </r>
  <r>
    <s v="O102529"/>
    <x v="552"/>
    <x v="6"/>
    <x v="0"/>
    <x v="3"/>
    <x v="1"/>
    <n v="3"/>
    <n v="1125886"/>
    <d v="2025-03-06T00:00:00"/>
    <n v="3"/>
    <n v="6"/>
    <n v="2025"/>
    <x v="5"/>
    <s v="Q1"/>
    <x v="3"/>
  </r>
  <r>
    <s v="O106998"/>
    <x v="17"/>
    <x v="6"/>
    <x v="3"/>
    <x v="4"/>
    <x v="2"/>
    <n v="5"/>
    <n v="1125472"/>
    <d v="2026-02-03T00:00:00"/>
    <n v="2"/>
    <n v="3"/>
    <n v="2026"/>
    <x v="4"/>
    <s v="Q1"/>
    <x v="4"/>
  </r>
  <r>
    <s v="O108580"/>
    <x v="298"/>
    <x v="5"/>
    <x v="0"/>
    <x v="2"/>
    <x v="0"/>
    <n v="3"/>
    <n v="1125178"/>
    <d v="2026-06-06T00:00:00"/>
    <n v="6"/>
    <n v="6"/>
    <n v="2026"/>
    <x v="2"/>
    <s v="Q2"/>
    <x v="2"/>
  </r>
  <r>
    <s v="O109135"/>
    <x v="729"/>
    <x v="0"/>
    <x v="4"/>
    <x v="0"/>
    <x v="3"/>
    <n v="7"/>
    <n v="1124974"/>
    <d v="2026-09-07T00:00:00"/>
    <n v="9"/>
    <n v="7"/>
    <n v="2026"/>
    <x v="1"/>
    <s v="Q3"/>
    <x v="0"/>
  </r>
  <r>
    <s v="O111839"/>
    <x v="88"/>
    <x v="0"/>
    <x v="0"/>
    <x v="2"/>
    <x v="2"/>
    <n v="2"/>
    <n v="1124638"/>
    <d v="2026-12-21T00:00:00"/>
    <n v="12"/>
    <n v="21"/>
    <n v="2026"/>
    <x v="7"/>
    <s v="Q4"/>
    <x v="2"/>
  </r>
  <r>
    <s v="O106670"/>
    <x v="195"/>
    <x v="0"/>
    <x v="0"/>
    <x v="3"/>
    <x v="1"/>
    <n v="3"/>
    <n v="1124638"/>
    <d v="2026-10-02T00:00:00"/>
    <n v="10"/>
    <n v="2"/>
    <n v="2026"/>
    <x v="9"/>
    <s v="Q4"/>
    <x v="3"/>
  </r>
  <r>
    <s v="O111141"/>
    <x v="657"/>
    <x v="2"/>
    <x v="4"/>
    <x v="4"/>
    <x v="3"/>
    <n v="6"/>
    <n v="1124514"/>
    <d v="2026-08-11T00:00:00"/>
    <n v="8"/>
    <n v="11"/>
    <n v="2026"/>
    <x v="8"/>
    <s v="Q3"/>
    <x v="4"/>
  </r>
  <r>
    <s v="O110233"/>
    <x v="355"/>
    <x v="6"/>
    <x v="5"/>
    <x v="0"/>
    <x v="0"/>
    <n v="8"/>
    <n v="1124447"/>
    <d v="2026-09-14T00:00:00"/>
    <n v="9"/>
    <n v="14"/>
    <n v="2026"/>
    <x v="1"/>
    <s v="Q3"/>
    <x v="0"/>
  </r>
  <r>
    <s v="O105725"/>
    <x v="355"/>
    <x v="0"/>
    <x v="0"/>
    <x v="4"/>
    <x v="1"/>
    <n v="3"/>
    <n v="1123967"/>
    <d v="2025-12-14T00:00:00"/>
    <n v="12"/>
    <n v="14"/>
    <n v="2025"/>
    <x v="7"/>
    <s v="Q4"/>
    <x v="4"/>
  </r>
  <r>
    <s v="O106535"/>
    <x v="71"/>
    <x v="3"/>
    <x v="0"/>
    <x v="2"/>
    <x v="0"/>
    <n v="2"/>
    <n v="1123842"/>
    <d v="2026-01-02T00:00:00"/>
    <n v="1"/>
    <n v="2"/>
    <n v="2026"/>
    <x v="6"/>
    <s v="Q1"/>
    <x v="2"/>
  </r>
  <r>
    <s v="O100768"/>
    <x v="122"/>
    <x v="9"/>
    <x v="5"/>
    <x v="4"/>
    <x v="3"/>
    <n v="8"/>
    <n v="1123575"/>
    <d v="2025-02-16T00:00:00"/>
    <n v="2"/>
    <n v="16"/>
    <n v="2025"/>
    <x v="4"/>
    <s v="Q1"/>
    <x v="4"/>
  </r>
  <r>
    <s v="O108508"/>
    <x v="335"/>
    <x v="1"/>
    <x v="2"/>
    <x v="1"/>
    <x v="2"/>
    <n v="3"/>
    <n v="1123290"/>
    <d v="2026-01-06T00:00:00"/>
    <n v="1"/>
    <n v="6"/>
    <n v="2026"/>
    <x v="6"/>
    <s v="Q1"/>
    <x v="1"/>
  </r>
  <r>
    <s v="O111624"/>
    <x v="323"/>
    <x v="4"/>
    <x v="0"/>
    <x v="10"/>
    <x v="1"/>
    <n v="3"/>
    <n v="1123245"/>
    <d v="2026-08-12T00:00:00"/>
    <n v="8"/>
    <n v="12"/>
    <n v="2026"/>
    <x v="8"/>
    <s v="Q3"/>
    <x v="1"/>
  </r>
  <r>
    <s v="O102189"/>
    <x v="316"/>
    <x v="10"/>
    <x v="4"/>
    <x v="3"/>
    <x v="2"/>
    <n v="8"/>
    <n v="1122404"/>
    <d v="2025-05-13T00:00:00"/>
    <n v="5"/>
    <n v="13"/>
    <n v="2025"/>
    <x v="3"/>
    <s v="Q2"/>
    <x v="3"/>
  </r>
  <r>
    <s v="O102801"/>
    <x v="41"/>
    <x v="4"/>
    <x v="4"/>
    <x v="1"/>
    <x v="1"/>
    <n v="7"/>
    <n v="1122369"/>
    <d v="2025-06-20T00:00:00"/>
    <n v="6"/>
    <n v="20"/>
    <n v="2025"/>
    <x v="2"/>
    <s v="Q2"/>
    <x v="1"/>
  </r>
  <r>
    <s v="O102405"/>
    <x v="490"/>
    <x v="2"/>
    <x v="2"/>
    <x v="2"/>
    <x v="2"/>
    <n v="3"/>
    <n v="1121808"/>
    <d v="2025-05-27T00:00:00"/>
    <n v="5"/>
    <n v="27"/>
    <n v="2025"/>
    <x v="3"/>
    <s v="Q2"/>
    <x v="2"/>
  </r>
  <r>
    <s v="O108784"/>
    <x v="649"/>
    <x v="8"/>
    <x v="2"/>
    <x v="4"/>
    <x v="2"/>
    <n v="3"/>
    <n v="1121650"/>
    <d v="2026-06-18T00:00:00"/>
    <n v="6"/>
    <n v="18"/>
    <n v="2026"/>
    <x v="2"/>
    <s v="Q2"/>
    <x v="4"/>
  </r>
  <r>
    <s v="O111599"/>
    <x v="707"/>
    <x v="0"/>
    <x v="0"/>
    <x v="0"/>
    <x v="0"/>
    <n v="3"/>
    <n v="1120395"/>
    <d v="2026-06-12T00:00:00"/>
    <n v="6"/>
    <n v="12"/>
    <n v="2026"/>
    <x v="2"/>
    <s v="Q2"/>
    <x v="0"/>
  </r>
  <r>
    <s v="O104201"/>
    <x v="463"/>
    <x v="2"/>
    <x v="5"/>
    <x v="4"/>
    <x v="0"/>
    <n v="8"/>
    <n v="1120041"/>
    <d v="2025-09-13T00:00:00"/>
    <n v="9"/>
    <n v="13"/>
    <n v="2025"/>
    <x v="1"/>
    <s v="Q3"/>
    <x v="4"/>
  </r>
  <r>
    <s v="O100540"/>
    <x v="257"/>
    <x v="6"/>
    <x v="0"/>
    <x v="1"/>
    <x v="2"/>
    <n v="2"/>
    <n v="1119970"/>
    <d v="2025-02-02T00:00:00"/>
    <n v="2"/>
    <n v="2"/>
    <n v="2025"/>
    <x v="4"/>
    <s v="Q1"/>
    <x v="1"/>
  </r>
  <r>
    <s v="O107795"/>
    <x v="222"/>
    <x v="1"/>
    <x v="4"/>
    <x v="1"/>
    <x v="3"/>
    <n v="5"/>
    <n v="1119896"/>
    <d v="2026-04-19T00:00:00"/>
    <n v="4"/>
    <n v="19"/>
    <n v="2026"/>
    <x v="11"/>
    <s v="Q2"/>
    <x v="1"/>
  </r>
  <r>
    <s v="O110675"/>
    <x v="324"/>
    <x v="10"/>
    <x v="0"/>
    <x v="0"/>
    <x v="1"/>
    <n v="3"/>
    <n v="1119717"/>
    <d v="2026-11-10T00:00:00"/>
    <n v="11"/>
    <n v="10"/>
    <n v="2026"/>
    <x v="0"/>
    <m/>
    <x v="0"/>
  </r>
  <r>
    <s v="O101811"/>
    <x v="224"/>
    <x v="9"/>
    <x v="2"/>
    <x v="2"/>
    <x v="2"/>
    <n v="3"/>
    <n v="1119361"/>
    <d v="2025-04-20T00:00:00"/>
    <n v="4"/>
    <n v="20"/>
    <n v="2025"/>
    <x v="11"/>
    <s v="Q2"/>
    <x v="2"/>
  </r>
  <r>
    <s v="O101756"/>
    <x v="310"/>
    <x v="10"/>
    <x v="4"/>
    <x v="0"/>
    <x v="1"/>
    <n v="6"/>
    <n v="1119115"/>
    <d v="2025-04-17T00:00:00"/>
    <n v="4"/>
    <n v="17"/>
    <n v="2025"/>
    <x v="11"/>
    <s v="Q2"/>
    <x v="0"/>
  </r>
  <r>
    <s v="O106344"/>
    <x v="48"/>
    <x v="10"/>
    <x v="5"/>
    <x v="2"/>
    <x v="3"/>
    <n v="10"/>
    <n v="1119017"/>
    <d v="2026-01-21T00:00:00"/>
    <n v="1"/>
    <n v="21"/>
    <n v="2026"/>
    <x v="6"/>
    <s v="Q1"/>
    <x v="2"/>
  </r>
  <r>
    <s v="O110248"/>
    <x v="739"/>
    <x v="5"/>
    <x v="4"/>
    <x v="0"/>
    <x v="0"/>
    <n v="8"/>
    <n v="1118289"/>
    <d v="2026-09-15T00:00:00"/>
    <n v="9"/>
    <n v="15"/>
    <n v="2026"/>
    <x v="1"/>
    <s v="Q3"/>
    <x v="0"/>
  </r>
  <r>
    <s v="O104659"/>
    <x v="389"/>
    <x v="5"/>
    <x v="0"/>
    <x v="1"/>
    <x v="0"/>
    <n v="2"/>
    <n v="1117971"/>
    <d v="2025-10-10T00:00:00"/>
    <n v="10"/>
    <n v="10"/>
    <n v="2025"/>
    <x v="9"/>
    <s v="Q4"/>
    <x v="1"/>
  </r>
  <r>
    <s v="O106475"/>
    <x v="478"/>
    <x v="10"/>
    <x v="4"/>
    <x v="4"/>
    <x v="1"/>
    <n v="7"/>
    <n v="1117803"/>
    <d v="2026-01-29T00:00:00"/>
    <n v="1"/>
    <n v="29"/>
    <n v="2026"/>
    <x v="6"/>
    <s v="Q1"/>
    <x v="4"/>
  </r>
  <r>
    <s v="O101775"/>
    <x v="685"/>
    <x v="0"/>
    <x v="4"/>
    <x v="3"/>
    <x v="0"/>
    <n v="8"/>
    <n v="1117179"/>
    <d v="2025-04-18T00:00:00"/>
    <n v="4"/>
    <n v="18"/>
    <n v="2025"/>
    <x v="11"/>
    <s v="Q2"/>
    <x v="3"/>
  </r>
  <r>
    <s v="O109473"/>
    <x v="266"/>
    <x v="9"/>
    <x v="5"/>
    <x v="3"/>
    <x v="1"/>
    <n v="8"/>
    <n v="1116739"/>
    <d v="2026-07-30T00:00:00"/>
    <n v="7"/>
    <n v="30"/>
    <n v="2026"/>
    <x v="10"/>
    <s v="Q3"/>
    <x v="3"/>
  </r>
  <r>
    <s v="O110103"/>
    <x v="212"/>
    <x v="3"/>
    <x v="3"/>
    <x v="0"/>
    <x v="2"/>
    <n v="5"/>
    <n v="1116569"/>
    <d v="2026-06-09T00:00:00"/>
    <n v="6"/>
    <n v="9"/>
    <n v="2026"/>
    <x v="2"/>
    <s v="Q2"/>
    <x v="0"/>
  </r>
  <r>
    <s v="O101416"/>
    <x v="396"/>
    <x v="10"/>
    <x v="3"/>
    <x v="4"/>
    <x v="3"/>
    <n v="6"/>
    <n v="1116233"/>
    <d v="2025-03-27T00:00:00"/>
    <n v="3"/>
    <n v="27"/>
    <n v="2025"/>
    <x v="5"/>
    <s v="Q1"/>
    <x v="4"/>
  </r>
  <r>
    <s v="O106336"/>
    <x v="305"/>
    <x v="5"/>
    <x v="4"/>
    <x v="2"/>
    <x v="1"/>
    <n v="6"/>
    <n v="1114308"/>
    <d v="2026-01-20T00:00:00"/>
    <n v="1"/>
    <n v="20"/>
    <n v="2026"/>
    <x v="6"/>
    <s v="Q1"/>
    <x v="2"/>
  </r>
  <r>
    <s v="O103043"/>
    <x v="240"/>
    <x v="4"/>
    <x v="0"/>
    <x v="0"/>
    <x v="2"/>
    <n v="3"/>
    <n v="1114178"/>
    <d v="2025-04-07T00:00:00"/>
    <n v="4"/>
    <n v="7"/>
    <n v="2025"/>
    <x v="11"/>
    <s v="Q2"/>
    <x v="0"/>
  </r>
  <r>
    <s v="O108276"/>
    <x v="346"/>
    <x v="0"/>
    <x v="4"/>
    <x v="0"/>
    <x v="0"/>
    <n v="6"/>
    <n v="1114106"/>
    <d v="2026-05-18T00:00:00"/>
    <n v="5"/>
    <n v="18"/>
    <n v="2026"/>
    <x v="3"/>
    <m/>
    <x v="0"/>
  </r>
  <r>
    <s v="O102046"/>
    <x v="489"/>
    <x v="4"/>
    <x v="4"/>
    <x v="4"/>
    <x v="1"/>
    <n v="8"/>
    <n v="1113795"/>
    <d v="2025-05-05T00:00:00"/>
    <n v="5"/>
    <n v="5"/>
    <n v="2025"/>
    <x v="3"/>
    <s v="Q2"/>
    <x v="4"/>
  </r>
  <r>
    <s v="O109166"/>
    <x v="757"/>
    <x v="10"/>
    <x v="5"/>
    <x v="3"/>
    <x v="1"/>
    <n v="10"/>
    <n v="1113794"/>
    <d v="2026-11-07T00:00:00"/>
    <n v="11"/>
    <n v="7"/>
    <n v="2026"/>
    <x v="0"/>
    <s v="Q4"/>
    <x v="3"/>
  </r>
  <r>
    <s v="O106118"/>
    <x v="35"/>
    <x v="6"/>
    <x v="3"/>
    <x v="3"/>
    <x v="2"/>
    <n v="5"/>
    <n v="1113640"/>
    <d v="2026-07-01T00:00:00"/>
    <n v="7"/>
    <n v="1"/>
    <n v="2026"/>
    <x v="10"/>
    <s v="Q3"/>
    <x v="3"/>
  </r>
  <r>
    <s v="O111712"/>
    <x v="241"/>
    <x v="9"/>
    <x v="0"/>
    <x v="0"/>
    <x v="3"/>
    <n v="2"/>
    <n v="1113120"/>
    <d v="2026-12-13T00:00:00"/>
    <n v="12"/>
    <n v="13"/>
    <n v="2026"/>
    <x v="7"/>
    <s v="Q4"/>
    <x v="0"/>
  </r>
  <r>
    <s v="O101031"/>
    <x v="624"/>
    <x v="1"/>
    <x v="0"/>
    <x v="1"/>
    <x v="2"/>
    <n v="2"/>
    <n v="1112671"/>
    <d v="2025-04-03T00:00:00"/>
    <n v="4"/>
    <n v="3"/>
    <n v="2025"/>
    <x v="11"/>
    <s v="Q2"/>
    <x v="1"/>
  </r>
  <r>
    <s v="O109666"/>
    <x v="159"/>
    <x v="2"/>
    <x v="4"/>
    <x v="4"/>
    <x v="2"/>
    <n v="5"/>
    <n v="1112556"/>
    <d v="2026-11-08T00:00:00"/>
    <n v="11"/>
    <n v="8"/>
    <n v="2026"/>
    <x v="0"/>
    <s v="Q4"/>
    <x v="4"/>
  </r>
  <r>
    <s v="O110715"/>
    <x v="390"/>
    <x v="10"/>
    <x v="3"/>
    <x v="0"/>
    <x v="1"/>
    <n v="6"/>
    <n v="1112391"/>
    <d v="2026-10-13T00:00:00"/>
    <n v="10"/>
    <n v="13"/>
    <n v="2026"/>
    <x v="9"/>
    <s v="Q4"/>
    <x v="0"/>
  </r>
  <r>
    <s v="O111821"/>
    <x v="329"/>
    <x v="10"/>
    <x v="3"/>
    <x v="3"/>
    <x v="3"/>
    <n v="5"/>
    <n v="1111728"/>
    <d v="2026-12-20T00:00:00"/>
    <n v="12"/>
    <n v="20"/>
    <n v="2026"/>
    <x v="7"/>
    <s v="Q4"/>
    <x v="3"/>
  </r>
  <r>
    <s v="O110718"/>
    <x v="751"/>
    <x v="9"/>
    <x v="0"/>
    <x v="1"/>
    <x v="2"/>
    <n v="3"/>
    <n v="1111618"/>
    <d v="2026-10-14T00:00:00"/>
    <n v="10"/>
    <n v="14"/>
    <n v="2026"/>
    <x v="9"/>
    <s v="Q4"/>
    <x v="1"/>
  </r>
  <r>
    <s v="O102511"/>
    <x v="124"/>
    <x v="5"/>
    <x v="0"/>
    <x v="3"/>
    <x v="1"/>
    <n v="2"/>
    <n v="1111168"/>
    <d v="2025-02-06T00:00:00"/>
    <n v="2"/>
    <n v="6"/>
    <n v="2025"/>
    <x v="4"/>
    <s v="Q1"/>
    <x v="3"/>
  </r>
  <r>
    <s v="O100708"/>
    <x v="362"/>
    <x v="3"/>
    <x v="4"/>
    <x v="2"/>
    <x v="1"/>
    <n v="5"/>
    <n v="1110152"/>
    <d v="2025-12-02T00:00:00"/>
    <n v="12"/>
    <n v="2"/>
    <n v="2025"/>
    <x v="7"/>
    <s v="Q4"/>
    <x v="2"/>
  </r>
  <r>
    <s v="O101408"/>
    <x v="452"/>
    <x v="5"/>
    <x v="4"/>
    <x v="3"/>
    <x v="0"/>
    <n v="7"/>
    <n v="1109855"/>
    <d v="2025-03-27T00:00:00"/>
    <n v="3"/>
    <n v="27"/>
    <n v="2025"/>
    <x v="5"/>
    <s v="Q1"/>
    <x v="3"/>
  </r>
  <r>
    <s v="O108640"/>
    <x v="557"/>
    <x v="1"/>
    <x v="2"/>
    <x v="1"/>
    <x v="1"/>
    <n v="3"/>
    <n v="1109690"/>
    <d v="2026-09-06T00:00:00"/>
    <n v="9"/>
    <n v="6"/>
    <n v="2026"/>
    <x v="1"/>
    <s v="Q3"/>
    <x v="1"/>
  </r>
  <r>
    <s v="O102193"/>
    <x v="631"/>
    <x v="4"/>
    <x v="2"/>
    <x v="2"/>
    <x v="4"/>
    <n v="4"/>
    <n v="1109215"/>
    <d v="2025-05-14T00:00:00"/>
    <n v="5"/>
    <n v="14"/>
    <n v="2025"/>
    <x v="3"/>
    <s v="Q2"/>
    <x v="2"/>
  </r>
  <r>
    <s v="O109353"/>
    <x v="537"/>
    <x v="10"/>
    <x v="5"/>
    <x v="4"/>
    <x v="0"/>
    <n v="8"/>
    <n v="1109138"/>
    <d v="2026-07-23T00:00:00"/>
    <n v="7"/>
    <n v="23"/>
    <n v="2026"/>
    <x v="10"/>
    <s v="Q3"/>
    <x v="4"/>
  </r>
  <r>
    <s v="O100128"/>
    <x v="662"/>
    <x v="0"/>
    <x v="5"/>
    <x v="3"/>
    <x v="1"/>
    <n v="8"/>
    <n v="1108568"/>
    <d v="2025-08-01T00:00:00"/>
    <n v="8"/>
    <n v="1"/>
    <n v="2025"/>
    <x v="8"/>
    <s v="Q3"/>
    <x v="3"/>
  </r>
  <r>
    <s v="O100695"/>
    <x v="49"/>
    <x v="1"/>
    <x v="0"/>
    <x v="1"/>
    <x v="3"/>
    <n v="3"/>
    <n v="1108002"/>
    <d v="2025-12-02T00:00:00"/>
    <n v="12"/>
    <n v="2"/>
    <n v="2025"/>
    <x v="7"/>
    <s v="Q4"/>
    <x v="1"/>
  </r>
  <r>
    <s v="O100379"/>
    <x v="332"/>
    <x v="8"/>
    <x v="5"/>
    <x v="0"/>
    <x v="2"/>
    <n v="9"/>
    <n v="1107986"/>
    <d v="2025-01-23T00:00:00"/>
    <n v="1"/>
    <n v="23"/>
    <n v="2025"/>
    <x v="6"/>
    <s v="Q1"/>
    <x v="0"/>
  </r>
  <r>
    <s v="O102699"/>
    <x v="566"/>
    <x v="3"/>
    <x v="4"/>
    <x v="1"/>
    <x v="3"/>
    <n v="7"/>
    <n v="1107665"/>
    <d v="2025-06-13T00:00:00"/>
    <n v="6"/>
    <n v="13"/>
    <n v="2025"/>
    <x v="2"/>
    <s v="Q2"/>
    <x v="1"/>
  </r>
  <r>
    <s v="O106470"/>
    <x v="379"/>
    <x v="0"/>
    <x v="4"/>
    <x v="0"/>
    <x v="2"/>
    <n v="7"/>
    <n v="1107646"/>
    <d v="2026-01-29T00:00:00"/>
    <n v="1"/>
    <n v="29"/>
    <n v="2026"/>
    <x v="6"/>
    <s v="Q1"/>
    <x v="0"/>
  </r>
  <r>
    <s v="O107624"/>
    <x v="529"/>
    <x v="9"/>
    <x v="4"/>
    <x v="2"/>
    <x v="2"/>
    <n v="6"/>
    <n v="1107218"/>
    <d v="2026-09-04T00:00:00"/>
    <n v="9"/>
    <n v="4"/>
    <n v="2026"/>
    <x v="1"/>
    <s v="Q3"/>
    <x v="2"/>
  </r>
  <r>
    <s v="O106144"/>
    <x v="93"/>
    <x v="3"/>
    <x v="5"/>
    <x v="1"/>
    <x v="3"/>
    <n v="8"/>
    <n v="1107144"/>
    <d v="2026-09-01T00:00:00"/>
    <n v="9"/>
    <n v="1"/>
    <n v="2026"/>
    <x v="1"/>
    <s v="Q3"/>
    <x v="1"/>
  </r>
  <r>
    <s v="O103257"/>
    <x v="644"/>
    <x v="8"/>
    <x v="4"/>
    <x v="0"/>
    <x v="2"/>
    <n v="8"/>
    <n v="1106655"/>
    <d v="2025-07-17T00:00:00"/>
    <n v="7"/>
    <n v="17"/>
    <n v="2025"/>
    <x v="10"/>
    <s v="Q3"/>
    <x v="0"/>
  </r>
  <r>
    <s v="O107282"/>
    <x v="319"/>
    <x v="9"/>
    <x v="0"/>
    <x v="0"/>
    <x v="0"/>
    <n v="2"/>
    <n v="1106479"/>
    <d v="2026-03-19T00:00:00"/>
    <n v="3"/>
    <n v="19"/>
    <n v="2026"/>
    <x v="5"/>
    <s v="Q1"/>
    <x v="0"/>
  </r>
  <r>
    <s v="O109590"/>
    <x v="798"/>
    <x v="10"/>
    <x v="4"/>
    <x v="0"/>
    <x v="0"/>
    <n v="5"/>
    <n v="1106407"/>
    <d v="2026-06-08T00:00:00"/>
    <n v="6"/>
    <n v="8"/>
    <n v="2026"/>
    <x v="2"/>
    <s v="Q2"/>
    <x v="0"/>
  </r>
  <r>
    <s v="O109362"/>
    <x v="146"/>
    <x v="10"/>
    <x v="5"/>
    <x v="1"/>
    <x v="3"/>
    <n v="9"/>
    <n v="1106055"/>
    <d v="2026-07-23T00:00:00"/>
    <n v="7"/>
    <n v="23"/>
    <n v="2026"/>
    <x v="10"/>
    <s v="Q3"/>
    <x v="1"/>
  </r>
  <r>
    <s v="O106616"/>
    <x v="405"/>
    <x v="1"/>
    <x v="4"/>
    <x v="2"/>
    <x v="0"/>
    <n v="7"/>
    <n v="1105945"/>
    <d v="2026-06-02T00:00:00"/>
    <n v="6"/>
    <n v="2"/>
    <n v="2026"/>
    <x v="2"/>
    <s v="Q2"/>
    <x v="2"/>
  </r>
  <r>
    <s v="O103862"/>
    <x v="435"/>
    <x v="2"/>
    <x v="2"/>
    <x v="4"/>
    <x v="1"/>
    <n v="3"/>
    <n v="1105654"/>
    <d v="2025-08-23T00:00:00"/>
    <n v="8"/>
    <n v="23"/>
    <n v="2025"/>
    <x v="8"/>
    <s v="Q3"/>
    <x v="4"/>
  </r>
  <r>
    <s v="O110223"/>
    <x v="175"/>
    <x v="0"/>
    <x v="3"/>
    <x v="3"/>
    <x v="3"/>
    <n v="6"/>
    <n v="1104998"/>
    <d v="2026-09-14T00:00:00"/>
    <n v="9"/>
    <n v="14"/>
    <n v="2026"/>
    <x v="1"/>
    <s v="Q3"/>
    <x v="3"/>
  </r>
  <r>
    <s v="O111705"/>
    <x v="547"/>
    <x v="9"/>
    <x v="0"/>
    <x v="0"/>
    <x v="2"/>
    <n v="2"/>
    <n v="1104858"/>
    <d v="2026-12-13T00:00:00"/>
    <n v="12"/>
    <n v="13"/>
    <n v="2026"/>
    <x v="7"/>
    <s v="Q4"/>
    <x v="0"/>
  </r>
  <r>
    <s v="O111687"/>
    <x v="661"/>
    <x v="1"/>
    <x v="0"/>
    <x v="0"/>
    <x v="3"/>
    <n v="2"/>
    <n v="1104450"/>
    <d v="2026-11-12T00:00:00"/>
    <n v="11"/>
    <n v="12"/>
    <n v="2026"/>
    <x v="0"/>
    <s v="Q4"/>
    <x v="0"/>
  </r>
  <r>
    <s v="O101802"/>
    <x v="765"/>
    <x v="0"/>
    <x v="4"/>
    <x v="2"/>
    <x v="2"/>
    <n v="6"/>
    <n v="1104448"/>
    <d v="2025-04-20T00:00:00"/>
    <n v="4"/>
    <n v="20"/>
    <n v="2025"/>
    <x v="11"/>
    <s v="Q2"/>
    <x v="2"/>
  </r>
  <r>
    <s v="O108654"/>
    <x v="679"/>
    <x v="4"/>
    <x v="2"/>
    <x v="2"/>
    <x v="3"/>
    <n v="3"/>
    <n v="1104054"/>
    <d v="2026-10-06T00:00:00"/>
    <n v="10"/>
    <n v="6"/>
    <n v="2026"/>
    <x v="9"/>
    <s v="Q4"/>
    <x v="2"/>
  </r>
  <r>
    <s v="O110091"/>
    <x v="779"/>
    <x v="6"/>
    <x v="0"/>
    <x v="4"/>
    <x v="3"/>
    <n v="3"/>
    <n v="1104022"/>
    <d v="2026-06-09T00:00:00"/>
    <n v="6"/>
    <n v="9"/>
    <n v="2026"/>
    <x v="2"/>
    <s v="Q2"/>
    <x v="4"/>
  </r>
  <r>
    <s v="O110764"/>
    <x v="160"/>
    <x v="0"/>
    <x v="0"/>
    <x v="3"/>
    <x v="3"/>
    <n v="3"/>
    <n v="1103989"/>
    <d v="2026-10-16T00:00:00"/>
    <n v="10"/>
    <n v="16"/>
    <n v="2026"/>
    <x v="9"/>
    <s v="Q4"/>
    <x v="3"/>
  </r>
  <r>
    <s v="O106785"/>
    <x v="242"/>
    <x v="4"/>
    <x v="4"/>
    <x v="4"/>
    <x v="1"/>
    <n v="8"/>
    <n v="1103866"/>
    <d v="2026-02-17T00:00:00"/>
    <n v="2"/>
    <n v="17"/>
    <n v="2026"/>
    <x v="4"/>
    <s v="Q1"/>
    <x v="4"/>
  </r>
  <r>
    <s v="O104817"/>
    <x v="432"/>
    <x v="3"/>
    <x v="5"/>
    <x v="1"/>
    <x v="2"/>
    <n v="9"/>
    <n v="1103030"/>
    <d v="2025-10-20T00:00:00"/>
    <n v="10"/>
    <n v="20"/>
    <n v="2025"/>
    <x v="9"/>
    <s v="Q4"/>
    <x v="1"/>
  </r>
  <r>
    <s v="O110085"/>
    <x v="64"/>
    <x v="2"/>
    <x v="0"/>
    <x v="1"/>
    <x v="2"/>
    <n v="2"/>
    <n v="1102885"/>
    <d v="2026-05-09T00:00:00"/>
    <n v="5"/>
    <n v="9"/>
    <n v="2026"/>
    <x v="3"/>
    <s v="Q2"/>
    <x v="1"/>
  </r>
  <r>
    <s v="O102894"/>
    <x v="752"/>
    <x v="10"/>
    <x v="2"/>
    <x v="1"/>
    <x v="3"/>
    <n v="3"/>
    <n v="1102567"/>
    <d v="2025-06-25T00:00:00"/>
    <n v="6"/>
    <n v="25"/>
    <n v="2025"/>
    <x v="2"/>
    <s v="Q2"/>
    <x v="1"/>
  </r>
  <r>
    <s v="O110379"/>
    <x v="567"/>
    <x v="2"/>
    <x v="5"/>
    <x v="3"/>
    <x v="1"/>
    <n v="10"/>
    <n v="1101702"/>
    <d v="2026-09-23T00:00:00"/>
    <n v="9"/>
    <n v="23"/>
    <n v="2026"/>
    <x v="1"/>
    <s v="Q3"/>
    <x v="3"/>
  </r>
  <r>
    <s v="O106380"/>
    <x v="440"/>
    <x v="10"/>
    <x v="5"/>
    <x v="2"/>
    <x v="2"/>
    <n v="8"/>
    <n v="1101374"/>
    <d v="2026-01-23T00:00:00"/>
    <n v="1"/>
    <n v="23"/>
    <n v="2026"/>
    <x v="6"/>
    <s v="Q1"/>
    <x v="2"/>
  </r>
  <r>
    <s v="O102515"/>
    <x v="223"/>
    <x v="3"/>
    <x v="2"/>
    <x v="4"/>
    <x v="3"/>
    <n v="3"/>
    <n v="1101272"/>
    <d v="2025-02-06T00:00:00"/>
    <n v="2"/>
    <n v="6"/>
    <n v="2025"/>
    <x v="4"/>
    <s v="Q1"/>
    <x v="4"/>
  </r>
  <r>
    <s v="O102923"/>
    <x v="754"/>
    <x v="4"/>
    <x v="5"/>
    <x v="2"/>
    <x v="0"/>
    <n v="10"/>
    <n v="1101228"/>
    <d v="2025-06-27T00:00:00"/>
    <n v="6"/>
    <n v="27"/>
    <n v="2025"/>
    <x v="2"/>
    <s v="Q2"/>
    <x v="2"/>
  </r>
  <r>
    <s v="O105721"/>
    <x v="578"/>
    <x v="1"/>
    <x v="0"/>
    <x v="1"/>
    <x v="1"/>
    <n v="2"/>
    <n v="1100786"/>
    <d v="2025-12-14T00:00:00"/>
    <n v="12"/>
    <n v="14"/>
    <n v="2025"/>
    <x v="7"/>
    <s v="Q4"/>
    <x v="1"/>
  </r>
  <r>
    <s v="O102810"/>
    <x v="169"/>
    <x v="6"/>
    <x v="4"/>
    <x v="1"/>
    <x v="0"/>
    <n v="7"/>
    <n v="1100727"/>
    <d v="2025-06-20T00:00:00"/>
    <n v="6"/>
    <n v="20"/>
    <n v="2025"/>
    <x v="2"/>
    <m/>
    <x v="1"/>
  </r>
  <r>
    <s v="O104815"/>
    <x v="743"/>
    <x v="10"/>
    <x v="4"/>
    <x v="1"/>
    <x v="0"/>
    <n v="7"/>
    <n v="1100646"/>
    <d v="2025-10-20T00:00:00"/>
    <n v="10"/>
    <n v="20"/>
    <n v="2025"/>
    <x v="9"/>
    <s v="Q4"/>
    <x v="1"/>
  </r>
  <r>
    <s v="O106104"/>
    <x v="126"/>
    <x v="9"/>
    <x v="5"/>
    <x v="4"/>
    <x v="1"/>
    <n v="8"/>
    <n v="1100508"/>
    <d v="2026-06-01T00:00:00"/>
    <n v="6"/>
    <n v="1"/>
    <n v="2026"/>
    <x v="2"/>
    <s v="Q2"/>
    <x v="4"/>
  </r>
  <r>
    <s v="O100558"/>
    <x v="332"/>
    <x v="1"/>
    <x v="0"/>
    <x v="3"/>
    <x v="2"/>
    <n v="2"/>
    <n v="1100448"/>
    <d v="2025-03-02T00:00:00"/>
    <n v="3"/>
    <n v="2"/>
    <n v="2025"/>
    <x v="5"/>
    <s v="Q1"/>
    <x v="3"/>
  </r>
  <r>
    <s v="O103282"/>
    <x v="17"/>
    <x v="9"/>
    <x v="0"/>
    <x v="3"/>
    <x v="2"/>
    <n v="2"/>
    <n v="1098796"/>
    <d v="2025-07-19T00:00:00"/>
    <n v="7"/>
    <n v="19"/>
    <n v="2025"/>
    <x v="10"/>
    <s v="Q3"/>
    <x v="3"/>
  </r>
  <r>
    <s v="O108675"/>
    <x v="10"/>
    <x v="0"/>
    <x v="0"/>
    <x v="2"/>
    <x v="2"/>
    <n v="2"/>
    <n v="1098511"/>
    <d v="2026-11-06T00:00:00"/>
    <n v="11"/>
    <n v="6"/>
    <n v="2026"/>
    <x v="0"/>
    <s v="Q4"/>
    <x v="2"/>
  </r>
  <r>
    <s v="O105679"/>
    <x v="629"/>
    <x v="9"/>
    <x v="4"/>
    <x v="2"/>
    <x v="2"/>
    <n v="8"/>
    <n v="1098476"/>
    <d v="2025-11-12T00:00:00"/>
    <n v="11"/>
    <n v="12"/>
    <n v="2025"/>
    <x v="0"/>
    <s v="Q4"/>
    <x v="2"/>
  </r>
  <r>
    <s v="O108568"/>
    <x v="427"/>
    <x v="1"/>
    <x v="5"/>
    <x v="0"/>
    <x v="1"/>
    <n v="10"/>
    <n v="1098385"/>
    <d v="2026-05-06T00:00:00"/>
    <n v="5"/>
    <n v="6"/>
    <n v="2026"/>
    <x v="3"/>
    <s v="Q2"/>
    <x v="0"/>
  </r>
  <r>
    <s v="O104485"/>
    <x v="539"/>
    <x v="1"/>
    <x v="0"/>
    <x v="1"/>
    <x v="3"/>
    <n v="2"/>
    <n v="1098251"/>
    <d v="2025-09-30T00:00:00"/>
    <n v="9"/>
    <n v="30"/>
    <n v="2025"/>
    <x v="1"/>
    <s v="Q3"/>
    <x v="1"/>
  </r>
  <r>
    <s v="O109394"/>
    <x v="396"/>
    <x v="0"/>
    <x v="4"/>
    <x v="1"/>
    <x v="3"/>
    <n v="5"/>
    <n v="1098218"/>
    <d v="2026-07-25T00:00:00"/>
    <n v="7"/>
    <n v="25"/>
    <n v="2026"/>
    <x v="10"/>
    <s v="Q3"/>
    <x v="1"/>
  </r>
  <r>
    <s v="O107551"/>
    <x v="587"/>
    <x v="5"/>
    <x v="3"/>
    <x v="0"/>
    <x v="1"/>
    <n v="4"/>
    <n v="1098118"/>
    <d v="2026-04-04T00:00:00"/>
    <n v="4"/>
    <n v="4"/>
    <n v="2026"/>
    <x v="11"/>
    <m/>
    <x v="0"/>
  </r>
  <r>
    <s v="O103542"/>
    <x v="9"/>
    <x v="1"/>
    <x v="4"/>
    <x v="3"/>
    <x v="3"/>
    <n v="5"/>
    <n v="1098098"/>
    <d v="2025-04-08T00:00:00"/>
    <n v="4"/>
    <n v="8"/>
    <n v="2025"/>
    <x v="11"/>
    <s v="Q2"/>
    <x v="3"/>
  </r>
  <r>
    <s v="O106675"/>
    <x v="428"/>
    <x v="8"/>
    <x v="0"/>
    <x v="0"/>
    <x v="3"/>
    <n v="3"/>
    <n v="1097933"/>
    <d v="2026-10-02T00:00:00"/>
    <n v="10"/>
    <n v="2"/>
    <n v="2026"/>
    <x v="9"/>
    <s v="Q4"/>
    <x v="0"/>
  </r>
  <r>
    <s v="O103555"/>
    <x v="634"/>
    <x v="8"/>
    <x v="0"/>
    <x v="2"/>
    <x v="2"/>
    <n v="2"/>
    <n v="1097649"/>
    <d v="2025-04-08T00:00:00"/>
    <n v="4"/>
    <n v="8"/>
    <n v="2025"/>
    <x v="11"/>
    <s v="Q2"/>
    <x v="2"/>
  </r>
  <r>
    <s v="O106661"/>
    <x v="58"/>
    <x v="9"/>
    <x v="2"/>
    <x v="2"/>
    <x v="1"/>
    <n v="4"/>
    <n v="1097600"/>
    <d v="2026-09-02T00:00:00"/>
    <n v="9"/>
    <n v="2"/>
    <n v="2026"/>
    <x v="1"/>
    <s v="Q3"/>
    <x v="2"/>
  </r>
  <r>
    <s v="O103993"/>
    <x v="243"/>
    <x v="5"/>
    <x v="4"/>
    <x v="0"/>
    <x v="3"/>
    <n v="7"/>
    <n v="1097500"/>
    <d v="2025-08-31T00:00:00"/>
    <n v="8"/>
    <n v="31"/>
    <n v="2025"/>
    <x v="8"/>
    <s v="Q3"/>
    <x v="0"/>
  </r>
  <r>
    <s v="O103366"/>
    <x v="306"/>
    <x v="5"/>
    <x v="2"/>
    <x v="4"/>
    <x v="2"/>
    <n v="3"/>
    <n v="1097295"/>
    <d v="2025-07-24T00:00:00"/>
    <n v="7"/>
    <n v="24"/>
    <n v="2025"/>
    <x v="10"/>
    <s v="Q3"/>
    <x v="4"/>
  </r>
  <r>
    <s v="O111641"/>
    <x v="541"/>
    <x v="2"/>
    <x v="3"/>
    <x v="2"/>
    <x v="0"/>
    <n v="4"/>
    <n v="1097268"/>
    <d v="2026-09-12T00:00:00"/>
    <n v="9"/>
    <n v="12"/>
    <n v="2026"/>
    <x v="1"/>
    <s v="Q3"/>
    <x v="2"/>
  </r>
  <r>
    <s v="O103730"/>
    <x v="324"/>
    <x v="6"/>
    <x v="2"/>
    <x v="3"/>
    <x v="1"/>
    <n v="4"/>
    <n v="1096740"/>
    <d v="2025-08-15T00:00:00"/>
    <n v="8"/>
    <n v="15"/>
    <n v="2025"/>
    <x v="8"/>
    <m/>
    <x v="3"/>
  </r>
  <r>
    <s v="O102194"/>
    <x v="338"/>
    <x v="0"/>
    <x v="2"/>
    <x v="2"/>
    <x v="3"/>
    <n v="4"/>
    <n v="1096270"/>
    <d v="2025-05-14T00:00:00"/>
    <n v="5"/>
    <n v="14"/>
    <n v="2025"/>
    <x v="3"/>
    <s v="Q2"/>
    <x v="2"/>
  </r>
  <r>
    <s v="O107536"/>
    <x v="26"/>
    <x v="3"/>
    <x v="4"/>
    <x v="2"/>
    <x v="1"/>
    <n v="6"/>
    <n v="1096174"/>
    <d v="2026-03-04T00:00:00"/>
    <n v="3"/>
    <n v="4"/>
    <n v="2026"/>
    <x v="5"/>
    <s v="Q1"/>
    <x v="2"/>
  </r>
  <r>
    <s v="O107284"/>
    <x v="393"/>
    <x v="3"/>
    <x v="2"/>
    <x v="0"/>
    <x v="1"/>
    <n v="3"/>
    <n v="1095990"/>
    <d v="2026-03-19T00:00:00"/>
    <n v="3"/>
    <n v="19"/>
    <n v="2026"/>
    <x v="5"/>
    <s v="Q1"/>
    <x v="0"/>
  </r>
  <r>
    <s v="O104059"/>
    <x v="626"/>
    <x v="9"/>
    <x v="5"/>
    <x v="0"/>
    <x v="1"/>
    <n v="8"/>
    <n v="1095530"/>
    <d v="2025-04-09T00:00:00"/>
    <n v="4"/>
    <n v="9"/>
    <n v="2025"/>
    <x v="11"/>
    <s v="Q2"/>
    <x v="0"/>
  </r>
  <r>
    <s v="O108595"/>
    <x v="621"/>
    <x v="4"/>
    <x v="4"/>
    <x v="0"/>
    <x v="2"/>
    <n v="5"/>
    <n v="1095284"/>
    <d v="2026-07-06T00:00:00"/>
    <n v="7"/>
    <n v="6"/>
    <n v="2026"/>
    <x v="10"/>
    <s v="Q3"/>
    <x v="0"/>
  </r>
  <r>
    <s v="O108179"/>
    <x v="566"/>
    <x v="5"/>
    <x v="0"/>
    <x v="0"/>
    <x v="1"/>
    <n v="2"/>
    <n v="1094815"/>
    <d v="2026-12-05T00:00:00"/>
    <n v="12"/>
    <n v="5"/>
    <n v="2026"/>
    <x v="7"/>
    <s v="Q4"/>
    <x v="0"/>
  </r>
  <r>
    <s v="O100562"/>
    <x v="45"/>
    <x v="10"/>
    <x v="0"/>
    <x v="3"/>
    <x v="2"/>
    <n v="3"/>
    <n v="1094793"/>
    <d v="2025-04-02T00:00:00"/>
    <n v="4"/>
    <n v="2"/>
    <n v="2025"/>
    <x v="11"/>
    <s v="Q2"/>
    <x v="3"/>
  </r>
  <r>
    <s v="O105922"/>
    <x v="199"/>
    <x v="9"/>
    <x v="3"/>
    <x v="3"/>
    <x v="1"/>
    <n v="4"/>
    <n v="1094399"/>
    <d v="2025-12-26T00:00:00"/>
    <n v="12"/>
    <n v="26"/>
    <n v="2025"/>
    <x v="7"/>
    <s v="Q4"/>
    <x v="3"/>
  </r>
  <r>
    <s v="O101177"/>
    <x v="541"/>
    <x v="8"/>
    <x v="4"/>
    <x v="0"/>
    <x v="3"/>
    <n v="6"/>
    <n v="1094392"/>
    <d v="2025-03-13T00:00:00"/>
    <n v="3"/>
    <n v="13"/>
    <n v="2025"/>
    <x v="5"/>
    <s v="Q1"/>
    <x v="0"/>
  </r>
  <r>
    <s v="O103107"/>
    <x v="624"/>
    <x v="0"/>
    <x v="4"/>
    <x v="4"/>
    <x v="0"/>
    <n v="6"/>
    <n v="1094237"/>
    <d v="2025-08-07T00:00:00"/>
    <n v="8"/>
    <n v="7"/>
    <n v="2025"/>
    <x v="8"/>
    <s v="Q3"/>
    <x v="4"/>
  </r>
  <r>
    <s v="O108808"/>
    <x v="23"/>
    <x v="8"/>
    <x v="4"/>
    <x v="3"/>
    <x v="2"/>
    <n v="6"/>
    <n v="1094051"/>
    <d v="2026-06-20T00:00:00"/>
    <n v="6"/>
    <n v="20"/>
    <n v="2026"/>
    <x v="2"/>
    <s v="Q2"/>
    <x v="3"/>
  </r>
  <r>
    <s v="O101599"/>
    <x v="570"/>
    <x v="6"/>
    <x v="0"/>
    <x v="1"/>
    <x v="0"/>
    <n v="2"/>
    <n v="1093847"/>
    <d v="2025-08-04T00:00:00"/>
    <n v="8"/>
    <n v="4"/>
    <n v="2025"/>
    <x v="8"/>
    <s v="Q3"/>
    <x v="1"/>
  </r>
  <r>
    <s v="O110081"/>
    <x v="793"/>
    <x v="9"/>
    <x v="2"/>
    <x v="4"/>
    <x v="2"/>
    <n v="3"/>
    <n v="1093759"/>
    <d v="2026-05-09T00:00:00"/>
    <n v="5"/>
    <n v="9"/>
    <n v="2026"/>
    <x v="3"/>
    <s v="Q2"/>
    <x v="4"/>
  </r>
  <r>
    <s v="O110063"/>
    <x v="266"/>
    <x v="1"/>
    <x v="2"/>
    <x v="1"/>
    <x v="1"/>
    <n v="4"/>
    <n v="1093594"/>
    <d v="2026-04-09T00:00:00"/>
    <n v="4"/>
    <n v="9"/>
    <n v="2026"/>
    <x v="11"/>
    <s v="Q2"/>
    <x v="1"/>
  </r>
  <r>
    <s v="O109028"/>
    <x v="624"/>
    <x v="1"/>
    <x v="0"/>
    <x v="4"/>
    <x v="0"/>
    <n v="2"/>
    <n v="1093462"/>
    <d v="2026-03-07T00:00:00"/>
    <n v="3"/>
    <n v="7"/>
    <n v="2026"/>
    <x v="5"/>
    <s v="Q1"/>
    <x v="4"/>
  </r>
  <r>
    <s v="O106158"/>
    <x v="577"/>
    <x v="3"/>
    <x v="4"/>
    <x v="2"/>
    <x v="0"/>
    <n v="6"/>
    <n v="1092832"/>
    <d v="2026-10-01T00:00:00"/>
    <n v="10"/>
    <n v="1"/>
    <n v="2026"/>
    <x v="9"/>
    <s v="Q4"/>
    <x v="2"/>
  </r>
  <r>
    <s v="O102965"/>
    <x v="687"/>
    <x v="4"/>
    <x v="5"/>
    <x v="1"/>
    <x v="0"/>
    <n v="9"/>
    <n v="1092752"/>
    <d v="2025-06-30T00:00:00"/>
    <n v="6"/>
    <n v="30"/>
    <n v="2025"/>
    <x v="2"/>
    <s v="Q2"/>
    <x v="1"/>
  </r>
  <r>
    <s v="O109123"/>
    <x v="195"/>
    <x v="3"/>
    <x v="2"/>
    <x v="0"/>
    <x v="0"/>
    <n v="3"/>
    <n v="1092650"/>
    <d v="2026-09-07T00:00:00"/>
    <n v="9"/>
    <n v="7"/>
    <n v="2026"/>
    <x v="1"/>
    <s v="Q3"/>
    <x v="0"/>
  </r>
  <r>
    <s v="O106480"/>
    <x v="279"/>
    <x v="8"/>
    <x v="0"/>
    <x v="2"/>
    <x v="2"/>
    <n v="2"/>
    <n v="1092610"/>
    <d v="2026-01-29T00:00:00"/>
    <n v="1"/>
    <n v="29"/>
    <n v="2026"/>
    <x v="6"/>
    <s v="Q1"/>
    <x v="2"/>
  </r>
  <r>
    <s v="O110654"/>
    <x v="296"/>
    <x v="5"/>
    <x v="2"/>
    <x v="2"/>
    <x v="3"/>
    <n v="3"/>
    <n v="1091602"/>
    <d v="2026-10-10T00:00:00"/>
    <n v="10"/>
    <n v="10"/>
    <n v="2026"/>
    <x v="9"/>
    <s v="Q4"/>
    <x v="2"/>
  </r>
  <r>
    <s v="O111860"/>
    <x v="365"/>
    <x v="2"/>
    <x v="4"/>
    <x v="2"/>
    <x v="3"/>
    <n v="5"/>
    <n v="1091541"/>
    <d v="2026-12-22T00:00:00"/>
    <n v="12"/>
    <n v="22"/>
    <n v="2026"/>
    <x v="7"/>
    <s v="Q4"/>
    <x v="2"/>
  </r>
  <r>
    <s v="O111837"/>
    <x v="687"/>
    <x v="0"/>
    <x v="2"/>
    <x v="2"/>
    <x v="1"/>
    <n v="3"/>
    <n v="1091521"/>
    <d v="2026-12-21T00:00:00"/>
    <n v="12"/>
    <n v="21"/>
    <n v="2026"/>
    <x v="7"/>
    <s v="Q4"/>
    <x v="2"/>
  </r>
  <r>
    <s v="O108880"/>
    <x v="5"/>
    <x v="1"/>
    <x v="0"/>
    <x v="4"/>
    <x v="3"/>
    <n v="2"/>
    <n v="1091414"/>
    <d v="2026-06-24T00:00:00"/>
    <n v="6"/>
    <n v="24"/>
    <n v="2026"/>
    <x v="2"/>
    <s v="Q2"/>
    <x v="4"/>
  </r>
  <r>
    <s v="O110080"/>
    <x v="646"/>
    <x v="0"/>
    <x v="3"/>
    <x v="1"/>
    <x v="2"/>
    <n v="4"/>
    <n v="1090543"/>
    <d v="2026-05-09T00:00:00"/>
    <n v="5"/>
    <n v="9"/>
    <n v="2026"/>
    <x v="3"/>
    <s v="Q2"/>
    <x v="1"/>
  </r>
  <r>
    <s v="O111224"/>
    <x v="73"/>
    <x v="3"/>
    <x v="3"/>
    <x v="1"/>
    <x v="0"/>
    <n v="4"/>
    <n v="1090444"/>
    <d v="2026-11-13T00:00:00"/>
    <n v="11"/>
    <n v="13"/>
    <n v="2026"/>
    <x v="0"/>
    <s v="Q4"/>
    <x v="1"/>
  </r>
  <r>
    <s v="O110465"/>
    <x v="147"/>
    <x v="5"/>
    <x v="0"/>
    <x v="0"/>
    <x v="3"/>
    <n v="2"/>
    <n v="1090155"/>
    <d v="2026-09-28T00:00:00"/>
    <n v="9"/>
    <n v="28"/>
    <n v="2026"/>
    <x v="1"/>
    <s v="Q3"/>
    <x v="0"/>
  </r>
  <r>
    <s v="O110130"/>
    <x v="543"/>
    <x v="5"/>
    <x v="2"/>
    <x v="2"/>
    <x v="3"/>
    <n v="3"/>
    <n v="1090150"/>
    <d v="2026-08-09T00:00:00"/>
    <n v="8"/>
    <n v="9"/>
    <n v="2026"/>
    <x v="8"/>
    <s v="Q3"/>
    <x v="2"/>
  </r>
  <r>
    <s v="O100578"/>
    <x v="37"/>
    <x v="6"/>
    <x v="3"/>
    <x v="1"/>
    <x v="3"/>
    <n v="4"/>
    <n v="1089848"/>
    <d v="2025-05-02T00:00:00"/>
    <n v="5"/>
    <n v="2"/>
    <n v="2025"/>
    <x v="3"/>
    <s v="Q2"/>
    <x v="1"/>
  </r>
  <r>
    <s v="O102297"/>
    <x v="352"/>
    <x v="5"/>
    <x v="0"/>
    <x v="2"/>
    <x v="0"/>
    <n v="3"/>
    <n v="1089799"/>
    <d v="2025-05-20T00:00:00"/>
    <n v="5"/>
    <n v="20"/>
    <n v="2025"/>
    <x v="3"/>
    <s v="Q2"/>
    <x v="2"/>
  </r>
  <r>
    <s v="O105936"/>
    <x v="494"/>
    <x v="3"/>
    <x v="4"/>
    <x v="3"/>
    <x v="2"/>
    <n v="8"/>
    <n v="1089733"/>
    <d v="2025-12-27T00:00:00"/>
    <n v="12"/>
    <n v="27"/>
    <n v="2025"/>
    <x v="7"/>
    <s v="Q4"/>
    <x v="3"/>
  </r>
  <r>
    <s v="O109430"/>
    <x v="212"/>
    <x v="9"/>
    <x v="5"/>
    <x v="2"/>
    <x v="1"/>
    <n v="9"/>
    <n v="1089716"/>
    <d v="2026-07-27T00:00:00"/>
    <n v="7"/>
    <n v="27"/>
    <n v="2026"/>
    <x v="10"/>
    <s v="Q3"/>
    <x v="2"/>
  </r>
  <r>
    <s v="O109252"/>
    <x v="617"/>
    <x v="10"/>
    <x v="2"/>
    <x v="0"/>
    <x v="2"/>
    <n v="3"/>
    <n v="1089298"/>
    <d v="2026-07-17T00:00:00"/>
    <n v="7"/>
    <n v="17"/>
    <n v="2026"/>
    <x v="10"/>
    <s v="Q3"/>
    <x v="0"/>
  </r>
  <r>
    <s v="O105918"/>
    <x v="35"/>
    <x v="6"/>
    <x v="2"/>
    <x v="4"/>
    <x v="1"/>
    <n v="4"/>
    <n v="1089216"/>
    <d v="2025-12-26T00:00:00"/>
    <n v="12"/>
    <n v="26"/>
    <n v="2025"/>
    <x v="7"/>
    <s v="Q4"/>
    <x v="4"/>
  </r>
  <r>
    <s v="O103575"/>
    <x v="56"/>
    <x v="3"/>
    <x v="5"/>
    <x v="2"/>
    <x v="0"/>
    <n v="8"/>
    <n v="1088211"/>
    <d v="2025-06-08T00:00:00"/>
    <n v="6"/>
    <n v="8"/>
    <n v="2025"/>
    <x v="2"/>
    <s v="Q2"/>
    <x v="2"/>
  </r>
  <r>
    <s v="O104808"/>
    <x v="192"/>
    <x v="6"/>
    <x v="3"/>
    <x v="4"/>
    <x v="2"/>
    <n v="5"/>
    <n v="1087562"/>
    <d v="2025-10-20T00:00:00"/>
    <n v="10"/>
    <n v="20"/>
    <n v="2025"/>
    <x v="9"/>
    <s v="Q4"/>
    <x v="4"/>
  </r>
  <r>
    <s v="O108547"/>
    <x v="399"/>
    <x v="8"/>
    <x v="4"/>
    <x v="1"/>
    <x v="3"/>
    <n v="6"/>
    <n v="1087474"/>
    <d v="2026-04-06T00:00:00"/>
    <n v="4"/>
    <n v="6"/>
    <n v="2026"/>
    <x v="11"/>
    <s v="Q2"/>
    <x v="1"/>
  </r>
  <r>
    <s v="O108096"/>
    <x v="254"/>
    <x v="9"/>
    <x v="5"/>
    <x v="1"/>
    <x v="2"/>
    <n v="8"/>
    <n v="1087018"/>
    <d v="2026-07-05T00:00:00"/>
    <n v="7"/>
    <n v="5"/>
    <n v="2026"/>
    <x v="10"/>
    <s v="Q3"/>
    <x v="1"/>
  </r>
  <r>
    <s v="O108251"/>
    <x v="603"/>
    <x v="9"/>
    <x v="3"/>
    <x v="2"/>
    <x v="3"/>
    <n v="5"/>
    <n v="1087003"/>
    <d v="2026-05-17T00:00:00"/>
    <n v="5"/>
    <n v="17"/>
    <n v="2026"/>
    <x v="3"/>
    <s v="Q2"/>
    <x v="2"/>
  </r>
  <r>
    <s v="O107764"/>
    <x v="709"/>
    <x v="4"/>
    <x v="4"/>
    <x v="3"/>
    <x v="1"/>
    <n v="5"/>
    <n v="1086827"/>
    <d v="2026-04-17T00:00:00"/>
    <n v="4"/>
    <n v="17"/>
    <n v="2026"/>
    <x v="11"/>
    <s v="Q2"/>
    <x v="3"/>
  </r>
  <r>
    <s v="O111417"/>
    <x v="692"/>
    <x v="8"/>
    <x v="3"/>
    <x v="1"/>
    <x v="2"/>
    <n v="6"/>
    <n v="1086520"/>
    <d v="2026-11-25T00:00:00"/>
    <n v="11"/>
    <n v="25"/>
    <n v="2026"/>
    <x v="0"/>
    <s v="Q4"/>
    <x v="1"/>
  </r>
  <r>
    <s v="O104275"/>
    <x v="76"/>
    <x v="0"/>
    <x v="2"/>
    <x v="3"/>
    <x v="3"/>
    <n v="3"/>
    <n v="1086135"/>
    <d v="2025-09-17T00:00:00"/>
    <n v="9"/>
    <n v="17"/>
    <n v="2025"/>
    <x v="1"/>
    <s v="Q3"/>
    <x v="3"/>
  </r>
  <r>
    <s v="O108805"/>
    <x v="38"/>
    <x v="6"/>
    <x v="2"/>
    <x v="0"/>
    <x v="2"/>
    <n v="3"/>
    <n v="1086050"/>
    <d v="2026-06-19T00:00:00"/>
    <n v="6"/>
    <n v="19"/>
    <n v="2026"/>
    <x v="2"/>
    <s v="Q2"/>
    <x v="0"/>
  </r>
  <r>
    <s v="O108864"/>
    <x v="350"/>
    <x v="1"/>
    <x v="2"/>
    <x v="3"/>
    <x v="1"/>
    <n v="3"/>
    <n v="1085920"/>
    <d v="2026-06-23T00:00:00"/>
    <n v="6"/>
    <n v="23"/>
    <n v="2026"/>
    <x v="2"/>
    <s v="Q2"/>
    <x v="3"/>
  </r>
  <r>
    <s v="O111172"/>
    <x v="83"/>
    <x v="3"/>
    <x v="4"/>
    <x v="0"/>
    <x v="2"/>
    <n v="8"/>
    <n v="1085533"/>
    <d v="2026-10-11T00:00:00"/>
    <n v="10"/>
    <n v="11"/>
    <n v="2026"/>
    <x v="9"/>
    <s v="Q4"/>
    <x v="0"/>
  </r>
  <r>
    <s v="O111548"/>
    <x v="598"/>
    <x v="1"/>
    <x v="3"/>
    <x v="0"/>
    <x v="1"/>
    <n v="5"/>
    <n v="1085478"/>
    <d v="2026-03-12T00:00:00"/>
    <n v="3"/>
    <n v="12"/>
    <n v="2026"/>
    <x v="5"/>
    <s v="Q1"/>
    <x v="0"/>
  </r>
  <r>
    <s v="O103854"/>
    <x v="622"/>
    <x v="3"/>
    <x v="3"/>
    <x v="2"/>
    <x v="2"/>
    <n v="6"/>
    <n v="1085476"/>
    <d v="2025-08-23T00:00:00"/>
    <n v="8"/>
    <n v="23"/>
    <n v="2025"/>
    <x v="8"/>
    <s v="Q3"/>
    <x v="2"/>
  </r>
  <r>
    <s v="O106839"/>
    <x v="757"/>
    <x v="3"/>
    <x v="0"/>
    <x v="4"/>
    <x v="2"/>
    <n v="3"/>
    <n v="1085398"/>
    <d v="2026-02-20T00:00:00"/>
    <n v="2"/>
    <n v="20"/>
    <n v="2026"/>
    <x v="4"/>
    <s v="Q1"/>
    <x v="4"/>
  </r>
  <r>
    <s v="O106279"/>
    <x v="177"/>
    <x v="6"/>
    <x v="5"/>
    <x v="1"/>
    <x v="2"/>
    <n v="8"/>
    <n v="1085156"/>
    <d v="2026-01-17T00:00:00"/>
    <n v="1"/>
    <n v="17"/>
    <n v="2026"/>
    <x v="6"/>
    <s v="Q1"/>
    <x v="1"/>
  </r>
  <r>
    <s v="O107408"/>
    <x v="797"/>
    <x v="1"/>
    <x v="3"/>
    <x v="4"/>
    <x v="2"/>
    <n v="5"/>
    <n v="1084718"/>
    <d v="2026-03-27T00:00:00"/>
    <n v="3"/>
    <n v="27"/>
    <n v="2026"/>
    <x v="5"/>
    <s v="Q1"/>
    <x v="4"/>
  </r>
  <r>
    <s v="O104654"/>
    <x v="27"/>
    <x v="1"/>
    <x v="5"/>
    <x v="3"/>
    <x v="3"/>
    <n v="10"/>
    <n v="1084172"/>
    <d v="2025-10-10T00:00:00"/>
    <n v="10"/>
    <n v="10"/>
    <n v="2025"/>
    <x v="9"/>
    <s v="Q4"/>
    <x v="3"/>
  </r>
  <r>
    <s v="O101113"/>
    <x v="330"/>
    <x v="3"/>
    <x v="0"/>
    <x v="1"/>
    <x v="3"/>
    <n v="3"/>
    <n v="1083987"/>
    <d v="2025-09-03T00:00:00"/>
    <n v="9"/>
    <n v="3"/>
    <n v="2025"/>
    <x v="1"/>
    <s v="Q3"/>
    <x v="1"/>
  </r>
  <r>
    <s v="O111152"/>
    <x v="614"/>
    <x v="8"/>
    <x v="2"/>
    <x v="1"/>
    <x v="0"/>
    <n v="4"/>
    <n v="1083918"/>
    <d v="2026-09-11T00:00:00"/>
    <n v="9"/>
    <n v="11"/>
    <n v="2026"/>
    <x v="1"/>
    <s v="Q3"/>
    <x v="1"/>
  </r>
  <r>
    <s v="O100885"/>
    <x v="606"/>
    <x v="9"/>
    <x v="4"/>
    <x v="4"/>
    <x v="0"/>
    <n v="6"/>
    <n v="1083365"/>
    <d v="2025-02-23T00:00:00"/>
    <n v="2"/>
    <n v="23"/>
    <n v="2025"/>
    <x v="4"/>
    <s v="Q1"/>
    <x v="4"/>
  </r>
  <r>
    <s v="O104053"/>
    <x v="485"/>
    <x v="5"/>
    <x v="5"/>
    <x v="2"/>
    <x v="1"/>
    <n v="8"/>
    <n v="1083331"/>
    <d v="2025-04-09T00:00:00"/>
    <n v="4"/>
    <n v="9"/>
    <n v="2025"/>
    <x v="11"/>
    <s v="Q2"/>
    <x v="2"/>
  </r>
  <r>
    <s v="O104536"/>
    <x v="449"/>
    <x v="4"/>
    <x v="2"/>
    <x v="2"/>
    <x v="3"/>
    <n v="3"/>
    <n v="1082832"/>
    <d v="2025-03-10T00:00:00"/>
    <n v="3"/>
    <n v="10"/>
    <n v="2025"/>
    <x v="5"/>
    <s v="Q1"/>
    <x v="2"/>
  </r>
  <r>
    <s v="O103638"/>
    <x v="444"/>
    <x v="1"/>
    <x v="0"/>
    <x v="1"/>
    <x v="3"/>
    <n v="2"/>
    <n v="1082726"/>
    <d v="2025-09-08T00:00:00"/>
    <n v="9"/>
    <n v="8"/>
    <n v="2025"/>
    <x v="1"/>
    <s v="Q3"/>
    <x v="1"/>
  </r>
  <r>
    <s v="O101412"/>
    <x v="114"/>
    <x v="1"/>
    <x v="0"/>
    <x v="2"/>
    <x v="2"/>
    <n v="2"/>
    <n v="1082602"/>
    <d v="2025-03-27T00:00:00"/>
    <n v="3"/>
    <n v="27"/>
    <n v="2025"/>
    <x v="5"/>
    <s v="Q1"/>
    <x v="2"/>
  </r>
  <r>
    <s v="O110966"/>
    <x v="3"/>
    <x v="5"/>
    <x v="0"/>
    <x v="0"/>
    <x v="2"/>
    <n v="3"/>
    <n v="1082536"/>
    <d v="2026-10-29T00:00:00"/>
    <n v="10"/>
    <n v="29"/>
    <n v="2026"/>
    <x v="9"/>
    <s v="Q4"/>
    <x v="0"/>
  </r>
  <r>
    <s v="O111780"/>
    <x v="513"/>
    <x v="0"/>
    <x v="2"/>
    <x v="4"/>
    <x v="2"/>
    <n v="3"/>
    <n v="1082506"/>
    <d v="2026-12-17T00:00:00"/>
    <n v="12"/>
    <n v="17"/>
    <n v="2026"/>
    <x v="7"/>
    <s v="Q4"/>
    <x v="4"/>
  </r>
  <r>
    <s v="O100080"/>
    <x v="747"/>
    <x v="8"/>
    <x v="0"/>
    <x v="3"/>
    <x v="1"/>
    <n v="2"/>
    <n v="1082410"/>
    <d v="2025-05-01T00:00:00"/>
    <n v="5"/>
    <n v="1"/>
    <n v="2025"/>
    <x v="3"/>
    <m/>
    <x v="3"/>
  </r>
  <r>
    <s v="O106575"/>
    <x v="665"/>
    <x v="0"/>
    <x v="0"/>
    <x v="0"/>
    <x v="0"/>
    <n v="3"/>
    <n v="1082290"/>
    <d v="2026-04-02T00:00:00"/>
    <n v="4"/>
    <n v="2"/>
    <n v="2026"/>
    <x v="11"/>
    <s v="Q2"/>
    <x v="0"/>
  </r>
  <r>
    <s v="O102668"/>
    <x v="715"/>
    <x v="6"/>
    <x v="2"/>
    <x v="2"/>
    <x v="1"/>
    <n v="3"/>
    <n v="1081992"/>
    <d v="2025-12-06T00:00:00"/>
    <n v="12"/>
    <n v="6"/>
    <n v="2025"/>
    <x v="7"/>
    <s v="Q4"/>
    <x v="2"/>
  </r>
  <r>
    <s v="O105727"/>
    <x v="74"/>
    <x v="10"/>
    <x v="0"/>
    <x v="4"/>
    <x v="2"/>
    <n v="2"/>
    <n v="1081709"/>
    <d v="2025-12-14T00:00:00"/>
    <n v="12"/>
    <n v="14"/>
    <n v="2025"/>
    <x v="7"/>
    <s v="Q4"/>
    <x v="4"/>
  </r>
  <r>
    <s v="O101257"/>
    <x v="341"/>
    <x v="10"/>
    <x v="0"/>
    <x v="4"/>
    <x v="3"/>
    <n v="3"/>
    <n v="1080457"/>
    <d v="2025-03-18T00:00:00"/>
    <n v="3"/>
    <n v="18"/>
    <n v="2025"/>
    <x v="5"/>
    <m/>
    <x v="4"/>
  </r>
  <r>
    <s v="O101034"/>
    <x v="319"/>
    <x v="8"/>
    <x v="0"/>
    <x v="1"/>
    <x v="0"/>
    <n v="2"/>
    <n v="1080314"/>
    <d v="2025-04-03T00:00:00"/>
    <n v="4"/>
    <n v="3"/>
    <n v="2025"/>
    <x v="11"/>
    <s v="Q2"/>
    <x v="1"/>
  </r>
  <r>
    <s v="O108779"/>
    <x v="664"/>
    <x v="2"/>
    <x v="4"/>
    <x v="1"/>
    <x v="1"/>
    <n v="6"/>
    <n v="1080145"/>
    <d v="2026-06-18T00:00:00"/>
    <n v="6"/>
    <n v="18"/>
    <n v="2026"/>
    <x v="2"/>
    <s v="Q2"/>
    <x v="1"/>
  </r>
  <r>
    <s v="O108913"/>
    <x v="740"/>
    <x v="2"/>
    <x v="5"/>
    <x v="1"/>
    <x v="1"/>
    <n v="9"/>
    <n v="1080012"/>
    <d v="2026-06-26T00:00:00"/>
    <n v="6"/>
    <n v="26"/>
    <n v="2026"/>
    <x v="2"/>
    <s v="Q2"/>
    <x v="1"/>
  </r>
  <r>
    <s v="O102980"/>
    <x v="95"/>
    <x v="1"/>
    <x v="3"/>
    <x v="3"/>
    <x v="0"/>
    <n v="4"/>
    <n v="1079996"/>
    <d v="2025-06-30T00:00:00"/>
    <n v="6"/>
    <n v="30"/>
    <n v="2025"/>
    <x v="2"/>
    <s v="Q2"/>
    <x v="3"/>
  </r>
  <r>
    <s v="O106726"/>
    <x v="316"/>
    <x v="10"/>
    <x v="0"/>
    <x v="1"/>
    <x v="2"/>
    <n v="3"/>
    <n v="1079575"/>
    <d v="2026-02-13T00:00:00"/>
    <n v="2"/>
    <n v="13"/>
    <n v="2026"/>
    <x v="4"/>
    <s v="Q1"/>
    <x v="1"/>
  </r>
  <r>
    <s v="O106192"/>
    <x v="477"/>
    <x v="10"/>
    <x v="2"/>
    <x v="0"/>
    <x v="2"/>
    <n v="3"/>
    <n v="1079534"/>
    <d v="2026-12-01T00:00:00"/>
    <n v="12"/>
    <n v="1"/>
    <n v="2026"/>
    <x v="7"/>
    <s v="Q4"/>
    <x v="0"/>
  </r>
  <r>
    <s v="O109437"/>
    <x v="651"/>
    <x v="2"/>
    <x v="4"/>
    <x v="0"/>
    <x v="0"/>
    <n v="7"/>
    <n v="1079494"/>
    <d v="2026-07-28T00:00:00"/>
    <n v="7"/>
    <n v="28"/>
    <n v="2026"/>
    <x v="10"/>
    <s v="Q3"/>
    <x v="0"/>
  </r>
  <r>
    <s v="O100390"/>
    <x v="660"/>
    <x v="8"/>
    <x v="4"/>
    <x v="4"/>
    <x v="1"/>
    <n v="6"/>
    <n v="1079353"/>
    <d v="2025-01-24T00:00:00"/>
    <n v="1"/>
    <n v="24"/>
    <n v="2025"/>
    <x v="6"/>
    <s v="Q1"/>
    <x v="4"/>
  </r>
  <r>
    <s v="O105478"/>
    <x v="130"/>
    <x v="0"/>
    <x v="4"/>
    <x v="4"/>
    <x v="2"/>
    <n v="6"/>
    <n v="1079239"/>
    <d v="2025-11-29T00:00:00"/>
    <n v="11"/>
    <n v="29"/>
    <n v="2025"/>
    <x v="0"/>
    <s v="Q4"/>
    <x v="4"/>
  </r>
  <r>
    <s v="O103322"/>
    <x v="385"/>
    <x v="10"/>
    <x v="0"/>
    <x v="1"/>
    <x v="0"/>
    <n v="2"/>
    <n v="1078567"/>
    <d v="2025-07-21T00:00:00"/>
    <n v="7"/>
    <n v="21"/>
    <n v="2025"/>
    <x v="10"/>
    <s v="Q3"/>
    <x v="1"/>
  </r>
  <r>
    <s v="O103286"/>
    <x v="52"/>
    <x v="3"/>
    <x v="0"/>
    <x v="1"/>
    <x v="1"/>
    <n v="3"/>
    <n v="1078445"/>
    <d v="2025-07-19T00:00:00"/>
    <n v="7"/>
    <n v="19"/>
    <n v="2025"/>
    <x v="10"/>
    <s v="Q3"/>
    <x v="1"/>
  </r>
  <r>
    <s v="O105361"/>
    <x v="539"/>
    <x v="1"/>
    <x v="2"/>
    <x v="0"/>
    <x v="3"/>
    <n v="4"/>
    <n v="1078398"/>
    <d v="2025-11-22T00:00:00"/>
    <n v="11"/>
    <n v="22"/>
    <n v="2025"/>
    <x v="0"/>
    <s v="Q4"/>
    <x v="0"/>
  </r>
  <r>
    <s v="O110509"/>
    <x v="654"/>
    <x v="4"/>
    <x v="4"/>
    <x v="3"/>
    <x v="3"/>
    <n v="5"/>
    <n v="1077831"/>
    <d v="2026-01-10T00:00:00"/>
    <n v="1"/>
    <n v="10"/>
    <n v="2026"/>
    <x v="6"/>
    <s v="Q1"/>
    <x v="3"/>
  </r>
  <r>
    <s v="O110340"/>
    <x v="300"/>
    <x v="4"/>
    <x v="5"/>
    <x v="4"/>
    <x v="3"/>
    <n v="8"/>
    <n v="1077827"/>
    <d v="2026-09-21T00:00:00"/>
    <n v="9"/>
    <n v="21"/>
    <n v="2026"/>
    <x v="1"/>
    <s v="Q3"/>
    <x v="4"/>
  </r>
  <r>
    <s v="O103114"/>
    <x v="36"/>
    <x v="9"/>
    <x v="0"/>
    <x v="4"/>
    <x v="3"/>
    <n v="2"/>
    <n v="1077718"/>
    <d v="2025-09-07T00:00:00"/>
    <n v="9"/>
    <n v="7"/>
    <n v="2025"/>
    <x v="1"/>
    <s v="Q3"/>
    <x v="4"/>
  </r>
  <r>
    <s v="O100954"/>
    <x v="387"/>
    <x v="6"/>
    <x v="3"/>
    <x v="4"/>
    <x v="0"/>
    <n v="4"/>
    <n v="1077691"/>
    <d v="2025-02-27T00:00:00"/>
    <n v="2"/>
    <n v="27"/>
    <n v="2025"/>
    <x v="4"/>
    <s v="Q1"/>
    <x v="4"/>
  </r>
  <r>
    <s v="O103891"/>
    <x v="464"/>
    <x v="5"/>
    <x v="4"/>
    <x v="1"/>
    <x v="2"/>
    <n v="5"/>
    <n v="1077521"/>
    <d v="2025-08-25T00:00:00"/>
    <n v="8"/>
    <n v="25"/>
    <n v="2025"/>
    <x v="8"/>
    <s v="Q3"/>
    <x v="1"/>
  </r>
  <r>
    <s v="O109211"/>
    <x v="668"/>
    <x v="9"/>
    <x v="5"/>
    <x v="0"/>
    <x v="0"/>
    <n v="10"/>
    <n v="1077396"/>
    <d v="2026-07-14T00:00:00"/>
    <n v="7"/>
    <n v="14"/>
    <n v="2026"/>
    <x v="10"/>
    <s v="Q3"/>
    <x v="0"/>
  </r>
  <r>
    <s v="O109780"/>
    <x v="187"/>
    <x v="5"/>
    <x v="2"/>
    <x v="3"/>
    <x v="3"/>
    <n v="3"/>
    <n v="1077383"/>
    <d v="2026-08-18T00:00:00"/>
    <n v="8"/>
    <n v="18"/>
    <n v="2026"/>
    <x v="8"/>
    <s v="Q3"/>
    <x v="3"/>
  </r>
  <r>
    <s v="O103406"/>
    <x v="500"/>
    <x v="2"/>
    <x v="4"/>
    <x v="4"/>
    <x v="1"/>
    <n v="6"/>
    <n v="1077335"/>
    <d v="2025-07-26T00:00:00"/>
    <n v="7"/>
    <n v="26"/>
    <n v="2025"/>
    <x v="10"/>
    <s v="Q3"/>
    <x v="4"/>
  </r>
  <r>
    <s v="O108709"/>
    <x v="70"/>
    <x v="8"/>
    <x v="0"/>
    <x v="0"/>
    <x v="1"/>
    <n v="2"/>
    <n v="1077288"/>
    <d v="2026-06-14T00:00:00"/>
    <n v="6"/>
    <n v="14"/>
    <n v="2026"/>
    <x v="2"/>
    <s v="Q2"/>
    <x v="0"/>
  </r>
  <r>
    <s v="O103137"/>
    <x v="73"/>
    <x v="5"/>
    <x v="4"/>
    <x v="4"/>
    <x v="0"/>
    <n v="7"/>
    <n v="1077268"/>
    <d v="2025-10-07T00:00:00"/>
    <n v="10"/>
    <n v="7"/>
    <n v="2025"/>
    <x v="9"/>
    <s v="Q4"/>
    <x v="4"/>
  </r>
  <r>
    <s v="O107702"/>
    <x v="163"/>
    <x v="3"/>
    <x v="4"/>
    <x v="4"/>
    <x v="0"/>
    <n v="6"/>
    <n v="1077255"/>
    <d v="2026-04-13T00:00:00"/>
    <n v="4"/>
    <n v="13"/>
    <n v="2026"/>
    <x v="11"/>
    <s v="Q2"/>
    <x v="4"/>
  </r>
  <r>
    <s v="O106195"/>
    <x v="457"/>
    <x v="1"/>
    <x v="4"/>
    <x v="3"/>
    <x v="1"/>
    <n v="5"/>
    <n v="1077213"/>
    <d v="2026-12-01T00:00:00"/>
    <n v="12"/>
    <n v="1"/>
    <n v="2026"/>
    <x v="7"/>
    <s v="Q4"/>
    <x v="3"/>
  </r>
  <r>
    <s v="O102178"/>
    <x v="27"/>
    <x v="3"/>
    <x v="2"/>
    <x v="4"/>
    <x v="1"/>
    <n v="3"/>
    <n v="1077159"/>
    <d v="2025-05-13T00:00:00"/>
    <n v="5"/>
    <n v="13"/>
    <n v="2025"/>
    <x v="3"/>
    <s v="Q2"/>
    <x v="4"/>
  </r>
  <r>
    <s v="O110904"/>
    <x v="365"/>
    <x v="9"/>
    <x v="2"/>
    <x v="2"/>
    <x v="1"/>
    <n v="4"/>
    <n v="1077045"/>
    <d v="2026-10-25T00:00:00"/>
    <n v="10"/>
    <n v="25"/>
    <n v="2026"/>
    <x v="9"/>
    <s v="Q4"/>
    <x v="2"/>
  </r>
  <r>
    <s v="O109934"/>
    <x v="792"/>
    <x v="4"/>
    <x v="0"/>
    <x v="2"/>
    <x v="3"/>
    <n v="2"/>
    <n v="1076868"/>
    <d v="2026-08-27T00:00:00"/>
    <n v="8"/>
    <n v="27"/>
    <n v="2026"/>
    <x v="8"/>
    <s v="Q3"/>
    <x v="2"/>
  </r>
  <r>
    <s v="O110145"/>
    <x v="659"/>
    <x v="5"/>
    <x v="2"/>
    <x v="0"/>
    <x v="1"/>
    <n v="4"/>
    <n v="1076151"/>
    <d v="2026-09-09T00:00:00"/>
    <n v="9"/>
    <n v="9"/>
    <n v="2026"/>
    <x v="1"/>
    <s v="Q3"/>
    <x v="0"/>
  </r>
  <r>
    <s v="O101890"/>
    <x v="691"/>
    <x v="4"/>
    <x v="3"/>
    <x v="2"/>
    <x v="1"/>
    <n v="4"/>
    <n v="1075934"/>
    <d v="2025-04-25T00:00:00"/>
    <n v="4"/>
    <n v="25"/>
    <n v="2025"/>
    <x v="11"/>
    <m/>
    <x v="2"/>
  </r>
  <r>
    <s v="O111727"/>
    <x v="648"/>
    <x v="1"/>
    <x v="0"/>
    <x v="0"/>
    <x v="1"/>
    <n v="2"/>
    <n v="1075806"/>
    <d v="2026-12-14T00:00:00"/>
    <n v="12"/>
    <n v="14"/>
    <n v="2026"/>
    <x v="7"/>
    <s v="Q4"/>
    <x v="0"/>
  </r>
  <r>
    <s v="O102499"/>
    <x v="26"/>
    <x v="10"/>
    <x v="3"/>
    <x v="4"/>
    <x v="0"/>
    <n v="4"/>
    <n v="1075692"/>
    <d v="2025-01-06T00:00:00"/>
    <n v="1"/>
    <n v="6"/>
    <n v="2025"/>
    <x v="6"/>
    <s v="Q1"/>
    <x v="4"/>
  </r>
  <r>
    <s v="O106478"/>
    <x v="522"/>
    <x v="9"/>
    <x v="0"/>
    <x v="0"/>
    <x v="0"/>
    <n v="3"/>
    <n v="1075538"/>
    <d v="2026-01-29T00:00:00"/>
    <n v="1"/>
    <n v="29"/>
    <n v="2026"/>
    <x v="6"/>
    <s v="Q1"/>
    <x v="0"/>
  </r>
  <r>
    <s v="O108936"/>
    <x v="173"/>
    <x v="8"/>
    <x v="2"/>
    <x v="0"/>
    <x v="2"/>
    <n v="3"/>
    <n v="1075386"/>
    <d v="2026-06-27T00:00:00"/>
    <n v="6"/>
    <n v="27"/>
    <n v="2026"/>
    <x v="2"/>
    <s v="Q2"/>
    <x v="0"/>
  </r>
  <r>
    <s v="O104617"/>
    <x v="321"/>
    <x v="4"/>
    <x v="4"/>
    <x v="4"/>
    <x v="3"/>
    <n v="6"/>
    <n v="1074708"/>
    <d v="2025-08-10T00:00:00"/>
    <n v="8"/>
    <n v="10"/>
    <n v="2025"/>
    <x v="8"/>
    <s v="Q3"/>
    <x v="4"/>
  </r>
  <r>
    <s v="O108065"/>
    <x v="215"/>
    <x v="5"/>
    <x v="3"/>
    <x v="2"/>
    <x v="0"/>
    <n v="5"/>
    <n v="1074518"/>
    <d v="2026-05-05T00:00:00"/>
    <n v="5"/>
    <n v="5"/>
    <n v="2026"/>
    <x v="3"/>
    <s v="Q2"/>
    <x v="2"/>
  </r>
  <r>
    <s v="O108567"/>
    <x v="87"/>
    <x v="6"/>
    <x v="3"/>
    <x v="3"/>
    <x v="1"/>
    <n v="4"/>
    <n v="1074432"/>
    <d v="2026-05-06T00:00:00"/>
    <n v="5"/>
    <n v="6"/>
    <n v="2026"/>
    <x v="3"/>
    <s v="Q2"/>
    <x v="3"/>
  </r>
  <r>
    <s v="O105988"/>
    <x v="773"/>
    <x v="8"/>
    <x v="3"/>
    <x v="4"/>
    <x v="2"/>
    <n v="5"/>
    <n v="1074364"/>
    <d v="2025-12-30T00:00:00"/>
    <n v="12"/>
    <n v="30"/>
    <n v="2025"/>
    <x v="7"/>
    <s v="Q4"/>
    <x v="4"/>
  </r>
  <r>
    <s v="O110774"/>
    <x v="475"/>
    <x v="2"/>
    <x v="0"/>
    <x v="4"/>
    <x v="0"/>
    <n v="2"/>
    <n v="1074274"/>
    <d v="2026-10-17T00:00:00"/>
    <n v="10"/>
    <n v="17"/>
    <n v="2026"/>
    <x v="9"/>
    <s v="Q4"/>
    <x v="4"/>
  </r>
  <r>
    <s v="O100733"/>
    <x v="527"/>
    <x v="1"/>
    <x v="2"/>
    <x v="4"/>
    <x v="0"/>
    <n v="4"/>
    <n v="1074152"/>
    <d v="2025-02-14T00:00:00"/>
    <n v="2"/>
    <n v="14"/>
    <n v="2025"/>
    <x v="4"/>
    <m/>
    <x v="4"/>
  </r>
  <r>
    <s v="O104316"/>
    <x v="26"/>
    <x v="5"/>
    <x v="0"/>
    <x v="1"/>
    <x v="3"/>
    <n v="2"/>
    <n v="1073365"/>
    <d v="2025-09-20T00:00:00"/>
    <n v="9"/>
    <n v="20"/>
    <n v="2025"/>
    <x v="1"/>
    <s v="Q3"/>
    <x v="1"/>
  </r>
  <r>
    <s v="O107891"/>
    <x v="126"/>
    <x v="4"/>
    <x v="0"/>
    <x v="0"/>
    <x v="2"/>
    <n v="3"/>
    <n v="1073127"/>
    <d v="2026-04-25T00:00:00"/>
    <n v="4"/>
    <n v="25"/>
    <n v="2026"/>
    <x v="11"/>
    <s v="Q2"/>
    <x v="0"/>
  </r>
  <r>
    <s v="O101015"/>
    <x v="289"/>
    <x v="1"/>
    <x v="4"/>
    <x v="2"/>
    <x v="0"/>
    <n v="5"/>
    <n v="1073089"/>
    <d v="2025-03-03T00:00:00"/>
    <n v="3"/>
    <n v="3"/>
    <n v="2025"/>
    <x v="5"/>
    <s v="Q1"/>
    <x v="2"/>
  </r>
  <r>
    <s v="O104357"/>
    <x v="660"/>
    <x v="4"/>
    <x v="0"/>
    <x v="4"/>
    <x v="1"/>
    <n v="2"/>
    <n v="1073003"/>
    <d v="2025-09-22T00:00:00"/>
    <n v="9"/>
    <n v="22"/>
    <n v="2025"/>
    <x v="1"/>
    <s v="Q3"/>
    <x v="4"/>
  </r>
  <r>
    <s v="O111928"/>
    <x v="539"/>
    <x v="1"/>
    <x v="0"/>
    <x v="1"/>
    <x v="1"/>
    <n v="2"/>
    <n v="1072933"/>
    <d v="2026-12-26T00:00:00"/>
    <n v="12"/>
    <n v="26"/>
    <n v="2026"/>
    <x v="7"/>
    <s v="Q4"/>
    <x v="1"/>
  </r>
  <r>
    <s v="O107921"/>
    <x v="408"/>
    <x v="1"/>
    <x v="2"/>
    <x v="4"/>
    <x v="3"/>
    <n v="3"/>
    <n v="1072767"/>
    <d v="2026-04-27T00:00:00"/>
    <n v="4"/>
    <n v="27"/>
    <n v="2026"/>
    <x v="11"/>
    <s v="Q2"/>
    <x v="4"/>
  </r>
  <r>
    <s v="O106896"/>
    <x v="164"/>
    <x v="0"/>
    <x v="5"/>
    <x v="1"/>
    <x v="1"/>
    <n v="8"/>
    <n v="1072607"/>
    <d v="2026-02-23T00:00:00"/>
    <n v="2"/>
    <n v="23"/>
    <n v="2026"/>
    <x v="4"/>
    <s v="Q1"/>
    <x v="1"/>
  </r>
  <r>
    <s v="O106413"/>
    <x v="108"/>
    <x v="9"/>
    <x v="5"/>
    <x v="1"/>
    <x v="0"/>
    <n v="8"/>
    <n v="1072526"/>
    <d v="2026-01-25T00:00:00"/>
    <n v="1"/>
    <n v="25"/>
    <n v="2026"/>
    <x v="6"/>
    <s v="Q1"/>
    <x v="1"/>
  </r>
  <r>
    <s v="O108259"/>
    <x v="537"/>
    <x v="4"/>
    <x v="2"/>
    <x v="4"/>
    <x v="2"/>
    <n v="3"/>
    <n v="1072023"/>
    <d v="2026-05-17T00:00:00"/>
    <n v="5"/>
    <n v="17"/>
    <n v="2026"/>
    <x v="3"/>
    <s v="Q2"/>
    <x v="4"/>
  </r>
  <r>
    <s v="O106284"/>
    <x v="216"/>
    <x v="3"/>
    <x v="4"/>
    <x v="1"/>
    <x v="2"/>
    <n v="5"/>
    <n v="1071662"/>
    <d v="2026-01-17T00:00:00"/>
    <n v="1"/>
    <n v="17"/>
    <n v="2026"/>
    <x v="6"/>
    <s v="Q1"/>
    <x v="1"/>
  </r>
  <r>
    <s v="O102752"/>
    <x v="715"/>
    <x v="5"/>
    <x v="2"/>
    <x v="4"/>
    <x v="4"/>
    <n v="3"/>
    <n v="1071656"/>
    <d v="2025-06-17T00:00:00"/>
    <n v="6"/>
    <n v="17"/>
    <n v="2025"/>
    <x v="2"/>
    <s v="Q2"/>
    <x v="4"/>
  </r>
  <r>
    <s v="O100277"/>
    <x v="396"/>
    <x v="10"/>
    <x v="4"/>
    <x v="4"/>
    <x v="3"/>
    <n v="5"/>
    <n v="1071609"/>
    <d v="2025-01-17T00:00:00"/>
    <n v="1"/>
    <n v="17"/>
    <n v="2025"/>
    <x v="6"/>
    <s v="Q1"/>
    <x v="4"/>
  </r>
  <r>
    <s v="O103521"/>
    <x v="716"/>
    <x v="5"/>
    <x v="0"/>
    <x v="0"/>
    <x v="1"/>
    <n v="2"/>
    <n v="1071280"/>
    <d v="2025-02-08T00:00:00"/>
    <n v="2"/>
    <n v="8"/>
    <n v="2025"/>
    <x v="4"/>
    <s v="Q1"/>
    <x v="0"/>
  </r>
  <r>
    <s v="O111790"/>
    <x v="787"/>
    <x v="1"/>
    <x v="2"/>
    <x v="4"/>
    <x v="3"/>
    <n v="3"/>
    <n v="1071238"/>
    <d v="2026-12-18T00:00:00"/>
    <n v="12"/>
    <n v="18"/>
    <n v="2026"/>
    <x v="7"/>
    <s v="Q4"/>
    <x v="4"/>
  </r>
  <r>
    <s v="O108035"/>
    <x v="629"/>
    <x v="8"/>
    <x v="4"/>
    <x v="1"/>
    <x v="1"/>
    <n v="5"/>
    <n v="1071206"/>
    <d v="2026-04-05T00:00:00"/>
    <n v="4"/>
    <n v="5"/>
    <n v="2026"/>
    <x v="11"/>
    <s v="Q2"/>
    <x v="1"/>
  </r>
  <r>
    <s v="O110952"/>
    <x v="530"/>
    <x v="6"/>
    <x v="4"/>
    <x v="2"/>
    <x v="3"/>
    <n v="6"/>
    <n v="1070582"/>
    <d v="2026-10-28T00:00:00"/>
    <n v="10"/>
    <n v="28"/>
    <n v="2026"/>
    <x v="9"/>
    <s v="Q4"/>
    <x v="2"/>
  </r>
  <r>
    <s v="O107829"/>
    <x v="773"/>
    <x v="4"/>
    <x v="2"/>
    <x v="3"/>
    <x v="2"/>
    <n v="3"/>
    <n v="1070536"/>
    <d v="2026-04-21T00:00:00"/>
    <n v="4"/>
    <n v="21"/>
    <n v="2026"/>
    <x v="11"/>
    <s v="Q2"/>
    <x v="3"/>
  </r>
  <r>
    <s v="O107258"/>
    <x v="427"/>
    <x v="8"/>
    <x v="0"/>
    <x v="5"/>
    <x v="3"/>
    <n v="2"/>
    <n v="1070491"/>
    <d v="2026-03-17T00:00:00"/>
    <n v="3"/>
    <n v="17"/>
    <n v="2026"/>
    <x v="5"/>
    <s v="Q1"/>
    <x v="5"/>
  </r>
  <r>
    <s v="O106677"/>
    <x v="167"/>
    <x v="1"/>
    <x v="2"/>
    <x v="3"/>
    <x v="2"/>
    <n v="3"/>
    <n v="1070067"/>
    <d v="2026-10-02T00:00:00"/>
    <n v="10"/>
    <n v="2"/>
    <n v="2026"/>
    <x v="9"/>
    <s v="Q4"/>
    <x v="3"/>
  </r>
  <r>
    <s v="O100474"/>
    <x v="392"/>
    <x v="4"/>
    <x v="5"/>
    <x v="4"/>
    <x v="2"/>
    <n v="8"/>
    <n v="1070002"/>
    <d v="2025-01-29T00:00:00"/>
    <n v="1"/>
    <n v="29"/>
    <n v="2025"/>
    <x v="6"/>
    <s v="Q1"/>
    <x v="4"/>
  </r>
  <r>
    <s v="O109616"/>
    <x v="530"/>
    <x v="8"/>
    <x v="5"/>
    <x v="0"/>
    <x v="2"/>
    <n v="8"/>
    <n v="1069671"/>
    <d v="2026-08-08T00:00:00"/>
    <n v="8"/>
    <n v="8"/>
    <n v="2026"/>
    <x v="8"/>
    <s v="Q3"/>
    <x v="0"/>
  </r>
  <r>
    <s v="O107853"/>
    <x v="765"/>
    <x v="8"/>
    <x v="4"/>
    <x v="0"/>
    <x v="2"/>
    <n v="5"/>
    <n v="1069556"/>
    <d v="2026-04-23T00:00:00"/>
    <n v="4"/>
    <n v="23"/>
    <n v="2026"/>
    <x v="11"/>
    <s v="Q2"/>
    <x v="0"/>
  </r>
  <r>
    <s v="O103945"/>
    <x v="754"/>
    <x v="5"/>
    <x v="0"/>
    <x v="4"/>
    <x v="0"/>
    <n v="2"/>
    <n v="1068739"/>
    <d v="2025-08-28T00:00:00"/>
    <n v="8"/>
    <n v="28"/>
    <n v="2025"/>
    <x v="8"/>
    <s v="Q3"/>
    <x v="4"/>
  </r>
  <r>
    <s v="O111403"/>
    <x v="564"/>
    <x v="5"/>
    <x v="5"/>
    <x v="2"/>
    <x v="1"/>
    <n v="8"/>
    <n v="1068652"/>
    <d v="2026-11-24T00:00:00"/>
    <n v="11"/>
    <n v="24"/>
    <n v="2026"/>
    <x v="0"/>
    <s v="Q4"/>
    <x v="2"/>
  </r>
  <r>
    <s v="O101044"/>
    <x v="201"/>
    <x v="6"/>
    <x v="2"/>
    <x v="4"/>
    <x v="4"/>
    <n v="3"/>
    <n v="1068543"/>
    <d v="2025-05-03T00:00:00"/>
    <n v="5"/>
    <n v="3"/>
    <n v="2025"/>
    <x v="3"/>
    <s v="Q2"/>
    <x v="4"/>
  </r>
  <r>
    <s v="O106868"/>
    <x v="578"/>
    <x v="1"/>
    <x v="0"/>
    <x v="2"/>
    <x v="3"/>
    <n v="2"/>
    <n v="1068356"/>
    <d v="2026-02-22T00:00:00"/>
    <n v="2"/>
    <n v="22"/>
    <n v="2026"/>
    <x v="4"/>
    <s v="Q1"/>
    <x v="2"/>
  </r>
  <r>
    <s v="O107053"/>
    <x v="94"/>
    <x v="5"/>
    <x v="3"/>
    <x v="3"/>
    <x v="0"/>
    <n v="5"/>
    <n v="1067631"/>
    <d v="2026-05-03T00:00:00"/>
    <n v="5"/>
    <n v="3"/>
    <n v="2026"/>
    <x v="3"/>
    <s v="Q2"/>
    <x v="3"/>
  </r>
  <r>
    <s v="O111435"/>
    <x v="753"/>
    <x v="10"/>
    <x v="5"/>
    <x v="3"/>
    <x v="2"/>
    <n v="8"/>
    <n v="1067198"/>
    <d v="2026-11-26T00:00:00"/>
    <n v="11"/>
    <n v="26"/>
    <n v="2026"/>
    <x v="0"/>
    <s v="Q4"/>
    <x v="3"/>
  </r>
  <r>
    <s v="O103080"/>
    <x v="482"/>
    <x v="4"/>
    <x v="3"/>
    <x v="4"/>
    <x v="0"/>
    <n v="5"/>
    <n v="1066973"/>
    <d v="2025-07-07T00:00:00"/>
    <n v="7"/>
    <n v="7"/>
    <n v="2025"/>
    <x v="10"/>
    <s v="Q3"/>
    <x v="4"/>
  </r>
  <r>
    <s v="O104097"/>
    <x v="277"/>
    <x v="9"/>
    <x v="0"/>
    <x v="3"/>
    <x v="1"/>
    <n v="2"/>
    <n v="1066844"/>
    <d v="2025-06-09T00:00:00"/>
    <n v="6"/>
    <n v="9"/>
    <n v="2025"/>
    <x v="2"/>
    <s v="Q2"/>
    <x v="3"/>
  </r>
  <r>
    <s v="O103566"/>
    <x v="143"/>
    <x v="2"/>
    <x v="4"/>
    <x v="3"/>
    <x v="0"/>
    <n v="7"/>
    <n v="1066466"/>
    <d v="2025-05-08T00:00:00"/>
    <n v="5"/>
    <n v="8"/>
    <n v="2025"/>
    <x v="3"/>
    <s v="Q2"/>
    <x v="3"/>
  </r>
  <r>
    <s v="O106179"/>
    <x v="344"/>
    <x v="9"/>
    <x v="0"/>
    <x v="4"/>
    <x v="3"/>
    <n v="2"/>
    <n v="1066229"/>
    <d v="2026-11-01T00:00:00"/>
    <n v="11"/>
    <n v="1"/>
    <n v="2026"/>
    <x v="0"/>
    <s v="Q4"/>
    <x v="4"/>
  </r>
  <r>
    <s v="O111063"/>
    <x v="426"/>
    <x v="6"/>
    <x v="5"/>
    <x v="1"/>
    <x v="0"/>
    <n v="8"/>
    <n v="1066197"/>
    <d v="2026-04-11T00:00:00"/>
    <n v="4"/>
    <n v="11"/>
    <n v="2026"/>
    <x v="11"/>
    <s v="Q2"/>
    <x v="1"/>
  </r>
  <r>
    <s v="O105980"/>
    <x v="51"/>
    <x v="0"/>
    <x v="2"/>
    <x v="3"/>
    <x v="2"/>
    <n v="3"/>
    <n v="1066089"/>
    <d v="2025-12-30T00:00:00"/>
    <n v="12"/>
    <n v="30"/>
    <n v="2025"/>
    <x v="7"/>
    <m/>
    <x v="3"/>
  </r>
  <r>
    <s v="O104479"/>
    <x v="645"/>
    <x v="6"/>
    <x v="2"/>
    <x v="1"/>
    <x v="2"/>
    <n v="4"/>
    <n v="1065788"/>
    <d v="2025-09-30T00:00:00"/>
    <n v="9"/>
    <n v="30"/>
    <n v="2025"/>
    <x v="1"/>
    <s v="Q3"/>
    <x v="1"/>
  </r>
  <r>
    <s v="O105245"/>
    <x v="265"/>
    <x v="6"/>
    <x v="4"/>
    <x v="0"/>
    <x v="0"/>
    <n v="7"/>
    <n v="1064840"/>
    <d v="2025-11-15T00:00:00"/>
    <n v="11"/>
    <n v="15"/>
    <n v="2025"/>
    <x v="0"/>
    <s v="Q4"/>
    <x v="0"/>
  </r>
  <r>
    <s v="O102402"/>
    <x v="789"/>
    <x v="7"/>
    <x v="0"/>
    <x v="0"/>
    <x v="1"/>
    <n v="3"/>
    <n v="1064811"/>
    <d v="2025-05-26T00:00:00"/>
    <n v="5"/>
    <n v="26"/>
    <n v="2025"/>
    <x v="3"/>
    <s v="Q2"/>
    <x v="0"/>
  </r>
  <r>
    <s v="O109379"/>
    <x v="438"/>
    <x v="6"/>
    <x v="5"/>
    <x v="2"/>
    <x v="1"/>
    <n v="10"/>
    <n v="1064636"/>
    <d v="2026-07-24T00:00:00"/>
    <n v="7"/>
    <n v="24"/>
    <n v="2026"/>
    <x v="10"/>
    <s v="Q3"/>
    <x v="2"/>
  </r>
  <r>
    <s v="O101633"/>
    <x v="553"/>
    <x v="1"/>
    <x v="2"/>
    <x v="3"/>
    <x v="3"/>
    <n v="4"/>
    <n v="1064089"/>
    <d v="2025-10-04T00:00:00"/>
    <n v="10"/>
    <n v="4"/>
    <n v="2025"/>
    <x v="9"/>
    <s v="Q4"/>
    <x v="3"/>
  </r>
  <r>
    <s v="O108087"/>
    <x v="126"/>
    <x v="5"/>
    <x v="3"/>
    <x v="1"/>
    <x v="1"/>
    <n v="5"/>
    <n v="1063284"/>
    <d v="2026-07-05T00:00:00"/>
    <n v="7"/>
    <n v="5"/>
    <n v="2026"/>
    <x v="10"/>
    <s v="Q3"/>
    <x v="1"/>
  </r>
  <r>
    <s v="O106071"/>
    <x v="40"/>
    <x v="4"/>
    <x v="3"/>
    <x v="4"/>
    <x v="1"/>
    <n v="6"/>
    <n v="1063243"/>
    <d v="2026-04-01T00:00:00"/>
    <n v="4"/>
    <n v="1"/>
    <n v="2026"/>
    <x v="11"/>
    <s v="Q2"/>
    <x v="4"/>
  </r>
  <r>
    <s v="O100233"/>
    <x v="747"/>
    <x v="10"/>
    <x v="2"/>
    <x v="0"/>
    <x v="0"/>
    <n v="3"/>
    <n v="1063085"/>
    <d v="2025-01-15T00:00:00"/>
    <n v="1"/>
    <n v="15"/>
    <n v="2025"/>
    <x v="6"/>
    <m/>
    <x v="0"/>
  </r>
  <r>
    <s v="O110868"/>
    <x v="570"/>
    <x v="8"/>
    <x v="4"/>
    <x v="1"/>
    <x v="2"/>
    <n v="7"/>
    <n v="1062710"/>
    <d v="2026-10-23T00:00:00"/>
    <n v="10"/>
    <n v="23"/>
    <n v="2026"/>
    <x v="9"/>
    <s v="Q4"/>
    <x v="1"/>
  </r>
  <r>
    <s v="O106136"/>
    <x v="629"/>
    <x v="10"/>
    <x v="0"/>
    <x v="2"/>
    <x v="0"/>
    <n v="2"/>
    <n v="1062616"/>
    <d v="2026-08-01T00:00:00"/>
    <n v="8"/>
    <n v="1"/>
    <n v="2026"/>
    <x v="8"/>
    <s v="Q3"/>
    <x v="2"/>
  </r>
  <r>
    <s v="O111955"/>
    <x v="374"/>
    <x v="3"/>
    <x v="5"/>
    <x v="3"/>
    <x v="1"/>
    <n v="10"/>
    <n v="1062249"/>
    <d v="2026-12-28T00:00:00"/>
    <n v="12"/>
    <n v="28"/>
    <n v="2026"/>
    <x v="7"/>
    <s v="Q4"/>
    <x v="3"/>
  </r>
  <r>
    <s v="O102510"/>
    <x v="329"/>
    <x v="5"/>
    <x v="5"/>
    <x v="0"/>
    <x v="1"/>
    <n v="9"/>
    <n v="1061923"/>
    <d v="2025-02-06T00:00:00"/>
    <n v="2"/>
    <n v="6"/>
    <n v="2025"/>
    <x v="4"/>
    <s v="Q1"/>
    <x v="0"/>
  </r>
  <r>
    <s v="O109322"/>
    <x v="339"/>
    <x v="2"/>
    <x v="5"/>
    <x v="3"/>
    <x v="2"/>
    <n v="9"/>
    <n v="1061642"/>
    <d v="2026-07-21T00:00:00"/>
    <n v="7"/>
    <n v="21"/>
    <n v="2026"/>
    <x v="10"/>
    <s v="Q3"/>
    <x v="3"/>
  </r>
  <r>
    <s v="O102886"/>
    <x v="99"/>
    <x v="4"/>
    <x v="3"/>
    <x v="1"/>
    <x v="1"/>
    <n v="4"/>
    <n v="1061349"/>
    <d v="2025-06-25T00:00:00"/>
    <n v="6"/>
    <n v="25"/>
    <n v="2025"/>
    <x v="2"/>
    <s v="Q2"/>
    <x v="1"/>
  </r>
  <r>
    <s v="O102055"/>
    <x v="412"/>
    <x v="10"/>
    <x v="5"/>
    <x v="1"/>
    <x v="1"/>
    <n v="9"/>
    <n v="1060743"/>
    <d v="2025-05-05T00:00:00"/>
    <n v="5"/>
    <n v="5"/>
    <n v="2025"/>
    <x v="3"/>
    <s v="Q2"/>
    <x v="1"/>
  </r>
  <r>
    <s v="O111680"/>
    <x v="760"/>
    <x v="4"/>
    <x v="0"/>
    <x v="0"/>
    <x v="3"/>
    <n v="3"/>
    <n v="1060447"/>
    <d v="2026-11-12T00:00:00"/>
    <n v="11"/>
    <n v="12"/>
    <n v="2026"/>
    <x v="0"/>
    <s v="Q4"/>
    <x v="0"/>
  </r>
  <r>
    <s v="O107691"/>
    <x v="608"/>
    <x v="2"/>
    <x v="0"/>
    <x v="4"/>
    <x v="1"/>
    <n v="3"/>
    <n v="1060276"/>
    <d v="2026-04-13T00:00:00"/>
    <n v="4"/>
    <n v="13"/>
    <n v="2026"/>
    <x v="11"/>
    <s v="Q2"/>
    <x v="4"/>
  </r>
  <r>
    <s v="O102034"/>
    <x v="612"/>
    <x v="2"/>
    <x v="3"/>
    <x v="2"/>
    <x v="2"/>
    <n v="5"/>
    <n v="1060142"/>
    <d v="2025-04-05T00:00:00"/>
    <n v="4"/>
    <n v="5"/>
    <n v="2025"/>
    <x v="11"/>
    <s v="Q2"/>
    <x v="2"/>
  </r>
  <r>
    <s v="O110620"/>
    <x v="239"/>
    <x v="2"/>
    <x v="0"/>
    <x v="1"/>
    <x v="1"/>
    <n v="2"/>
    <n v="1060112"/>
    <d v="2026-08-10T00:00:00"/>
    <n v="8"/>
    <n v="10"/>
    <n v="2026"/>
    <x v="8"/>
    <s v="Q3"/>
    <x v="1"/>
  </r>
  <r>
    <s v="O110956"/>
    <x v="344"/>
    <x v="1"/>
    <x v="5"/>
    <x v="3"/>
    <x v="1"/>
    <n v="9"/>
    <n v="1059874"/>
    <d v="2026-10-28T00:00:00"/>
    <n v="10"/>
    <n v="28"/>
    <n v="2026"/>
    <x v="9"/>
    <s v="Q4"/>
    <x v="3"/>
  </r>
  <r>
    <s v="O106765"/>
    <x v="702"/>
    <x v="10"/>
    <x v="4"/>
    <x v="2"/>
    <x v="0"/>
    <n v="5"/>
    <n v="1059869"/>
    <d v="2026-02-15T00:00:00"/>
    <n v="2"/>
    <n v="15"/>
    <n v="2026"/>
    <x v="4"/>
    <s v="Q1"/>
    <x v="2"/>
  </r>
  <r>
    <s v="O110006"/>
    <x v="142"/>
    <x v="10"/>
    <x v="5"/>
    <x v="0"/>
    <x v="0"/>
    <n v="10"/>
    <n v="1059823"/>
    <d v="2026-08-31T00:00:00"/>
    <n v="8"/>
    <n v="31"/>
    <n v="2026"/>
    <x v="8"/>
    <s v="Q3"/>
    <x v="0"/>
  </r>
  <r>
    <s v="O102984"/>
    <x v="562"/>
    <x v="8"/>
    <x v="1"/>
    <x v="4"/>
    <x v="1"/>
    <n v="8"/>
    <n v="1059802"/>
    <d v="2025-01-07T00:00:00"/>
    <n v="1"/>
    <n v="7"/>
    <n v="2025"/>
    <x v="6"/>
    <s v="Q1"/>
    <x v="4"/>
  </r>
  <r>
    <s v="O103829"/>
    <x v="518"/>
    <x v="1"/>
    <x v="5"/>
    <x v="0"/>
    <x v="3"/>
    <n v="8"/>
    <n v="1059634"/>
    <d v="2025-08-21T00:00:00"/>
    <n v="8"/>
    <n v="21"/>
    <n v="2025"/>
    <x v="8"/>
    <s v="Q3"/>
    <x v="0"/>
  </r>
  <r>
    <s v="O106568"/>
    <x v="199"/>
    <x v="9"/>
    <x v="2"/>
    <x v="1"/>
    <x v="3"/>
    <n v="4"/>
    <n v="1059472"/>
    <d v="2026-03-02T00:00:00"/>
    <n v="3"/>
    <n v="2"/>
    <n v="2026"/>
    <x v="5"/>
    <s v="Q1"/>
    <x v="1"/>
  </r>
  <r>
    <s v="O100267"/>
    <x v="55"/>
    <x v="10"/>
    <x v="4"/>
    <x v="4"/>
    <x v="2"/>
    <n v="6"/>
    <n v="1059234"/>
    <d v="2025-01-17T00:00:00"/>
    <n v="1"/>
    <n v="17"/>
    <n v="2025"/>
    <x v="6"/>
    <s v="Q1"/>
    <x v="4"/>
  </r>
  <r>
    <s v="O108013"/>
    <x v="379"/>
    <x v="5"/>
    <x v="2"/>
    <x v="2"/>
    <x v="1"/>
    <n v="4"/>
    <n v="1058899"/>
    <d v="2026-02-05T00:00:00"/>
    <n v="2"/>
    <n v="5"/>
    <n v="2026"/>
    <x v="4"/>
    <s v="Q1"/>
    <x v="2"/>
  </r>
  <r>
    <s v="O108553"/>
    <x v="191"/>
    <x v="8"/>
    <x v="2"/>
    <x v="1"/>
    <x v="2"/>
    <n v="4"/>
    <n v="1058586"/>
    <d v="2026-04-06T00:00:00"/>
    <n v="4"/>
    <n v="6"/>
    <n v="2026"/>
    <x v="11"/>
    <s v="Q2"/>
    <x v="1"/>
  </r>
  <r>
    <s v="O102112"/>
    <x v="188"/>
    <x v="9"/>
    <x v="0"/>
    <x v="4"/>
    <x v="0"/>
    <n v="2"/>
    <n v="1058365"/>
    <d v="2025-09-05T00:00:00"/>
    <n v="9"/>
    <n v="5"/>
    <n v="2025"/>
    <x v="1"/>
    <s v="Q3"/>
    <x v="4"/>
  </r>
  <r>
    <s v="O106990"/>
    <x v="0"/>
    <x v="4"/>
    <x v="0"/>
    <x v="1"/>
    <x v="0"/>
    <n v="2"/>
    <n v="1058332"/>
    <d v="2026-01-03T00:00:00"/>
    <n v="1"/>
    <n v="3"/>
    <n v="2026"/>
    <x v="6"/>
    <s v="Q1"/>
    <x v="1"/>
  </r>
  <r>
    <s v="O106840"/>
    <x v="52"/>
    <x v="1"/>
    <x v="3"/>
    <x v="4"/>
    <x v="3"/>
    <n v="5"/>
    <n v="1058245"/>
    <d v="2026-02-20T00:00:00"/>
    <n v="2"/>
    <n v="20"/>
    <n v="2026"/>
    <x v="4"/>
    <s v="Q1"/>
    <x v="4"/>
  </r>
  <r>
    <s v="O107679"/>
    <x v="89"/>
    <x v="10"/>
    <x v="0"/>
    <x v="2"/>
    <x v="1"/>
    <n v="3"/>
    <n v="1058221"/>
    <d v="2026-12-04T00:00:00"/>
    <n v="12"/>
    <n v="4"/>
    <n v="2026"/>
    <x v="7"/>
    <s v="Q4"/>
    <x v="2"/>
  </r>
  <r>
    <s v="O102861"/>
    <x v="648"/>
    <x v="4"/>
    <x v="5"/>
    <x v="3"/>
    <x v="2"/>
    <n v="8"/>
    <n v="1057937"/>
    <d v="2025-06-23T00:00:00"/>
    <n v="6"/>
    <n v="23"/>
    <n v="2025"/>
    <x v="2"/>
    <s v="Q2"/>
    <x v="3"/>
  </r>
  <r>
    <s v="O107040"/>
    <x v="625"/>
    <x v="3"/>
    <x v="2"/>
    <x v="0"/>
    <x v="0"/>
    <n v="3"/>
    <n v="1057708"/>
    <d v="2026-04-03T00:00:00"/>
    <n v="4"/>
    <n v="3"/>
    <n v="2026"/>
    <x v="11"/>
    <s v="Q2"/>
    <x v="0"/>
  </r>
  <r>
    <s v="O107028"/>
    <x v="169"/>
    <x v="0"/>
    <x v="3"/>
    <x v="1"/>
    <x v="0"/>
    <n v="6"/>
    <n v="1057652"/>
    <d v="2026-03-03T00:00:00"/>
    <n v="3"/>
    <n v="3"/>
    <n v="2026"/>
    <x v="5"/>
    <m/>
    <x v="1"/>
  </r>
  <r>
    <s v="O110582"/>
    <x v="123"/>
    <x v="6"/>
    <x v="3"/>
    <x v="4"/>
    <x v="1"/>
    <n v="4"/>
    <n v="1057427"/>
    <d v="2026-05-10T00:00:00"/>
    <n v="5"/>
    <n v="10"/>
    <n v="2026"/>
    <x v="3"/>
    <s v="Q2"/>
    <x v="4"/>
  </r>
  <r>
    <s v="O106630"/>
    <x v="146"/>
    <x v="2"/>
    <x v="4"/>
    <x v="2"/>
    <x v="0"/>
    <n v="6"/>
    <n v="1057406"/>
    <d v="2026-07-02T00:00:00"/>
    <n v="7"/>
    <n v="2"/>
    <n v="2026"/>
    <x v="10"/>
    <s v="Q3"/>
    <x v="2"/>
  </r>
  <r>
    <s v="O111993"/>
    <x v="627"/>
    <x v="9"/>
    <x v="3"/>
    <x v="2"/>
    <x v="0"/>
    <n v="4"/>
    <n v="1057321"/>
    <d v="2026-12-30T00:00:00"/>
    <n v="12"/>
    <n v="30"/>
    <n v="2026"/>
    <x v="7"/>
    <s v="Q4"/>
    <x v="2"/>
  </r>
  <r>
    <s v="O105342"/>
    <x v="402"/>
    <x v="9"/>
    <x v="3"/>
    <x v="1"/>
    <x v="1"/>
    <n v="5"/>
    <n v="1057093"/>
    <d v="2025-11-21T00:00:00"/>
    <n v="11"/>
    <n v="21"/>
    <n v="2025"/>
    <x v="0"/>
    <s v="Q4"/>
    <x v="1"/>
  </r>
  <r>
    <s v="O100227"/>
    <x v="720"/>
    <x v="4"/>
    <x v="3"/>
    <x v="3"/>
    <x v="1"/>
    <n v="6"/>
    <n v="1057071"/>
    <d v="2025-01-14T00:00:00"/>
    <n v="1"/>
    <n v="14"/>
    <n v="2025"/>
    <x v="6"/>
    <s v="Q1"/>
    <x v="3"/>
  </r>
  <r>
    <s v="O103673"/>
    <x v="224"/>
    <x v="3"/>
    <x v="4"/>
    <x v="1"/>
    <x v="0"/>
    <n v="5"/>
    <n v="1056811"/>
    <d v="2025-12-08T00:00:00"/>
    <n v="12"/>
    <n v="8"/>
    <n v="2025"/>
    <x v="7"/>
    <s v="Q4"/>
    <x v="1"/>
  </r>
  <r>
    <s v="O107523"/>
    <x v="178"/>
    <x v="8"/>
    <x v="2"/>
    <x v="4"/>
    <x v="0"/>
    <n v="4"/>
    <n v="1056622"/>
    <d v="2026-02-04T00:00:00"/>
    <n v="2"/>
    <n v="4"/>
    <n v="2026"/>
    <x v="4"/>
    <s v="Q1"/>
    <x v="4"/>
  </r>
  <r>
    <s v="O105078"/>
    <x v="48"/>
    <x v="4"/>
    <x v="0"/>
    <x v="0"/>
    <x v="3"/>
    <n v="3"/>
    <n v="1056171"/>
    <d v="2025-05-11T00:00:00"/>
    <n v="5"/>
    <n v="11"/>
    <n v="2025"/>
    <x v="3"/>
    <s v="Q2"/>
    <x v="0"/>
  </r>
  <r>
    <s v="O102326"/>
    <x v="316"/>
    <x v="5"/>
    <x v="3"/>
    <x v="2"/>
    <x v="0"/>
    <n v="6"/>
    <n v="1056167"/>
    <d v="2025-05-22T00:00:00"/>
    <n v="5"/>
    <n v="22"/>
    <n v="2025"/>
    <x v="3"/>
    <s v="Q2"/>
    <x v="2"/>
  </r>
  <r>
    <s v="O104210"/>
    <x v="391"/>
    <x v="10"/>
    <x v="0"/>
    <x v="1"/>
    <x v="3"/>
    <n v="3"/>
    <n v="1055313"/>
    <d v="2025-09-13T00:00:00"/>
    <n v="9"/>
    <n v="13"/>
    <n v="2025"/>
    <x v="1"/>
    <s v="Q3"/>
    <x v="1"/>
  </r>
  <r>
    <s v="O111347"/>
    <x v="618"/>
    <x v="8"/>
    <x v="3"/>
    <x v="3"/>
    <x v="0"/>
    <n v="4"/>
    <n v="1054603"/>
    <d v="2026-11-21T00:00:00"/>
    <n v="11"/>
    <n v="21"/>
    <n v="2026"/>
    <x v="0"/>
    <s v="Q4"/>
    <x v="3"/>
  </r>
  <r>
    <s v="O103818"/>
    <x v="390"/>
    <x v="1"/>
    <x v="5"/>
    <x v="1"/>
    <x v="1"/>
    <n v="9"/>
    <n v="1054373"/>
    <d v="2025-08-20T00:00:00"/>
    <n v="8"/>
    <n v="20"/>
    <n v="2025"/>
    <x v="8"/>
    <s v="Q3"/>
    <x v="1"/>
  </r>
  <r>
    <s v="O108560"/>
    <x v="714"/>
    <x v="6"/>
    <x v="5"/>
    <x v="3"/>
    <x v="1"/>
    <n v="9"/>
    <n v="1053298"/>
    <d v="2026-05-06T00:00:00"/>
    <n v="5"/>
    <n v="6"/>
    <n v="2026"/>
    <x v="3"/>
    <s v="Q2"/>
    <x v="3"/>
  </r>
  <r>
    <s v="O101557"/>
    <x v="190"/>
    <x v="3"/>
    <x v="2"/>
    <x v="1"/>
    <x v="3"/>
    <n v="3"/>
    <n v="1053155"/>
    <d v="2025-05-04T00:00:00"/>
    <n v="5"/>
    <n v="4"/>
    <n v="2025"/>
    <x v="3"/>
    <s v="Q2"/>
    <x v="1"/>
  </r>
  <r>
    <s v="O102957"/>
    <x v="777"/>
    <x v="10"/>
    <x v="4"/>
    <x v="2"/>
    <x v="1"/>
    <n v="6"/>
    <n v="1053116"/>
    <d v="2025-06-29T00:00:00"/>
    <n v="6"/>
    <n v="29"/>
    <n v="2025"/>
    <x v="2"/>
    <s v="Q2"/>
    <x v="2"/>
  </r>
  <r>
    <s v="O100469"/>
    <x v="431"/>
    <x v="3"/>
    <x v="0"/>
    <x v="4"/>
    <x v="2"/>
    <n v="2"/>
    <n v="1053076"/>
    <d v="2025-01-29T00:00:00"/>
    <n v="1"/>
    <n v="29"/>
    <n v="2025"/>
    <x v="6"/>
    <s v="Q1"/>
    <x v="4"/>
  </r>
  <r>
    <s v="O100807"/>
    <x v="225"/>
    <x v="2"/>
    <x v="3"/>
    <x v="1"/>
    <x v="3"/>
    <n v="4"/>
    <n v="1053053"/>
    <d v="2025-02-18T00:00:00"/>
    <n v="2"/>
    <n v="18"/>
    <n v="2025"/>
    <x v="4"/>
    <s v="Q1"/>
    <x v="1"/>
  </r>
  <r>
    <s v="O103961"/>
    <x v="28"/>
    <x v="9"/>
    <x v="2"/>
    <x v="1"/>
    <x v="2"/>
    <n v="3"/>
    <n v="1052015"/>
    <d v="2025-08-29T00:00:00"/>
    <n v="8"/>
    <n v="29"/>
    <n v="2025"/>
    <x v="8"/>
    <s v="Q3"/>
    <x v="1"/>
  </r>
  <r>
    <s v="O105845"/>
    <x v="364"/>
    <x v="0"/>
    <x v="5"/>
    <x v="4"/>
    <x v="3"/>
    <n v="10"/>
    <n v="1051953"/>
    <d v="2025-12-22T00:00:00"/>
    <n v="12"/>
    <n v="22"/>
    <n v="2025"/>
    <x v="7"/>
    <s v="Q4"/>
    <x v="4"/>
  </r>
  <r>
    <s v="O101926"/>
    <x v="57"/>
    <x v="3"/>
    <x v="0"/>
    <x v="4"/>
    <x v="1"/>
    <n v="3"/>
    <n v="1051875"/>
    <d v="2025-04-27T00:00:00"/>
    <n v="4"/>
    <n v="27"/>
    <n v="2025"/>
    <x v="11"/>
    <s v="Q2"/>
    <x v="4"/>
  </r>
  <r>
    <s v="O101206"/>
    <x v="468"/>
    <x v="3"/>
    <x v="4"/>
    <x v="4"/>
    <x v="2"/>
    <n v="6"/>
    <n v="1051314"/>
    <d v="2025-03-15T00:00:00"/>
    <n v="3"/>
    <n v="15"/>
    <n v="2025"/>
    <x v="5"/>
    <s v="Q1"/>
    <x v="4"/>
  </r>
  <r>
    <s v="O105568"/>
    <x v="793"/>
    <x v="6"/>
    <x v="4"/>
    <x v="2"/>
    <x v="3"/>
    <n v="6"/>
    <n v="1050990"/>
    <d v="2025-05-12T00:00:00"/>
    <n v="5"/>
    <n v="12"/>
    <n v="2025"/>
    <x v="3"/>
    <s v="Q2"/>
    <x v="2"/>
  </r>
  <r>
    <s v="O103075"/>
    <x v="260"/>
    <x v="10"/>
    <x v="2"/>
    <x v="2"/>
    <x v="3"/>
    <n v="4"/>
    <n v="1050932"/>
    <d v="2025-06-07T00:00:00"/>
    <n v="6"/>
    <n v="7"/>
    <n v="2025"/>
    <x v="2"/>
    <s v="Q2"/>
    <x v="2"/>
  </r>
  <r>
    <s v="O101448"/>
    <x v="151"/>
    <x v="1"/>
    <x v="5"/>
    <x v="4"/>
    <x v="2"/>
    <n v="10"/>
    <n v="1050855"/>
    <d v="2025-03-29T00:00:00"/>
    <n v="3"/>
    <n v="29"/>
    <n v="2025"/>
    <x v="5"/>
    <s v="Q1"/>
    <x v="4"/>
  </r>
  <r>
    <s v="O110915"/>
    <x v="492"/>
    <x v="1"/>
    <x v="5"/>
    <x v="3"/>
    <x v="0"/>
    <n v="8"/>
    <n v="1050853"/>
    <d v="2026-10-26T00:00:00"/>
    <n v="10"/>
    <n v="26"/>
    <n v="2026"/>
    <x v="9"/>
    <s v="Q4"/>
    <x v="3"/>
  </r>
  <r>
    <s v="O104214"/>
    <x v="759"/>
    <x v="10"/>
    <x v="0"/>
    <x v="4"/>
    <x v="0"/>
    <n v="2"/>
    <n v="1049965"/>
    <d v="2025-09-13T00:00:00"/>
    <n v="9"/>
    <n v="13"/>
    <n v="2025"/>
    <x v="1"/>
    <s v="Q3"/>
    <x v="4"/>
  </r>
  <r>
    <s v="O101669"/>
    <x v="7"/>
    <x v="2"/>
    <x v="0"/>
    <x v="1"/>
    <x v="1"/>
    <n v="2"/>
    <n v="1049839"/>
    <d v="2025-12-04T00:00:00"/>
    <n v="12"/>
    <n v="4"/>
    <n v="2025"/>
    <x v="7"/>
    <s v="Q4"/>
    <x v="1"/>
  </r>
  <r>
    <s v="O105173"/>
    <x v="201"/>
    <x v="10"/>
    <x v="0"/>
    <x v="2"/>
    <x v="1"/>
    <n v="3"/>
    <n v="1049782"/>
    <d v="2025-11-11T00:00:00"/>
    <n v="11"/>
    <n v="11"/>
    <n v="2025"/>
    <x v="0"/>
    <s v="Q4"/>
    <x v="2"/>
  </r>
  <r>
    <s v="O106771"/>
    <x v="537"/>
    <x v="1"/>
    <x v="0"/>
    <x v="0"/>
    <x v="0"/>
    <n v="2"/>
    <n v="1049373"/>
    <d v="2026-02-16T00:00:00"/>
    <n v="2"/>
    <n v="16"/>
    <n v="2026"/>
    <x v="4"/>
    <s v="Q1"/>
    <x v="0"/>
  </r>
  <r>
    <s v="O104336"/>
    <x v="420"/>
    <x v="2"/>
    <x v="0"/>
    <x v="1"/>
    <x v="0"/>
    <n v="2"/>
    <n v="1049357"/>
    <d v="2025-09-21T00:00:00"/>
    <n v="9"/>
    <n v="21"/>
    <n v="2025"/>
    <x v="1"/>
    <s v="Q3"/>
    <x v="1"/>
  </r>
  <r>
    <s v="O100266"/>
    <x v="510"/>
    <x v="3"/>
    <x v="4"/>
    <x v="2"/>
    <x v="1"/>
    <n v="5"/>
    <n v="1049201"/>
    <d v="2025-01-17T00:00:00"/>
    <n v="1"/>
    <n v="17"/>
    <n v="2025"/>
    <x v="6"/>
    <s v="Q1"/>
    <x v="2"/>
  </r>
  <r>
    <s v="O108747"/>
    <x v="219"/>
    <x v="8"/>
    <x v="0"/>
    <x v="3"/>
    <x v="2"/>
    <n v="2"/>
    <n v="1049095"/>
    <d v="2026-06-16T00:00:00"/>
    <n v="6"/>
    <n v="16"/>
    <n v="2026"/>
    <x v="2"/>
    <s v="Q2"/>
    <x v="3"/>
  </r>
  <r>
    <s v="O105634"/>
    <x v="771"/>
    <x v="9"/>
    <x v="0"/>
    <x v="1"/>
    <x v="2"/>
    <n v="2"/>
    <n v="1048718"/>
    <d v="2025-09-12T00:00:00"/>
    <n v="9"/>
    <n v="12"/>
    <n v="2025"/>
    <x v="1"/>
    <s v="Q3"/>
    <x v="1"/>
  </r>
  <r>
    <s v="O103723"/>
    <x v="52"/>
    <x v="1"/>
    <x v="3"/>
    <x v="4"/>
    <x v="2"/>
    <n v="5"/>
    <n v="1048654"/>
    <d v="2025-08-15T00:00:00"/>
    <n v="8"/>
    <n v="15"/>
    <n v="2025"/>
    <x v="8"/>
    <s v="Q3"/>
    <x v="4"/>
  </r>
  <r>
    <s v="O100044"/>
    <x v="592"/>
    <x v="1"/>
    <x v="5"/>
    <x v="1"/>
    <x v="1"/>
    <n v="9"/>
    <n v="1048299"/>
    <d v="2025-03-01T00:00:00"/>
    <n v="3"/>
    <n v="1"/>
    <n v="2025"/>
    <x v="5"/>
    <s v="Q1"/>
    <x v="1"/>
  </r>
  <r>
    <s v="O107965"/>
    <x v="758"/>
    <x v="0"/>
    <x v="2"/>
    <x v="2"/>
    <x v="1"/>
    <n v="3"/>
    <n v="1048004"/>
    <d v="2026-04-29T00:00:00"/>
    <n v="4"/>
    <n v="29"/>
    <n v="2026"/>
    <x v="11"/>
    <s v="Q2"/>
    <x v="2"/>
  </r>
  <r>
    <s v="O100352"/>
    <x v="247"/>
    <x v="4"/>
    <x v="5"/>
    <x v="4"/>
    <x v="1"/>
    <n v="10"/>
    <n v="1047985"/>
    <d v="2025-01-22T00:00:00"/>
    <n v="1"/>
    <n v="22"/>
    <n v="2025"/>
    <x v="6"/>
    <s v="Q1"/>
    <x v="4"/>
  </r>
  <r>
    <s v="O101563"/>
    <x v="446"/>
    <x v="6"/>
    <x v="4"/>
    <x v="2"/>
    <x v="0"/>
    <n v="7"/>
    <n v="1047788"/>
    <d v="2025-05-04T00:00:00"/>
    <n v="5"/>
    <n v="4"/>
    <n v="2025"/>
    <x v="3"/>
    <s v="Q2"/>
    <x v="2"/>
  </r>
  <r>
    <s v="O107446"/>
    <x v="794"/>
    <x v="9"/>
    <x v="4"/>
    <x v="3"/>
    <x v="2"/>
    <n v="6"/>
    <n v="1047500"/>
    <d v="2026-03-29T00:00:00"/>
    <n v="3"/>
    <n v="29"/>
    <n v="2026"/>
    <x v="5"/>
    <s v="Q1"/>
    <x v="3"/>
  </r>
  <r>
    <s v="O101033"/>
    <x v="79"/>
    <x v="10"/>
    <x v="0"/>
    <x v="2"/>
    <x v="1"/>
    <n v="2"/>
    <n v="1047154"/>
    <d v="2025-04-03T00:00:00"/>
    <n v="4"/>
    <n v="3"/>
    <n v="2025"/>
    <x v="11"/>
    <s v="Q2"/>
    <x v="2"/>
  </r>
  <r>
    <s v="O103176"/>
    <x v="701"/>
    <x v="0"/>
    <x v="0"/>
    <x v="4"/>
    <x v="1"/>
    <n v="2"/>
    <n v="1046722"/>
    <d v="2025-12-07T00:00:00"/>
    <n v="12"/>
    <n v="7"/>
    <n v="2025"/>
    <x v="7"/>
    <s v="Q4"/>
    <x v="4"/>
  </r>
  <r>
    <s v="O111286"/>
    <x v="731"/>
    <x v="4"/>
    <x v="0"/>
    <x v="1"/>
    <x v="0"/>
    <n v="3"/>
    <n v="1046289"/>
    <d v="2026-11-17T00:00:00"/>
    <n v="11"/>
    <n v="17"/>
    <n v="2026"/>
    <x v="0"/>
    <s v="Q4"/>
    <x v="1"/>
  </r>
  <r>
    <s v="O109962"/>
    <x v="762"/>
    <x v="10"/>
    <x v="2"/>
    <x v="2"/>
    <x v="0"/>
    <n v="3"/>
    <n v="1045621"/>
    <d v="2026-08-29T00:00:00"/>
    <n v="8"/>
    <n v="29"/>
    <n v="2026"/>
    <x v="8"/>
    <s v="Q3"/>
    <x v="2"/>
  </r>
  <r>
    <s v="O103718"/>
    <x v="638"/>
    <x v="0"/>
    <x v="0"/>
    <x v="3"/>
    <x v="3"/>
    <n v="3"/>
    <n v="1045467"/>
    <d v="2025-08-14T00:00:00"/>
    <n v="8"/>
    <n v="14"/>
    <n v="2025"/>
    <x v="8"/>
    <s v="Q3"/>
    <x v="3"/>
  </r>
  <r>
    <s v="O109572"/>
    <x v="793"/>
    <x v="3"/>
    <x v="0"/>
    <x v="1"/>
    <x v="2"/>
    <n v="3"/>
    <n v="1045161"/>
    <d v="2026-05-08T00:00:00"/>
    <n v="5"/>
    <n v="8"/>
    <n v="2026"/>
    <x v="3"/>
    <s v="Q2"/>
    <x v="1"/>
  </r>
  <r>
    <s v="O106247"/>
    <x v="517"/>
    <x v="5"/>
    <x v="0"/>
    <x v="4"/>
    <x v="1"/>
    <n v="3"/>
    <n v="1045097"/>
    <d v="2026-01-15T00:00:00"/>
    <n v="1"/>
    <n v="15"/>
    <n v="2026"/>
    <x v="6"/>
    <s v="Q1"/>
    <x v="4"/>
  </r>
  <r>
    <s v="O103856"/>
    <x v="702"/>
    <x v="2"/>
    <x v="0"/>
    <x v="3"/>
    <x v="1"/>
    <n v="2"/>
    <n v="1045001"/>
    <d v="2025-08-23T00:00:00"/>
    <n v="8"/>
    <n v="23"/>
    <n v="2025"/>
    <x v="8"/>
    <s v="Q3"/>
    <x v="3"/>
  </r>
  <r>
    <s v="O104261"/>
    <x v="654"/>
    <x v="4"/>
    <x v="0"/>
    <x v="3"/>
    <x v="3"/>
    <n v="3"/>
    <n v="1044643"/>
    <d v="2025-09-16T00:00:00"/>
    <n v="9"/>
    <n v="16"/>
    <n v="2025"/>
    <x v="1"/>
    <s v="Q3"/>
    <x v="3"/>
  </r>
  <r>
    <s v="O108399"/>
    <x v="457"/>
    <x v="6"/>
    <x v="5"/>
    <x v="1"/>
    <x v="2"/>
    <n v="8"/>
    <n v="1044145"/>
    <d v="2026-05-26T00:00:00"/>
    <n v="5"/>
    <n v="26"/>
    <n v="2026"/>
    <x v="3"/>
    <s v="Q2"/>
    <x v="1"/>
  </r>
  <r>
    <s v="O101799"/>
    <x v="178"/>
    <x v="6"/>
    <x v="0"/>
    <x v="1"/>
    <x v="0"/>
    <n v="2"/>
    <n v="1044105"/>
    <d v="2025-04-20T00:00:00"/>
    <n v="4"/>
    <n v="20"/>
    <n v="2025"/>
    <x v="11"/>
    <s v="Q2"/>
    <x v="1"/>
  </r>
  <r>
    <s v="O103393"/>
    <x v="491"/>
    <x v="0"/>
    <x v="5"/>
    <x v="0"/>
    <x v="2"/>
    <n v="8"/>
    <n v="1043835"/>
    <d v="2025-07-26T00:00:00"/>
    <n v="7"/>
    <n v="26"/>
    <n v="2025"/>
    <x v="10"/>
    <m/>
    <x v="0"/>
  </r>
  <r>
    <s v="O106139"/>
    <x v="373"/>
    <x v="0"/>
    <x v="2"/>
    <x v="2"/>
    <x v="3"/>
    <n v="4"/>
    <n v="1043659"/>
    <d v="2026-08-01T00:00:00"/>
    <n v="8"/>
    <n v="1"/>
    <n v="2026"/>
    <x v="8"/>
    <s v="Q3"/>
    <x v="2"/>
  </r>
  <r>
    <s v="O104805"/>
    <x v="495"/>
    <x v="0"/>
    <x v="5"/>
    <x v="3"/>
    <x v="2"/>
    <n v="9"/>
    <n v="1043136"/>
    <d v="2025-10-19T00:00:00"/>
    <n v="10"/>
    <n v="19"/>
    <n v="2025"/>
    <x v="9"/>
    <s v="Q4"/>
    <x v="3"/>
  </r>
  <r>
    <s v="O108876"/>
    <x v="413"/>
    <x v="2"/>
    <x v="0"/>
    <x v="1"/>
    <x v="0"/>
    <n v="2"/>
    <n v="1042875"/>
    <d v="2026-06-24T00:00:00"/>
    <n v="6"/>
    <n v="24"/>
    <n v="2026"/>
    <x v="2"/>
    <s v="Q2"/>
    <x v="1"/>
  </r>
  <r>
    <s v="O105327"/>
    <x v="547"/>
    <x v="8"/>
    <x v="0"/>
    <x v="2"/>
    <x v="1"/>
    <n v="2"/>
    <n v="1042462"/>
    <d v="2025-11-20T00:00:00"/>
    <n v="11"/>
    <n v="20"/>
    <n v="2025"/>
    <x v="0"/>
    <s v="Q4"/>
    <x v="2"/>
  </r>
  <r>
    <s v="O108905"/>
    <x v="756"/>
    <x v="5"/>
    <x v="2"/>
    <x v="3"/>
    <x v="0"/>
    <n v="3"/>
    <n v="1041962"/>
    <d v="2026-06-25T00:00:00"/>
    <n v="6"/>
    <n v="25"/>
    <n v="2026"/>
    <x v="2"/>
    <s v="Q2"/>
    <x v="3"/>
  </r>
  <r>
    <s v="O100135"/>
    <x v="684"/>
    <x v="0"/>
    <x v="3"/>
    <x v="3"/>
    <x v="2"/>
    <n v="4"/>
    <n v="1041782"/>
    <d v="2025-09-01T00:00:00"/>
    <n v="9"/>
    <n v="1"/>
    <n v="2025"/>
    <x v="1"/>
    <s v="Q3"/>
    <x v="3"/>
  </r>
  <r>
    <s v="O108587"/>
    <x v="672"/>
    <x v="1"/>
    <x v="5"/>
    <x v="0"/>
    <x v="1"/>
    <n v="9"/>
    <n v="1041121"/>
    <d v="2026-06-06T00:00:00"/>
    <n v="6"/>
    <n v="6"/>
    <n v="2026"/>
    <x v="2"/>
    <s v="Q2"/>
    <x v="0"/>
  </r>
  <r>
    <s v="O101845"/>
    <x v="307"/>
    <x v="5"/>
    <x v="3"/>
    <x v="4"/>
    <x v="2"/>
    <n v="6"/>
    <n v="1040511"/>
    <d v="2025-04-23T00:00:00"/>
    <n v="4"/>
    <n v="23"/>
    <n v="2025"/>
    <x v="11"/>
    <s v="Q2"/>
    <x v="4"/>
  </r>
  <r>
    <s v="O105662"/>
    <x v="753"/>
    <x v="0"/>
    <x v="0"/>
    <x v="3"/>
    <x v="2"/>
    <n v="2"/>
    <n v="1040136"/>
    <d v="2025-10-12T00:00:00"/>
    <n v="10"/>
    <n v="12"/>
    <n v="2025"/>
    <x v="9"/>
    <s v="Q4"/>
    <x v="3"/>
  </r>
  <r>
    <s v="O108088"/>
    <x v="424"/>
    <x v="2"/>
    <x v="4"/>
    <x v="2"/>
    <x v="0"/>
    <n v="5"/>
    <n v="1040104"/>
    <d v="2026-05-07T00:00:00"/>
    <n v="5"/>
    <n v="7"/>
    <n v="2026"/>
    <x v="3"/>
    <s v="Q2"/>
    <x v="2"/>
  </r>
  <r>
    <s v="O111061"/>
    <x v="669"/>
    <x v="8"/>
    <x v="4"/>
    <x v="0"/>
    <x v="3"/>
    <n v="6"/>
    <n v="1040064"/>
    <d v="2026-03-11T00:00:00"/>
    <n v="3"/>
    <n v="11"/>
    <n v="2026"/>
    <x v="5"/>
    <s v="Q1"/>
    <x v="0"/>
  </r>
  <r>
    <s v="O111578"/>
    <x v="565"/>
    <x v="9"/>
    <x v="3"/>
    <x v="1"/>
    <x v="1"/>
    <n v="5"/>
    <n v="1039921"/>
    <d v="2026-05-12T00:00:00"/>
    <n v="5"/>
    <n v="12"/>
    <n v="2026"/>
    <x v="3"/>
    <s v="Q2"/>
    <x v="1"/>
  </r>
  <r>
    <s v="O102252"/>
    <x v="561"/>
    <x v="9"/>
    <x v="5"/>
    <x v="1"/>
    <x v="3"/>
    <n v="10"/>
    <n v="1039690"/>
    <d v="2025-05-17T00:00:00"/>
    <n v="5"/>
    <n v="17"/>
    <n v="2025"/>
    <x v="3"/>
    <s v="Q2"/>
    <x v="1"/>
  </r>
  <r>
    <s v="O106049"/>
    <x v="168"/>
    <x v="0"/>
    <x v="5"/>
    <x v="3"/>
    <x v="2"/>
    <n v="9"/>
    <n v="1038599"/>
    <d v="2026-03-01T00:00:00"/>
    <n v="3"/>
    <n v="1"/>
    <n v="2026"/>
    <x v="5"/>
    <s v="Q1"/>
    <x v="3"/>
  </r>
  <r>
    <s v="O102137"/>
    <x v="512"/>
    <x v="2"/>
    <x v="0"/>
    <x v="4"/>
    <x v="0"/>
    <n v="3"/>
    <n v="1038416"/>
    <d v="2025-10-05T00:00:00"/>
    <n v="10"/>
    <n v="5"/>
    <n v="2025"/>
    <x v="9"/>
    <s v="Q4"/>
    <x v="4"/>
  </r>
  <r>
    <s v="O105647"/>
    <x v="391"/>
    <x v="8"/>
    <x v="0"/>
    <x v="0"/>
    <x v="3"/>
    <n v="2"/>
    <n v="1038281"/>
    <d v="2025-10-12T00:00:00"/>
    <n v="10"/>
    <n v="12"/>
    <n v="2025"/>
    <x v="9"/>
    <s v="Q4"/>
    <x v="0"/>
  </r>
  <r>
    <s v="O100346"/>
    <x v="17"/>
    <x v="0"/>
    <x v="2"/>
    <x v="1"/>
    <x v="1"/>
    <n v="4"/>
    <n v="1038234"/>
    <d v="2025-01-21T00:00:00"/>
    <n v="1"/>
    <n v="21"/>
    <n v="2025"/>
    <x v="6"/>
    <s v="Q1"/>
    <x v="1"/>
  </r>
  <r>
    <s v="O108622"/>
    <x v="147"/>
    <x v="2"/>
    <x v="0"/>
    <x v="1"/>
    <x v="2"/>
    <n v="3"/>
    <n v="1037351"/>
    <d v="2026-08-06T00:00:00"/>
    <n v="8"/>
    <n v="6"/>
    <n v="2026"/>
    <x v="8"/>
    <s v="Q3"/>
    <x v="1"/>
  </r>
  <r>
    <s v="O103573"/>
    <x v="772"/>
    <x v="1"/>
    <x v="5"/>
    <x v="1"/>
    <x v="3"/>
    <n v="10"/>
    <n v="1036936"/>
    <d v="2025-06-08T00:00:00"/>
    <n v="6"/>
    <n v="8"/>
    <n v="2025"/>
    <x v="2"/>
    <s v="Q2"/>
    <x v="1"/>
  </r>
  <r>
    <s v="O106157"/>
    <x v="446"/>
    <x v="6"/>
    <x v="4"/>
    <x v="0"/>
    <x v="2"/>
    <n v="5"/>
    <n v="1036553"/>
    <d v="2026-10-01T00:00:00"/>
    <n v="10"/>
    <n v="1"/>
    <n v="2026"/>
    <x v="9"/>
    <s v="Q4"/>
    <x v="0"/>
  </r>
  <r>
    <s v="O103390"/>
    <x v="135"/>
    <x v="6"/>
    <x v="2"/>
    <x v="3"/>
    <x v="1"/>
    <n v="3"/>
    <n v="1036370"/>
    <d v="2025-07-25T00:00:00"/>
    <n v="7"/>
    <n v="25"/>
    <n v="2025"/>
    <x v="10"/>
    <s v="Q3"/>
    <x v="3"/>
  </r>
  <r>
    <s v="O105204"/>
    <x v="85"/>
    <x v="5"/>
    <x v="4"/>
    <x v="4"/>
    <x v="3"/>
    <n v="5"/>
    <n v="1035993"/>
    <d v="2025-11-13T00:00:00"/>
    <n v="11"/>
    <n v="13"/>
    <n v="2025"/>
    <x v="0"/>
    <s v="Q4"/>
    <x v="4"/>
  </r>
  <r>
    <s v="O108725"/>
    <x v="273"/>
    <x v="6"/>
    <x v="5"/>
    <x v="0"/>
    <x v="1"/>
    <n v="10"/>
    <n v="1035888"/>
    <d v="2026-06-15T00:00:00"/>
    <n v="6"/>
    <n v="15"/>
    <n v="2026"/>
    <x v="2"/>
    <s v="Q2"/>
    <x v="0"/>
  </r>
  <r>
    <s v="O102582"/>
    <x v="728"/>
    <x v="10"/>
    <x v="5"/>
    <x v="4"/>
    <x v="1"/>
    <n v="7"/>
    <n v="1035864"/>
    <d v="2025-06-06T00:00:00"/>
    <n v="6"/>
    <n v="6"/>
    <n v="2025"/>
    <x v="2"/>
    <s v="Q2"/>
    <x v="4"/>
  </r>
  <r>
    <s v="O102958"/>
    <x v="311"/>
    <x v="1"/>
    <x v="5"/>
    <x v="2"/>
    <x v="0"/>
    <n v="7"/>
    <n v="1035790"/>
    <d v="2025-06-29T00:00:00"/>
    <n v="6"/>
    <n v="29"/>
    <n v="2025"/>
    <x v="2"/>
    <s v="Q2"/>
    <x v="2"/>
  </r>
  <r>
    <s v="O104624"/>
    <x v="378"/>
    <x v="0"/>
    <x v="4"/>
    <x v="1"/>
    <x v="3"/>
    <n v="5"/>
    <n v="1035545"/>
    <d v="2025-08-10T00:00:00"/>
    <n v="8"/>
    <n v="10"/>
    <n v="2025"/>
    <x v="8"/>
    <m/>
    <x v="1"/>
  </r>
  <r>
    <s v="O111812"/>
    <x v="494"/>
    <x v="2"/>
    <x v="3"/>
    <x v="3"/>
    <x v="1"/>
    <n v="4"/>
    <n v="1035313"/>
    <d v="2026-12-19T00:00:00"/>
    <n v="12"/>
    <n v="19"/>
    <n v="2026"/>
    <x v="7"/>
    <s v="Q4"/>
    <x v="3"/>
  </r>
  <r>
    <s v="O102395"/>
    <x v="658"/>
    <x v="2"/>
    <x v="5"/>
    <x v="2"/>
    <x v="3"/>
    <n v="10"/>
    <n v="1034725"/>
    <d v="2025-05-26T00:00:00"/>
    <n v="5"/>
    <n v="26"/>
    <n v="2025"/>
    <x v="3"/>
    <s v="Q2"/>
    <x v="2"/>
  </r>
  <r>
    <s v="O111058"/>
    <x v="132"/>
    <x v="1"/>
    <x v="3"/>
    <x v="3"/>
    <x v="3"/>
    <n v="6"/>
    <n v="1034721"/>
    <d v="2026-03-11T00:00:00"/>
    <n v="3"/>
    <n v="11"/>
    <n v="2026"/>
    <x v="5"/>
    <s v="Q1"/>
    <x v="3"/>
  </r>
  <r>
    <s v="O104310"/>
    <x v="673"/>
    <x v="10"/>
    <x v="4"/>
    <x v="4"/>
    <x v="2"/>
    <n v="5"/>
    <n v="1034519"/>
    <d v="2025-09-19T00:00:00"/>
    <n v="9"/>
    <n v="19"/>
    <n v="2025"/>
    <x v="1"/>
    <s v="Q3"/>
    <x v="4"/>
  </r>
  <r>
    <s v="O110995"/>
    <x v="366"/>
    <x v="0"/>
    <x v="5"/>
    <x v="3"/>
    <x v="0"/>
    <n v="10"/>
    <n v="1034361"/>
    <d v="2026-10-30T00:00:00"/>
    <n v="10"/>
    <n v="30"/>
    <n v="2026"/>
    <x v="9"/>
    <s v="Q4"/>
    <x v="3"/>
  </r>
  <r>
    <s v="O104861"/>
    <x v="243"/>
    <x v="5"/>
    <x v="2"/>
    <x v="0"/>
    <x v="1"/>
    <n v="3"/>
    <n v="1034336"/>
    <d v="2025-10-23T00:00:00"/>
    <n v="10"/>
    <n v="23"/>
    <n v="2025"/>
    <x v="9"/>
    <s v="Q4"/>
    <x v="0"/>
  </r>
  <r>
    <s v="O111057"/>
    <x v="350"/>
    <x v="4"/>
    <x v="2"/>
    <x v="1"/>
    <x v="2"/>
    <n v="4"/>
    <n v="1033781"/>
    <d v="2026-03-11T00:00:00"/>
    <n v="3"/>
    <n v="11"/>
    <n v="2026"/>
    <x v="5"/>
    <s v="Q1"/>
    <x v="1"/>
  </r>
  <r>
    <s v="O105065"/>
    <x v="392"/>
    <x v="10"/>
    <x v="4"/>
    <x v="3"/>
    <x v="0"/>
    <n v="6"/>
    <n v="1033137"/>
    <d v="2025-04-11T00:00:00"/>
    <n v="4"/>
    <n v="11"/>
    <n v="2025"/>
    <x v="11"/>
    <s v="Q2"/>
    <x v="3"/>
  </r>
  <r>
    <s v="O102675"/>
    <x v="147"/>
    <x v="6"/>
    <x v="5"/>
    <x v="2"/>
    <x v="2"/>
    <n v="8"/>
    <n v="1032796"/>
    <d v="2025-12-06T00:00:00"/>
    <n v="12"/>
    <n v="6"/>
    <n v="2025"/>
    <x v="7"/>
    <s v="Q4"/>
    <x v="2"/>
  </r>
  <r>
    <s v="O108791"/>
    <x v="788"/>
    <x v="5"/>
    <x v="5"/>
    <x v="4"/>
    <x v="1"/>
    <n v="9"/>
    <n v="1032596"/>
    <d v="2026-06-19T00:00:00"/>
    <n v="6"/>
    <n v="19"/>
    <n v="2026"/>
    <x v="2"/>
    <s v="Q2"/>
    <x v="4"/>
  </r>
  <r>
    <s v="O111370"/>
    <x v="526"/>
    <x v="10"/>
    <x v="3"/>
    <x v="0"/>
    <x v="1"/>
    <n v="5"/>
    <n v="1031816"/>
    <d v="2026-11-22T00:00:00"/>
    <n v="11"/>
    <n v="22"/>
    <n v="2026"/>
    <x v="0"/>
    <s v="Q4"/>
    <x v="0"/>
  </r>
  <r>
    <s v="O101680"/>
    <x v="636"/>
    <x v="8"/>
    <x v="4"/>
    <x v="3"/>
    <x v="2"/>
    <n v="7"/>
    <n v="1031297"/>
    <d v="2025-04-13T00:00:00"/>
    <n v="4"/>
    <n v="13"/>
    <n v="2025"/>
    <x v="11"/>
    <s v="Q2"/>
    <x v="3"/>
  </r>
  <r>
    <s v="O106766"/>
    <x v="294"/>
    <x v="2"/>
    <x v="5"/>
    <x v="1"/>
    <x v="0"/>
    <n v="8"/>
    <n v="1031272"/>
    <d v="2026-02-16T00:00:00"/>
    <n v="2"/>
    <n v="16"/>
    <n v="2026"/>
    <x v="4"/>
    <s v="Q1"/>
    <x v="1"/>
  </r>
  <r>
    <s v="O109690"/>
    <x v="413"/>
    <x v="6"/>
    <x v="5"/>
    <x v="0"/>
    <x v="2"/>
    <n v="9"/>
    <n v="1031016"/>
    <d v="2026-12-08T00:00:00"/>
    <n v="12"/>
    <n v="8"/>
    <n v="2026"/>
    <x v="7"/>
    <s v="Q4"/>
    <x v="0"/>
  </r>
  <r>
    <s v="O104827"/>
    <x v="267"/>
    <x v="8"/>
    <x v="4"/>
    <x v="0"/>
    <x v="3"/>
    <n v="5"/>
    <n v="1030811"/>
    <d v="2025-10-21T00:00:00"/>
    <n v="10"/>
    <n v="21"/>
    <n v="2025"/>
    <x v="9"/>
    <s v="Q4"/>
    <x v="0"/>
  </r>
  <r>
    <s v="O108346"/>
    <x v="624"/>
    <x v="9"/>
    <x v="4"/>
    <x v="2"/>
    <x v="3"/>
    <n v="7"/>
    <n v="1030475"/>
    <d v="2026-05-23T00:00:00"/>
    <n v="5"/>
    <n v="23"/>
    <n v="2026"/>
    <x v="3"/>
    <s v="Q2"/>
    <x v="2"/>
  </r>
  <r>
    <s v="O109476"/>
    <x v="647"/>
    <x v="3"/>
    <x v="5"/>
    <x v="3"/>
    <x v="3"/>
    <n v="8"/>
    <n v="1029544"/>
    <d v="2026-07-30T00:00:00"/>
    <n v="7"/>
    <n v="30"/>
    <n v="2026"/>
    <x v="10"/>
    <s v="Q3"/>
    <x v="3"/>
  </r>
  <r>
    <s v="O110927"/>
    <x v="249"/>
    <x v="10"/>
    <x v="5"/>
    <x v="4"/>
    <x v="1"/>
    <n v="7"/>
    <n v="1029308"/>
    <d v="2026-10-26T00:00:00"/>
    <n v="10"/>
    <n v="26"/>
    <n v="2026"/>
    <x v="9"/>
    <s v="Q4"/>
    <x v="4"/>
  </r>
  <r>
    <s v="O102498"/>
    <x v="477"/>
    <x v="5"/>
    <x v="5"/>
    <x v="3"/>
    <x v="2"/>
    <n v="9"/>
    <n v="1029221"/>
    <d v="2025-01-06T00:00:00"/>
    <n v="1"/>
    <n v="6"/>
    <n v="2025"/>
    <x v="6"/>
    <s v="Q1"/>
    <x v="3"/>
  </r>
  <r>
    <s v="O111840"/>
    <x v="192"/>
    <x v="0"/>
    <x v="0"/>
    <x v="3"/>
    <x v="1"/>
    <n v="2"/>
    <n v="1029010"/>
    <d v="2026-12-21T00:00:00"/>
    <n v="12"/>
    <n v="21"/>
    <n v="2026"/>
    <x v="7"/>
    <s v="Q4"/>
    <x v="3"/>
  </r>
  <r>
    <s v="O104620"/>
    <x v="546"/>
    <x v="8"/>
    <x v="5"/>
    <x v="4"/>
    <x v="3"/>
    <n v="9"/>
    <n v="1028941"/>
    <d v="2025-08-10T00:00:00"/>
    <n v="8"/>
    <n v="10"/>
    <n v="2025"/>
    <x v="8"/>
    <s v="Q3"/>
    <x v="4"/>
  </r>
  <r>
    <s v="O111739"/>
    <x v="403"/>
    <x v="6"/>
    <x v="4"/>
    <x v="4"/>
    <x v="3"/>
    <n v="6"/>
    <n v="1028865"/>
    <d v="2026-12-15T00:00:00"/>
    <n v="12"/>
    <n v="15"/>
    <n v="2026"/>
    <x v="7"/>
    <s v="Q4"/>
    <x v="4"/>
  </r>
  <r>
    <s v="O102532"/>
    <x v="681"/>
    <x v="10"/>
    <x v="5"/>
    <x v="4"/>
    <x v="2"/>
    <n v="9"/>
    <n v="1028635"/>
    <d v="2025-03-06T00:00:00"/>
    <n v="3"/>
    <n v="6"/>
    <n v="2025"/>
    <x v="5"/>
    <s v="Q1"/>
    <x v="4"/>
  </r>
  <r>
    <s v="O104178"/>
    <x v="657"/>
    <x v="4"/>
    <x v="5"/>
    <x v="2"/>
    <x v="0"/>
    <n v="8"/>
    <n v="1028617"/>
    <d v="2025-11-09T00:00:00"/>
    <n v="11"/>
    <n v="9"/>
    <n v="2025"/>
    <x v="0"/>
    <s v="Q4"/>
    <x v="2"/>
  </r>
  <r>
    <s v="O105276"/>
    <x v="64"/>
    <x v="4"/>
    <x v="0"/>
    <x v="3"/>
    <x v="1"/>
    <n v="2"/>
    <n v="1028576"/>
    <d v="2025-11-17T00:00:00"/>
    <n v="11"/>
    <n v="17"/>
    <n v="2025"/>
    <x v="0"/>
    <s v="Q4"/>
    <x v="3"/>
  </r>
  <r>
    <s v="O102964"/>
    <x v="551"/>
    <x v="9"/>
    <x v="3"/>
    <x v="2"/>
    <x v="1"/>
    <n v="4"/>
    <n v="1028059"/>
    <d v="2025-06-30T00:00:00"/>
    <n v="6"/>
    <n v="30"/>
    <n v="2025"/>
    <x v="2"/>
    <s v="Q2"/>
    <x v="2"/>
  </r>
  <r>
    <s v="O110677"/>
    <x v="230"/>
    <x v="0"/>
    <x v="5"/>
    <x v="3"/>
    <x v="3"/>
    <n v="9"/>
    <n v="1027555"/>
    <d v="2026-11-10T00:00:00"/>
    <n v="11"/>
    <n v="10"/>
    <n v="2026"/>
    <x v="0"/>
    <s v="Q4"/>
    <x v="3"/>
  </r>
  <r>
    <s v="O106863"/>
    <x v="700"/>
    <x v="4"/>
    <x v="3"/>
    <x v="3"/>
    <x v="2"/>
    <n v="6"/>
    <n v="1027478"/>
    <d v="2026-02-21T00:00:00"/>
    <n v="2"/>
    <n v="21"/>
    <n v="2026"/>
    <x v="4"/>
    <s v="Q1"/>
    <x v="3"/>
  </r>
  <r>
    <s v="O110998"/>
    <x v="784"/>
    <x v="6"/>
    <x v="4"/>
    <x v="1"/>
    <x v="1"/>
    <n v="7"/>
    <n v="1027368"/>
    <d v="2026-10-31T00:00:00"/>
    <n v="10"/>
    <n v="31"/>
    <n v="2026"/>
    <x v="9"/>
    <s v="Q4"/>
    <x v="1"/>
  </r>
  <r>
    <s v="O111145"/>
    <x v="204"/>
    <x v="4"/>
    <x v="0"/>
    <x v="0"/>
    <x v="0"/>
    <n v="3"/>
    <n v="1026640"/>
    <d v="2026-09-11T00:00:00"/>
    <n v="9"/>
    <n v="11"/>
    <n v="2026"/>
    <x v="1"/>
    <s v="Q3"/>
    <x v="0"/>
  </r>
  <r>
    <s v="O108036"/>
    <x v="327"/>
    <x v="10"/>
    <x v="0"/>
    <x v="1"/>
    <x v="3"/>
    <n v="2"/>
    <n v="1026495"/>
    <d v="2026-04-05T00:00:00"/>
    <n v="4"/>
    <n v="5"/>
    <n v="2026"/>
    <x v="11"/>
    <s v="Q2"/>
    <x v="1"/>
  </r>
  <r>
    <s v="O110275"/>
    <x v="190"/>
    <x v="5"/>
    <x v="3"/>
    <x v="0"/>
    <x v="3"/>
    <n v="5"/>
    <n v="1026037"/>
    <d v="2026-09-17T00:00:00"/>
    <n v="9"/>
    <n v="17"/>
    <n v="2026"/>
    <x v="1"/>
    <s v="Q3"/>
    <x v="0"/>
  </r>
  <r>
    <s v="O110809"/>
    <x v="257"/>
    <x v="4"/>
    <x v="4"/>
    <x v="0"/>
    <x v="2"/>
    <n v="5"/>
    <n v="1025811"/>
    <d v="2026-10-19T00:00:00"/>
    <n v="10"/>
    <n v="19"/>
    <n v="2026"/>
    <x v="9"/>
    <s v="Q4"/>
    <x v="0"/>
  </r>
  <r>
    <s v="O100506"/>
    <x v="575"/>
    <x v="1"/>
    <x v="0"/>
    <x v="2"/>
    <x v="0"/>
    <n v="3"/>
    <n v="1025691"/>
    <d v="2025-01-31T00:00:00"/>
    <n v="1"/>
    <n v="31"/>
    <n v="2025"/>
    <x v="6"/>
    <s v="Q1"/>
    <x v="2"/>
  </r>
  <r>
    <s v="O109412"/>
    <x v="243"/>
    <x v="5"/>
    <x v="2"/>
    <x v="0"/>
    <x v="1"/>
    <n v="3"/>
    <n v="1025601"/>
    <d v="2026-07-26T00:00:00"/>
    <n v="7"/>
    <n v="26"/>
    <n v="2026"/>
    <x v="10"/>
    <s v="Q3"/>
    <x v="0"/>
  </r>
  <r>
    <s v="O110695"/>
    <x v="188"/>
    <x v="10"/>
    <x v="5"/>
    <x v="1"/>
    <x v="0"/>
    <n v="7"/>
    <n v="1025583"/>
    <d v="2026-12-10T00:00:00"/>
    <n v="12"/>
    <n v="10"/>
    <n v="2026"/>
    <x v="7"/>
    <s v="Q4"/>
    <x v="1"/>
  </r>
  <r>
    <s v="O105723"/>
    <x v="694"/>
    <x v="0"/>
    <x v="4"/>
    <x v="2"/>
    <x v="1"/>
    <n v="6"/>
    <n v="1024904"/>
    <d v="2025-12-14T00:00:00"/>
    <n v="12"/>
    <n v="14"/>
    <n v="2025"/>
    <x v="7"/>
    <s v="Q4"/>
    <x v="2"/>
  </r>
  <r>
    <s v="O108641"/>
    <x v="177"/>
    <x v="9"/>
    <x v="5"/>
    <x v="2"/>
    <x v="0"/>
    <n v="7"/>
    <n v="1024831"/>
    <d v="2026-09-06T00:00:00"/>
    <n v="9"/>
    <n v="6"/>
    <n v="2026"/>
    <x v="1"/>
    <s v="Q3"/>
    <x v="2"/>
  </r>
  <r>
    <s v="O110538"/>
    <x v="138"/>
    <x v="6"/>
    <x v="0"/>
    <x v="4"/>
    <x v="0"/>
    <n v="2"/>
    <n v="1024600"/>
    <d v="2026-03-10T00:00:00"/>
    <n v="3"/>
    <n v="10"/>
    <n v="2026"/>
    <x v="5"/>
    <s v="Q1"/>
    <x v="4"/>
  </r>
  <r>
    <s v="O111508"/>
    <x v="579"/>
    <x v="0"/>
    <x v="0"/>
    <x v="2"/>
    <x v="2"/>
    <n v="3"/>
    <n v="1024491"/>
    <d v="2026-01-12T00:00:00"/>
    <n v="1"/>
    <n v="12"/>
    <n v="2026"/>
    <x v="6"/>
    <s v="Q1"/>
    <x v="2"/>
  </r>
  <r>
    <s v="O102723"/>
    <x v="220"/>
    <x v="8"/>
    <x v="4"/>
    <x v="2"/>
    <x v="0"/>
    <n v="5"/>
    <n v="1023347"/>
    <d v="2025-06-15T00:00:00"/>
    <n v="6"/>
    <n v="15"/>
    <n v="2025"/>
    <x v="2"/>
    <s v="Q2"/>
    <x v="2"/>
  </r>
  <r>
    <s v="O103744"/>
    <x v="177"/>
    <x v="8"/>
    <x v="0"/>
    <x v="2"/>
    <x v="0"/>
    <n v="2"/>
    <n v="1022981"/>
    <d v="2025-08-16T00:00:00"/>
    <n v="8"/>
    <n v="16"/>
    <n v="2025"/>
    <x v="8"/>
    <s v="Q3"/>
    <x v="2"/>
  </r>
  <r>
    <s v="O108191"/>
    <x v="637"/>
    <x v="5"/>
    <x v="5"/>
    <x v="4"/>
    <x v="0"/>
    <n v="9"/>
    <n v="1022961"/>
    <d v="2026-05-13T00:00:00"/>
    <n v="5"/>
    <n v="13"/>
    <n v="2026"/>
    <x v="3"/>
    <s v="Q2"/>
    <x v="4"/>
  </r>
  <r>
    <s v="O111503"/>
    <x v="508"/>
    <x v="9"/>
    <x v="2"/>
    <x v="0"/>
    <x v="3"/>
    <n v="4"/>
    <n v="1022940"/>
    <d v="2026-11-30T00:00:00"/>
    <n v="11"/>
    <n v="30"/>
    <n v="2026"/>
    <x v="0"/>
    <s v="Q4"/>
    <x v="0"/>
  </r>
  <r>
    <s v="O107436"/>
    <x v="621"/>
    <x v="8"/>
    <x v="5"/>
    <x v="0"/>
    <x v="1"/>
    <n v="7"/>
    <n v="1022920"/>
    <d v="2026-03-28T00:00:00"/>
    <n v="3"/>
    <n v="28"/>
    <n v="2026"/>
    <x v="5"/>
    <s v="Q1"/>
    <x v="0"/>
  </r>
  <r>
    <s v="O110902"/>
    <x v="339"/>
    <x v="3"/>
    <x v="2"/>
    <x v="4"/>
    <x v="3"/>
    <n v="3"/>
    <n v="1022838"/>
    <d v="2026-10-25T00:00:00"/>
    <n v="10"/>
    <n v="25"/>
    <n v="2026"/>
    <x v="9"/>
    <s v="Q4"/>
    <x v="4"/>
  </r>
  <r>
    <s v="O104055"/>
    <x v="704"/>
    <x v="5"/>
    <x v="4"/>
    <x v="1"/>
    <x v="0"/>
    <n v="7"/>
    <n v="1022809"/>
    <d v="2025-04-09T00:00:00"/>
    <n v="4"/>
    <n v="9"/>
    <n v="2025"/>
    <x v="11"/>
    <s v="Q2"/>
    <x v="1"/>
  </r>
  <r>
    <s v="O105939"/>
    <x v="506"/>
    <x v="1"/>
    <x v="0"/>
    <x v="1"/>
    <x v="1"/>
    <n v="3"/>
    <n v="1021959"/>
    <d v="2025-12-27T00:00:00"/>
    <n v="12"/>
    <n v="27"/>
    <n v="2025"/>
    <x v="7"/>
    <s v="Q4"/>
    <x v="1"/>
  </r>
  <r>
    <s v="O100875"/>
    <x v="440"/>
    <x v="8"/>
    <x v="0"/>
    <x v="0"/>
    <x v="2"/>
    <n v="3"/>
    <n v="1021836"/>
    <d v="2025-02-23T00:00:00"/>
    <n v="2"/>
    <n v="23"/>
    <n v="2025"/>
    <x v="4"/>
    <s v="Q1"/>
    <x v="0"/>
  </r>
  <r>
    <s v="O102924"/>
    <x v="158"/>
    <x v="4"/>
    <x v="0"/>
    <x v="3"/>
    <x v="0"/>
    <n v="2"/>
    <n v="1021282"/>
    <d v="2025-06-27T00:00:00"/>
    <n v="6"/>
    <n v="27"/>
    <n v="2025"/>
    <x v="2"/>
    <s v="Q2"/>
    <x v="3"/>
  </r>
  <r>
    <s v="O101360"/>
    <x v="580"/>
    <x v="8"/>
    <x v="2"/>
    <x v="3"/>
    <x v="2"/>
    <n v="4"/>
    <n v="1021238"/>
    <d v="2025-03-24T00:00:00"/>
    <n v="3"/>
    <n v="24"/>
    <n v="2025"/>
    <x v="5"/>
    <s v="Q1"/>
    <x v="3"/>
  </r>
  <r>
    <s v="O107601"/>
    <x v="627"/>
    <x v="4"/>
    <x v="2"/>
    <x v="1"/>
    <x v="1"/>
    <n v="4"/>
    <n v="1020543"/>
    <d v="2026-07-04T00:00:00"/>
    <n v="7"/>
    <n v="4"/>
    <n v="2026"/>
    <x v="10"/>
    <s v="Q3"/>
    <x v="1"/>
  </r>
  <r>
    <s v="O100757"/>
    <x v="115"/>
    <x v="6"/>
    <x v="2"/>
    <x v="0"/>
    <x v="1"/>
    <n v="3"/>
    <n v="1020291"/>
    <d v="2025-02-15T00:00:00"/>
    <n v="2"/>
    <n v="15"/>
    <n v="2025"/>
    <x v="4"/>
    <s v="Q1"/>
    <x v="0"/>
  </r>
  <r>
    <s v="O110463"/>
    <x v="716"/>
    <x v="6"/>
    <x v="3"/>
    <x v="2"/>
    <x v="3"/>
    <n v="4"/>
    <n v="1020121"/>
    <d v="2026-09-28T00:00:00"/>
    <n v="9"/>
    <n v="28"/>
    <n v="2026"/>
    <x v="1"/>
    <s v="Q3"/>
    <x v="2"/>
  </r>
  <r>
    <s v="O102175"/>
    <x v="622"/>
    <x v="4"/>
    <x v="0"/>
    <x v="0"/>
    <x v="3"/>
    <n v="2"/>
    <n v="1020058"/>
    <d v="2025-05-13T00:00:00"/>
    <n v="5"/>
    <n v="13"/>
    <n v="2025"/>
    <x v="3"/>
    <s v="Q2"/>
    <x v="0"/>
  </r>
  <r>
    <s v="O106252"/>
    <x v="414"/>
    <x v="0"/>
    <x v="0"/>
    <x v="4"/>
    <x v="3"/>
    <n v="2"/>
    <n v="1018882"/>
    <d v="2026-01-15T00:00:00"/>
    <n v="1"/>
    <n v="15"/>
    <n v="2026"/>
    <x v="6"/>
    <s v="Q1"/>
    <x v="4"/>
  </r>
  <r>
    <s v="O109865"/>
    <x v="197"/>
    <x v="10"/>
    <x v="4"/>
    <x v="4"/>
    <x v="0"/>
    <n v="5"/>
    <n v="1018352"/>
    <d v="2026-08-23T00:00:00"/>
    <n v="8"/>
    <n v="23"/>
    <n v="2026"/>
    <x v="8"/>
    <s v="Q3"/>
    <x v="4"/>
  </r>
  <r>
    <s v="O102157"/>
    <x v="786"/>
    <x v="1"/>
    <x v="0"/>
    <x v="0"/>
    <x v="0"/>
    <n v="3"/>
    <n v="1018104"/>
    <d v="2025-11-05T00:00:00"/>
    <n v="11"/>
    <n v="5"/>
    <n v="2025"/>
    <x v="0"/>
    <s v="Q4"/>
    <x v="0"/>
  </r>
  <r>
    <s v="O110048"/>
    <x v="793"/>
    <x v="0"/>
    <x v="0"/>
    <x v="1"/>
    <x v="1"/>
    <n v="2"/>
    <n v="1018090"/>
    <d v="2026-03-09T00:00:00"/>
    <n v="3"/>
    <n v="9"/>
    <n v="2026"/>
    <x v="5"/>
    <s v="Q1"/>
    <x v="1"/>
  </r>
  <r>
    <s v="O108877"/>
    <x v="552"/>
    <x v="3"/>
    <x v="0"/>
    <x v="2"/>
    <x v="0"/>
    <n v="2"/>
    <n v="1017946"/>
    <d v="2026-06-24T00:00:00"/>
    <n v="6"/>
    <n v="24"/>
    <n v="2026"/>
    <x v="2"/>
    <s v="Q2"/>
    <x v="2"/>
  </r>
  <r>
    <s v="O111830"/>
    <x v="144"/>
    <x v="6"/>
    <x v="0"/>
    <x v="1"/>
    <x v="2"/>
    <n v="2"/>
    <n v="1017813"/>
    <d v="2026-12-20T00:00:00"/>
    <n v="12"/>
    <n v="20"/>
    <n v="2026"/>
    <x v="7"/>
    <s v="Q4"/>
    <x v="1"/>
  </r>
  <r>
    <s v="O100732"/>
    <x v="342"/>
    <x v="10"/>
    <x v="5"/>
    <x v="1"/>
    <x v="2"/>
    <n v="9"/>
    <n v="1017791"/>
    <d v="2025-02-14T00:00:00"/>
    <n v="2"/>
    <n v="14"/>
    <n v="2025"/>
    <x v="4"/>
    <s v="Q1"/>
    <x v="1"/>
  </r>
  <r>
    <s v="O102350"/>
    <x v="592"/>
    <x v="2"/>
    <x v="0"/>
    <x v="4"/>
    <x v="2"/>
    <n v="2"/>
    <n v="1017034"/>
    <d v="2025-05-23T00:00:00"/>
    <n v="5"/>
    <n v="23"/>
    <n v="2025"/>
    <x v="3"/>
    <s v="Q2"/>
    <x v="4"/>
  </r>
  <r>
    <s v="O106615"/>
    <x v="155"/>
    <x v="1"/>
    <x v="0"/>
    <x v="1"/>
    <x v="0"/>
    <n v="2"/>
    <n v="1016700"/>
    <d v="2026-06-02T00:00:00"/>
    <n v="6"/>
    <n v="2"/>
    <n v="2026"/>
    <x v="2"/>
    <s v="Q2"/>
    <x v="1"/>
  </r>
  <r>
    <s v="O107330"/>
    <x v="188"/>
    <x v="0"/>
    <x v="2"/>
    <x v="1"/>
    <x v="0"/>
    <n v="3"/>
    <n v="1016089"/>
    <d v="2026-03-22T00:00:00"/>
    <n v="3"/>
    <n v="22"/>
    <n v="2026"/>
    <x v="5"/>
    <s v="Q1"/>
    <x v="1"/>
  </r>
  <r>
    <s v="O104994"/>
    <x v="336"/>
    <x v="5"/>
    <x v="2"/>
    <x v="0"/>
    <x v="3"/>
    <n v="3"/>
    <n v="1016009"/>
    <d v="2025-10-31T00:00:00"/>
    <n v="10"/>
    <n v="31"/>
    <n v="2025"/>
    <x v="9"/>
    <s v="Q4"/>
    <x v="0"/>
  </r>
  <r>
    <s v="O107866"/>
    <x v="717"/>
    <x v="10"/>
    <x v="3"/>
    <x v="4"/>
    <x v="4"/>
    <n v="6"/>
    <n v="1015966"/>
    <d v="2026-04-23T00:00:00"/>
    <n v="4"/>
    <n v="23"/>
    <n v="2026"/>
    <x v="11"/>
    <s v="Q2"/>
    <x v="4"/>
  </r>
  <r>
    <s v="O109191"/>
    <x v="439"/>
    <x v="2"/>
    <x v="5"/>
    <x v="4"/>
    <x v="2"/>
    <n v="8"/>
    <n v="1015949"/>
    <d v="2026-07-13T00:00:00"/>
    <n v="7"/>
    <n v="13"/>
    <n v="2026"/>
    <x v="10"/>
    <s v="Q3"/>
    <x v="4"/>
  </r>
  <r>
    <s v="O102567"/>
    <x v="556"/>
    <x v="6"/>
    <x v="0"/>
    <x v="4"/>
    <x v="1"/>
    <n v="2"/>
    <n v="1015839"/>
    <d v="2025-05-06T00:00:00"/>
    <n v="5"/>
    <n v="6"/>
    <n v="2025"/>
    <x v="3"/>
    <s v="Q2"/>
    <x v="4"/>
  </r>
  <r>
    <s v="O108459"/>
    <x v="497"/>
    <x v="4"/>
    <x v="3"/>
    <x v="3"/>
    <x v="0"/>
    <n v="5"/>
    <n v="1015837"/>
    <d v="2026-05-29T00:00:00"/>
    <n v="5"/>
    <n v="29"/>
    <n v="2026"/>
    <x v="3"/>
    <s v="Q2"/>
    <x v="3"/>
  </r>
  <r>
    <s v="O103443"/>
    <x v="34"/>
    <x v="1"/>
    <x v="0"/>
    <x v="4"/>
    <x v="1"/>
    <n v="3"/>
    <n v="1015676"/>
    <d v="2025-07-29T00:00:00"/>
    <n v="7"/>
    <n v="29"/>
    <n v="2025"/>
    <x v="10"/>
    <s v="Q3"/>
    <x v="4"/>
  </r>
  <r>
    <s v="O108234"/>
    <x v="261"/>
    <x v="6"/>
    <x v="2"/>
    <x v="1"/>
    <x v="2"/>
    <n v="3"/>
    <n v="1015619"/>
    <d v="2026-05-16T00:00:00"/>
    <n v="5"/>
    <n v="16"/>
    <n v="2026"/>
    <x v="3"/>
    <s v="Q2"/>
    <x v="1"/>
  </r>
  <r>
    <s v="O107901"/>
    <x v="693"/>
    <x v="5"/>
    <x v="2"/>
    <x v="4"/>
    <x v="2"/>
    <n v="3"/>
    <n v="1015595"/>
    <d v="2026-04-25T00:00:00"/>
    <n v="4"/>
    <n v="25"/>
    <n v="2026"/>
    <x v="11"/>
    <s v="Q2"/>
    <x v="4"/>
  </r>
  <r>
    <s v="O108594"/>
    <x v="781"/>
    <x v="4"/>
    <x v="5"/>
    <x v="3"/>
    <x v="0"/>
    <n v="8"/>
    <n v="1015556"/>
    <d v="2026-07-06T00:00:00"/>
    <n v="7"/>
    <n v="6"/>
    <n v="2026"/>
    <x v="10"/>
    <s v="Q3"/>
    <x v="3"/>
  </r>
  <r>
    <s v="O100531"/>
    <x v="96"/>
    <x v="4"/>
    <x v="5"/>
    <x v="4"/>
    <x v="2"/>
    <n v="7"/>
    <n v="1015551"/>
    <d v="2025-02-02T00:00:00"/>
    <n v="2"/>
    <n v="2"/>
    <n v="2025"/>
    <x v="4"/>
    <s v="Q1"/>
    <x v="4"/>
  </r>
  <r>
    <s v="O111775"/>
    <x v="17"/>
    <x v="9"/>
    <x v="3"/>
    <x v="1"/>
    <x v="2"/>
    <n v="4"/>
    <n v="1015479"/>
    <d v="2026-12-17T00:00:00"/>
    <n v="12"/>
    <n v="17"/>
    <n v="2026"/>
    <x v="7"/>
    <s v="Q4"/>
    <x v="1"/>
  </r>
  <r>
    <s v="O103289"/>
    <x v="97"/>
    <x v="1"/>
    <x v="5"/>
    <x v="3"/>
    <x v="4"/>
    <n v="8"/>
    <n v="1015324"/>
    <d v="2025-07-19T00:00:00"/>
    <n v="7"/>
    <n v="19"/>
    <n v="2025"/>
    <x v="10"/>
    <s v="Q3"/>
    <x v="3"/>
  </r>
  <r>
    <s v="O102603"/>
    <x v="150"/>
    <x v="4"/>
    <x v="4"/>
    <x v="4"/>
    <x v="2"/>
    <n v="6"/>
    <n v="1014872"/>
    <d v="2025-08-06T00:00:00"/>
    <n v="8"/>
    <n v="6"/>
    <n v="2025"/>
    <x v="8"/>
    <s v="Q3"/>
    <x v="4"/>
  </r>
  <r>
    <s v="O106125"/>
    <x v="649"/>
    <x v="8"/>
    <x v="4"/>
    <x v="0"/>
    <x v="2"/>
    <n v="6"/>
    <n v="1014712"/>
    <d v="2026-08-01T00:00:00"/>
    <n v="8"/>
    <n v="1"/>
    <n v="2026"/>
    <x v="8"/>
    <s v="Q3"/>
    <x v="0"/>
  </r>
  <r>
    <s v="O105090"/>
    <x v="744"/>
    <x v="5"/>
    <x v="0"/>
    <x v="4"/>
    <x v="3"/>
    <n v="3"/>
    <n v="1014494"/>
    <d v="2025-06-11T00:00:00"/>
    <n v="6"/>
    <n v="11"/>
    <n v="2025"/>
    <x v="2"/>
    <m/>
    <x v="4"/>
  </r>
  <r>
    <s v="O108154"/>
    <x v="339"/>
    <x v="0"/>
    <x v="3"/>
    <x v="4"/>
    <x v="2"/>
    <n v="5"/>
    <n v="1014105"/>
    <d v="2026-11-05T00:00:00"/>
    <n v="11"/>
    <n v="5"/>
    <n v="2026"/>
    <x v="0"/>
    <s v="Q4"/>
    <x v="4"/>
  </r>
  <r>
    <s v="O109678"/>
    <x v="781"/>
    <x v="10"/>
    <x v="0"/>
    <x v="1"/>
    <x v="1"/>
    <n v="2"/>
    <n v="1014087"/>
    <d v="2026-11-08T00:00:00"/>
    <n v="11"/>
    <n v="8"/>
    <n v="2026"/>
    <x v="0"/>
    <s v="Q4"/>
    <x v="1"/>
  </r>
  <r>
    <s v="O107597"/>
    <x v="38"/>
    <x v="5"/>
    <x v="0"/>
    <x v="1"/>
    <x v="1"/>
    <n v="3"/>
    <n v="1013609"/>
    <d v="2026-07-04T00:00:00"/>
    <n v="7"/>
    <n v="4"/>
    <n v="2026"/>
    <x v="10"/>
    <s v="Q3"/>
    <x v="1"/>
  </r>
  <r>
    <s v="O100463"/>
    <x v="731"/>
    <x v="4"/>
    <x v="4"/>
    <x v="3"/>
    <x v="1"/>
    <n v="7"/>
    <n v="1013245"/>
    <d v="2025-01-29T00:00:00"/>
    <n v="1"/>
    <n v="29"/>
    <n v="2025"/>
    <x v="6"/>
    <s v="Q1"/>
    <x v="3"/>
  </r>
  <r>
    <s v="O104907"/>
    <x v="767"/>
    <x v="10"/>
    <x v="3"/>
    <x v="0"/>
    <x v="3"/>
    <n v="4"/>
    <n v="1013232"/>
    <d v="2025-10-26T00:00:00"/>
    <n v="10"/>
    <n v="26"/>
    <n v="2025"/>
    <x v="9"/>
    <s v="Q4"/>
    <x v="0"/>
  </r>
  <r>
    <s v="O104412"/>
    <x v="436"/>
    <x v="8"/>
    <x v="0"/>
    <x v="3"/>
    <x v="0"/>
    <n v="2"/>
    <n v="1012779"/>
    <d v="2025-09-25T00:00:00"/>
    <n v="9"/>
    <n v="25"/>
    <n v="2025"/>
    <x v="1"/>
    <s v="Q3"/>
    <x v="3"/>
  </r>
  <r>
    <s v="O106060"/>
    <x v="45"/>
    <x v="3"/>
    <x v="5"/>
    <x v="3"/>
    <x v="1"/>
    <n v="10"/>
    <n v="1011836"/>
    <d v="2026-04-01T00:00:00"/>
    <n v="4"/>
    <n v="1"/>
    <n v="2026"/>
    <x v="11"/>
    <s v="Q2"/>
    <x v="3"/>
  </r>
  <r>
    <s v="O107989"/>
    <x v="705"/>
    <x v="8"/>
    <x v="4"/>
    <x v="1"/>
    <x v="1"/>
    <n v="5"/>
    <n v="1011003"/>
    <d v="2026-01-05T00:00:00"/>
    <n v="1"/>
    <n v="5"/>
    <n v="2026"/>
    <x v="6"/>
    <s v="Q1"/>
    <x v="1"/>
  </r>
  <r>
    <s v="O111805"/>
    <x v="165"/>
    <x v="1"/>
    <x v="3"/>
    <x v="2"/>
    <x v="2"/>
    <n v="6"/>
    <n v="1010888"/>
    <d v="2026-12-19T00:00:00"/>
    <n v="12"/>
    <n v="19"/>
    <n v="2026"/>
    <x v="7"/>
    <s v="Q4"/>
    <x v="2"/>
  </r>
  <r>
    <s v="O100074"/>
    <x v="533"/>
    <x v="2"/>
    <x v="5"/>
    <x v="3"/>
    <x v="2"/>
    <n v="7"/>
    <n v="1010068"/>
    <d v="2025-05-01T00:00:00"/>
    <n v="5"/>
    <n v="1"/>
    <n v="2025"/>
    <x v="3"/>
    <s v="Q2"/>
    <x v="3"/>
  </r>
  <r>
    <s v="O105176"/>
    <x v="148"/>
    <x v="2"/>
    <x v="5"/>
    <x v="0"/>
    <x v="3"/>
    <n v="8"/>
    <n v="1010004"/>
    <d v="2025-11-11T00:00:00"/>
    <n v="11"/>
    <n v="11"/>
    <n v="2025"/>
    <x v="0"/>
    <s v="Q4"/>
    <x v="0"/>
  </r>
  <r>
    <s v="O108002"/>
    <x v="107"/>
    <x v="1"/>
    <x v="2"/>
    <x v="0"/>
    <x v="1"/>
    <n v="3"/>
    <n v="1009848"/>
    <d v="2026-05-02T00:00:00"/>
    <n v="5"/>
    <n v="2"/>
    <n v="2026"/>
    <x v="3"/>
    <s v="Q2"/>
    <x v="0"/>
  </r>
  <r>
    <s v="O102054"/>
    <x v="645"/>
    <x v="8"/>
    <x v="3"/>
    <x v="0"/>
    <x v="2"/>
    <n v="5"/>
    <n v="1009603"/>
    <d v="2025-05-05T00:00:00"/>
    <n v="5"/>
    <n v="5"/>
    <n v="2025"/>
    <x v="3"/>
    <s v="Q2"/>
    <x v="0"/>
  </r>
  <r>
    <s v="O102114"/>
    <x v="472"/>
    <x v="10"/>
    <x v="5"/>
    <x v="2"/>
    <x v="1"/>
    <n v="9"/>
    <n v="1009425"/>
    <d v="2025-09-05T00:00:00"/>
    <n v="9"/>
    <n v="5"/>
    <n v="2025"/>
    <x v="1"/>
    <s v="Q3"/>
    <x v="2"/>
  </r>
  <r>
    <s v="O110117"/>
    <x v="422"/>
    <x v="8"/>
    <x v="0"/>
    <x v="3"/>
    <x v="0"/>
    <n v="2"/>
    <n v="1008529"/>
    <d v="2026-07-09T00:00:00"/>
    <n v="7"/>
    <n v="9"/>
    <n v="2026"/>
    <x v="10"/>
    <m/>
    <x v="3"/>
  </r>
  <r>
    <s v="O101316"/>
    <x v="20"/>
    <x v="0"/>
    <x v="2"/>
    <x v="1"/>
    <x v="0"/>
    <n v="4"/>
    <n v="1008334"/>
    <d v="2025-03-21T00:00:00"/>
    <n v="3"/>
    <n v="21"/>
    <n v="2025"/>
    <x v="5"/>
    <s v="Q1"/>
    <x v="1"/>
  </r>
  <r>
    <s v="O108902"/>
    <x v="374"/>
    <x v="3"/>
    <x v="3"/>
    <x v="0"/>
    <x v="1"/>
    <n v="6"/>
    <n v="1008236"/>
    <d v="2026-06-25T00:00:00"/>
    <n v="6"/>
    <n v="25"/>
    <n v="2026"/>
    <x v="2"/>
    <s v="Q2"/>
    <x v="0"/>
  </r>
  <r>
    <s v="O107663"/>
    <x v="556"/>
    <x v="4"/>
    <x v="4"/>
    <x v="0"/>
    <x v="1"/>
    <n v="5"/>
    <n v="1007353"/>
    <d v="2026-11-04T00:00:00"/>
    <n v="11"/>
    <n v="4"/>
    <n v="2026"/>
    <x v="0"/>
    <s v="Q4"/>
    <x v="0"/>
  </r>
  <r>
    <s v="O110515"/>
    <x v="422"/>
    <x v="2"/>
    <x v="2"/>
    <x v="2"/>
    <x v="1"/>
    <n v="4"/>
    <n v="1007249"/>
    <d v="2026-01-10T00:00:00"/>
    <n v="1"/>
    <n v="10"/>
    <n v="2026"/>
    <x v="6"/>
    <m/>
    <x v="2"/>
  </r>
  <r>
    <s v="O103974"/>
    <x v="737"/>
    <x v="6"/>
    <x v="4"/>
    <x v="4"/>
    <x v="2"/>
    <n v="5"/>
    <n v="1007162"/>
    <d v="2025-08-30T00:00:00"/>
    <n v="8"/>
    <n v="30"/>
    <n v="2025"/>
    <x v="8"/>
    <s v="Q3"/>
    <x v="4"/>
  </r>
  <r>
    <s v="O110946"/>
    <x v="787"/>
    <x v="5"/>
    <x v="2"/>
    <x v="2"/>
    <x v="3"/>
    <n v="3"/>
    <n v="1006896"/>
    <d v="2026-10-27T00:00:00"/>
    <n v="10"/>
    <n v="27"/>
    <n v="2026"/>
    <x v="9"/>
    <s v="Q4"/>
    <x v="2"/>
  </r>
  <r>
    <s v="O101438"/>
    <x v="609"/>
    <x v="4"/>
    <x v="4"/>
    <x v="2"/>
    <x v="3"/>
    <n v="6"/>
    <n v="1006767"/>
    <d v="2025-03-29T00:00:00"/>
    <n v="3"/>
    <n v="29"/>
    <n v="2025"/>
    <x v="5"/>
    <s v="Q1"/>
    <x v="2"/>
  </r>
  <r>
    <s v="O102586"/>
    <x v="788"/>
    <x v="10"/>
    <x v="2"/>
    <x v="1"/>
    <x v="3"/>
    <n v="4"/>
    <n v="1006615"/>
    <d v="2025-07-06T00:00:00"/>
    <n v="7"/>
    <n v="6"/>
    <n v="2025"/>
    <x v="10"/>
    <s v="Q3"/>
    <x v="1"/>
  </r>
  <r>
    <s v="O110009"/>
    <x v="258"/>
    <x v="5"/>
    <x v="4"/>
    <x v="4"/>
    <x v="1"/>
    <n v="5"/>
    <n v="1004759"/>
    <d v="2026-01-09T00:00:00"/>
    <n v="1"/>
    <n v="9"/>
    <n v="2026"/>
    <x v="6"/>
    <m/>
    <x v="4"/>
  </r>
  <r>
    <s v="O105558"/>
    <x v="314"/>
    <x v="4"/>
    <x v="4"/>
    <x v="4"/>
    <x v="1"/>
    <n v="5"/>
    <n v="1004469"/>
    <d v="2025-04-12T00:00:00"/>
    <n v="4"/>
    <n v="12"/>
    <n v="2025"/>
    <x v="11"/>
    <s v="Q2"/>
    <x v="4"/>
  </r>
  <r>
    <s v="O111902"/>
    <x v="31"/>
    <x v="1"/>
    <x v="3"/>
    <x v="1"/>
    <x v="0"/>
    <n v="6"/>
    <n v="1004314"/>
    <d v="2026-12-25T00:00:00"/>
    <n v="12"/>
    <n v="25"/>
    <n v="2026"/>
    <x v="7"/>
    <s v="Q4"/>
    <x v="1"/>
  </r>
  <r>
    <s v="O106862"/>
    <x v="307"/>
    <x v="8"/>
    <x v="5"/>
    <x v="3"/>
    <x v="1"/>
    <n v="8"/>
    <n v="1004099"/>
    <d v="2026-02-21T00:00:00"/>
    <n v="2"/>
    <n v="21"/>
    <n v="2026"/>
    <x v="4"/>
    <s v="Q1"/>
    <x v="3"/>
  </r>
  <r>
    <s v="O107574"/>
    <x v="51"/>
    <x v="6"/>
    <x v="4"/>
    <x v="1"/>
    <x v="1"/>
    <n v="6"/>
    <n v="1003298"/>
    <d v="2026-06-04T00:00:00"/>
    <n v="6"/>
    <n v="4"/>
    <n v="2026"/>
    <x v="2"/>
    <m/>
    <x v="1"/>
  </r>
  <r>
    <s v="O102664"/>
    <x v="457"/>
    <x v="5"/>
    <x v="2"/>
    <x v="3"/>
    <x v="3"/>
    <n v="4"/>
    <n v="1002902"/>
    <d v="2025-11-06T00:00:00"/>
    <n v="11"/>
    <n v="6"/>
    <n v="2025"/>
    <x v="0"/>
    <s v="Q4"/>
    <x v="3"/>
  </r>
  <r>
    <s v="O105663"/>
    <x v="310"/>
    <x v="1"/>
    <x v="5"/>
    <x v="2"/>
    <x v="1"/>
    <n v="10"/>
    <n v="1002641"/>
    <d v="2025-10-12T00:00:00"/>
    <n v="10"/>
    <n v="12"/>
    <n v="2025"/>
    <x v="9"/>
    <s v="Q4"/>
    <x v="2"/>
  </r>
  <r>
    <s v="O104774"/>
    <x v="280"/>
    <x v="2"/>
    <x v="5"/>
    <x v="4"/>
    <x v="3"/>
    <n v="7"/>
    <n v="1002606"/>
    <d v="2025-10-17T00:00:00"/>
    <n v="10"/>
    <n v="17"/>
    <n v="2025"/>
    <x v="9"/>
    <s v="Q4"/>
    <x v="4"/>
  </r>
  <r>
    <s v="O102464"/>
    <x v="775"/>
    <x v="10"/>
    <x v="2"/>
    <x v="0"/>
    <x v="2"/>
    <n v="4"/>
    <n v="1002401"/>
    <d v="2025-05-30T00:00:00"/>
    <n v="5"/>
    <n v="30"/>
    <n v="2025"/>
    <x v="3"/>
    <s v="Q2"/>
    <x v="0"/>
  </r>
  <r>
    <s v="O104556"/>
    <x v="595"/>
    <x v="3"/>
    <x v="2"/>
    <x v="5"/>
    <x v="0"/>
    <n v="3"/>
    <n v="1002293"/>
    <d v="2025-04-10T00:00:00"/>
    <n v="4"/>
    <n v="10"/>
    <n v="2025"/>
    <x v="11"/>
    <s v="Q2"/>
    <x v="5"/>
  </r>
  <r>
    <s v="O109996"/>
    <x v="483"/>
    <x v="2"/>
    <x v="5"/>
    <x v="2"/>
    <x v="3"/>
    <n v="9"/>
    <n v="1002116"/>
    <d v="2026-08-31T00:00:00"/>
    <n v="8"/>
    <n v="31"/>
    <n v="2026"/>
    <x v="8"/>
    <s v="Q3"/>
    <x v="2"/>
  </r>
  <r>
    <s v="O102926"/>
    <x v="229"/>
    <x v="8"/>
    <x v="5"/>
    <x v="4"/>
    <x v="2"/>
    <n v="9"/>
    <n v="1001919"/>
    <d v="2025-06-27T00:00:00"/>
    <n v="6"/>
    <n v="27"/>
    <n v="2025"/>
    <x v="2"/>
    <s v="Q2"/>
    <x v="4"/>
  </r>
  <r>
    <s v="O110547"/>
    <x v="54"/>
    <x v="1"/>
    <x v="3"/>
    <x v="4"/>
    <x v="2"/>
    <n v="5"/>
    <n v="1001026"/>
    <d v="2026-03-10T00:00:00"/>
    <n v="3"/>
    <n v="10"/>
    <n v="2026"/>
    <x v="5"/>
    <s v="Q1"/>
    <x v="4"/>
  </r>
  <r>
    <s v="O103210"/>
    <x v="223"/>
    <x v="9"/>
    <x v="2"/>
    <x v="0"/>
    <x v="2"/>
    <n v="4"/>
    <n v="1000397"/>
    <d v="2025-07-14T00:00:00"/>
    <n v="7"/>
    <n v="14"/>
    <n v="2025"/>
    <x v="10"/>
    <s v="Q3"/>
    <x v="0"/>
  </r>
  <r>
    <s v="O107198"/>
    <x v="502"/>
    <x v="5"/>
    <x v="4"/>
    <x v="4"/>
    <x v="1"/>
    <n v="6"/>
    <n v="1000342"/>
    <d v="2026-03-14T00:00:00"/>
    <n v="3"/>
    <n v="14"/>
    <n v="2026"/>
    <x v="5"/>
    <s v="Q1"/>
    <x v="4"/>
  </r>
  <r>
    <s v="O104664"/>
    <x v="348"/>
    <x v="9"/>
    <x v="5"/>
    <x v="2"/>
    <x v="1"/>
    <n v="7"/>
    <n v="1000137"/>
    <d v="2025-11-10T00:00:00"/>
    <n v="11"/>
    <n v="10"/>
    <n v="2025"/>
    <x v="0"/>
    <s v="Q4"/>
    <x v="2"/>
  </r>
  <r>
    <s v="O100541"/>
    <x v="423"/>
    <x v="2"/>
    <x v="3"/>
    <x v="1"/>
    <x v="1"/>
    <n v="4"/>
    <n v="1000125"/>
    <d v="2025-02-02T00:00:00"/>
    <n v="2"/>
    <n v="2"/>
    <n v="2025"/>
    <x v="4"/>
    <s v="Q1"/>
    <x v="1"/>
  </r>
  <r>
    <s v="O105025"/>
    <x v="407"/>
    <x v="8"/>
    <x v="3"/>
    <x v="2"/>
    <x v="2"/>
    <n v="4"/>
    <n v="999925"/>
    <d v="2025-02-11T00:00:00"/>
    <n v="2"/>
    <n v="11"/>
    <n v="2025"/>
    <x v="4"/>
    <s v="Q1"/>
    <x v="2"/>
  </r>
  <r>
    <s v="O102066"/>
    <x v="201"/>
    <x v="3"/>
    <x v="1"/>
    <x v="2"/>
    <x v="0"/>
    <n v="5"/>
    <n v="999871"/>
    <d v="2025-06-05T00:00:00"/>
    <n v="6"/>
    <n v="5"/>
    <n v="2025"/>
    <x v="2"/>
    <s v="Q2"/>
    <x v="2"/>
  </r>
  <r>
    <s v="O106033"/>
    <x v="352"/>
    <x v="10"/>
    <x v="4"/>
    <x v="2"/>
    <x v="1"/>
    <n v="6"/>
    <n v="999769"/>
    <d v="2026-02-01T00:00:00"/>
    <n v="2"/>
    <n v="1"/>
    <n v="2026"/>
    <x v="4"/>
    <s v="Q1"/>
    <x v="2"/>
  </r>
  <r>
    <s v="O108978"/>
    <x v="762"/>
    <x v="10"/>
    <x v="4"/>
    <x v="0"/>
    <x v="0"/>
    <n v="6"/>
    <n v="999692"/>
    <d v="2026-06-30T00:00:00"/>
    <n v="6"/>
    <n v="30"/>
    <n v="2026"/>
    <x v="2"/>
    <s v="Q2"/>
    <x v="0"/>
  </r>
  <r>
    <s v="O107092"/>
    <x v="181"/>
    <x v="0"/>
    <x v="3"/>
    <x v="1"/>
    <x v="2"/>
    <n v="5"/>
    <n v="999664"/>
    <d v="2026-07-03T00:00:00"/>
    <n v="7"/>
    <n v="3"/>
    <n v="2026"/>
    <x v="10"/>
    <s v="Q3"/>
    <x v="1"/>
  </r>
  <r>
    <s v="O103092"/>
    <x v="750"/>
    <x v="5"/>
    <x v="3"/>
    <x v="2"/>
    <x v="3"/>
    <n v="6"/>
    <n v="999128"/>
    <d v="2025-07-07T00:00:00"/>
    <n v="7"/>
    <n v="7"/>
    <n v="2025"/>
    <x v="10"/>
    <s v="Q3"/>
    <x v="2"/>
  </r>
  <r>
    <s v="O101080"/>
    <x v="690"/>
    <x v="5"/>
    <x v="3"/>
    <x v="4"/>
    <x v="1"/>
    <n v="5"/>
    <n v="998351"/>
    <d v="2025-07-03T00:00:00"/>
    <n v="7"/>
    <n v="3"/>
    <n v="2025"/>
    <x v="10"/>
    <s v="Q3"/>
    <x v="4"/>
  </r>
  <r>
    <s v="O102089"/>
    <x v="328"/>
    <x v="0"/>
    <x v="5"/>
    <x v="3"/>
    <x v="0"/>
    <n v="7"/>
    <n v="998164"/>
    <d v="2025-07-05T00:00:00"/>
    <n v="7"/>
    <n v="5"/>
    <n v="2025"/>
    <x v="10"/>
    <s v="Q3"/>
    <x v="3"/>
  </r>
  <r>
    <s v="O103732"/>
    <x v="783"/>
    <x v="4"/>
    <x v="3"/>
    <x v="2"/>
    <x v="4"/>
    <n v="4"/>
    <n v="998069"/>
    <d v="2025-08-15T00:00:00"/>
    <n v="8"/>
    <n v="15"/>
    <n v="2025"/>
    <x v="8"/>
    <s v="Q3"/>
    <x v="2"/>
  </r>
  <r>
    <s v="O101405"/>
    <x v="33"/>
    <x v="0"/>
    <x v="2"/>
    <x v="4"/>
    <x v="2"/>
    <n v="4"/>
    <n v="997362"/>
    <d v="2025-03-27T00:00:00"/>
    <n v="3"/>
    <n v="27"/>
    <n v="2025"/>
    <x v="5"/>
    <s v="Q1"/>
    <x v="4"/>
  </r>
  <r>
    <s v="O110554"/>
    <x v="495"/>
    <x v="0"/>
    <x v="2"/>
    <x v="0"/>
    <x v="2"/>
    <n v="3"/>
    <n v="996608"/>
    <d v="2026-04-10T00:00:00"/>
    <n v="4"/>
    <n v="10"/>
    <n v="2026"/>
    <x v="11"/>
    <s v="Q2"/>
    <x v="0"/>
  </r>
  <r>
    <s v="O103650"/>
    <x v="425"/>
    <x v="9"/>
    <x v="3"/>
    <x v="4"/>
    <x v="2"/>
    <n v="5"/>
    <n v="996461"/>
    <d v="2025-10-08T00:00:00"/>
    <n v="10"/>
    <n v="8"/>
    <n v="2025"/>
    <x v="9"/>
    <s v="Q4"/>
    <x v="4"/>
  </r>
  <r>
    <s v="O111091"/>
    <x v="725"/>
    <x v="0"/>
    <x v="3"/>
    <x v="2"/>
    <x v="0"/>
    <n v="6"/>
    <n v="996186"/>
    <d v="2026-05-11T00:00:00"/>
    <n v="5"/>
    <n v="11"/>
    <n v="2026"/>
    <x v="3"/>
    <m/>
    <x v="2"/>
  </r>
  <r>
    <s v="O103925"/>
    <x v="9"/>
    <x v="3"/>
    <x v="3"/>
    <x v="1"/>
    <x v="0"/>
    <n v="4"/>
    <n v="996082"/>
    <d v="2025-08-27T00:00:00"/>
    <n v="8"/>
    <n v="27"/>
    <n v="2025"/>
    <x v="8"/>
    <s v="Q3"/>
    <x v="1"/>
  </r>
  <r>
    <s v="O111602"/>
    <x v="126"/>
    <x v="5"/>
    <x v="5"/>
    <x v="0"/>
    <x v="2"/>
    <n v="10"/>
    <n v="995506"/>
    <d v="2026-06-12T00:00:00"/>
    <n v="6"/>
    <n v="12"/>
    <n v="2026"/>
    <x v="2"/>
    <s v="Q2"/>
    <x v="0"/>
  </r>
  <r>
    <s v="O111131"/>
    <x v="42"/>
    <x v="2"/>
    <x v="4"/>
    <x v="2"/>
    <x v="3"/>
    <n v="5"/>
    <n v="994370"/>
    <d v="2026-08-11T00:00:00"/>
    <n v="8"/>
    <n v="11"/>
    <n v="2026"/>
    <x v="8"/>
    <s v="Q3"/>
    <x v="2"/>
  </r>
  <r>
    <s v="O100680"/>
    <x v="625"/>
    <x v="4"/>
    <x v="5"/>
    <x v="3"/>
    <x v="0"/>
    <n v="8"/>
    <n v="994227"/>
    <d v="2025-11-02T00:00:00"/>
    <n v="11"/>
    <n v="2"/>
    <n v="2025"/>
    <x v="0"/>
    <s v="Q4"/>
    <x v="3"/>
  </r>
  <r>
    <s v="O109485"/>
    <x v="161"/>
    <x v="1"/>
    <x v="5"/>
    <x v="0"/>
    <x v="2"/>
    <n v="10"/>
    <n v="994136"/>
    <d v="2026-07-31T00:00:00"/>
    <n v="7"/>
    <n v="31"/>
    <n v="2026"/>
    <x v="10"/>
    <s v="Q3"/>
    <x v="0"/>
  </r>
  <r>
    <s v="O111523"/>
    <x v="251"/>
    <x v="4"/>
    <x v="0"/>
    <x v="3"/>
    <x v="1"/>
    <n v="2"/>
    <n v="993987"/>
    <d v="2026-02-12T00:00:00"/>
    <n v="2"/>
    <n v="12"/>
    <n v="2026"/>
    <x v="4"/>
    <s v="Q1"/>
    <x v="3"/>
  </r>
  <r>
    <s v="O104127"/>
    <x v="420"/>
    <x v="0"/>
    <x v="2"/>
    <x v="4"/>
    <x v="0"/>
    <n v="4"/>
    <n v="993866"/>
    <d v="2025-08-09T00:00:00"/>
    <n v="8"/>
    <n v="9"/>
    <n v="2025"/>
    <x v="8"/>
    <s v="Q3"/>
    <x v="4"/>
  </r>
  <r>
    <s v="O105671"/>
    <x v="66"/>
    <x v="4"/>
    <x v="5"/>
    <x v="0"/>
    <x v="3"/>
    <n v="10"/>
    <n v="993644"/>
    <d v="2025-11-12T00:00:00"/>
    <n v="11"/>
    <n v="12"/>
    <n v="2025"/>
    <x v="0"/>
    <s v="Q4"/>
    <x v="0"/>
  </r>
  <r>
    <s v="O103017"/>
    <x v="538"/>
    <x v="1"/>
    <x v="4"/>
    <x v="3"/>
    <x v="3"/>
    <n v="5"/>
    <n v="993603"/>
    <d v="2025-03-07T00:00:00"/>
    <n v="3"/>
    <n v="7"/>
    <n v="2025"/>
    <x v="5"/>
    <m/>
    <x v="3"/>
  </r>
  <r>
    <s v="O102837"/>
    <x v="514"/>
    <x v="0"/>
    <x v="3"/>
    <x v="4"/>
    <x v="3"/>
    <n v="4"/>
    <n v="993466"/>
    <d v="2025-06-22T00:00:00"/>
    <n v="6"/>
    <n v="22"/>
    <n v="2025"/>
    <x v="2"/>
    <m/>
    <x v="4"/>
  </r>
  <r>
    <s v="O100781"/>
    <x v="698"/>
    <x v="7"/>
    <x v="4"/>
    <x v="0"/>
    <x v="0"/>
    <n v="5"/>
    <n v="992012"/>
    <d v="2025-02-17T00:00:00"/>
    <n v="2"/>
    <n v="17"/>
    <n v="2025"/>
    <x v="4"/>
    <s v="Q1"/>
    <x v="0"/>
  </r>
  <r>
    <s v="O109524"/>
    <x v="241"/>
    <x v="9"/>
    <x v="2"/>
    <x v="1"/>
    <x v="2"/>
    <n v="4"/>
    <n v="991945"/>
    <d v="2026-02-08T00:00:00"/>
    <n v="2"/>
    <n v="8"/>
    <n v="2026"/>
    <x v="4"/>
    <s v="Q1"/>
    <x v="1"/>
  </r>
  <r>
    <s v="O104651"/>
    <x v="474"/>
    <x v="1"/>
    <x v="0"/>
    <x v="1"/>
    <x v="3"/>
    <n v="2"/>
    <n v="991813"/>
    <d v="2025-10-10T00:00:00"/>
    <n v="10"/>
    <n v="10"/>
    <n v="2025"/>
    <x v="9"/>
    <s v="Q4"/>
    <x v="1"/>
  </r>
  <r>
    <s v="O109387"/>
    <x v="653"/>
    <x v="1"/>
    <x v="3"/>
    <x v="2"/>
    <x v="3"/>
    <n v="6"/>
    <n v="991482"/>
    <d v="2026-07-25T00:00:00"/>
    <n v="7"/>
    <n v="25"/>
    <n v="2026"/>
    <x v="10"/>
    <s v="Q3"/>
    <x v="2"/>
  </r>
  <r>
    <s v="O104741"/>
    <x v="176"/>
    <x v="8"/>
    <x v="4"/>
    <x v="3"/>
    <x v="3"/>
    <n v="7"/>
    <n v="991165"/>
    <d v="2025-10-15T00:00:00"/>
    <n v="10"/>
    <n v="15"/>
    <n v="2025"/>
    <x v="9"/>
    <s v="Q4"/>
    <x v="3"/>
  </r>
  <r>
    <s v="O111614"/>
    <x v="331"/>
    <x v="0"/>
    <x v="3"/>
    <x v="1"/>
    <x v="0"/>
    <n v="5"/>
    <n v="991164"/>
    <d v="2026-07-12T00:00:00"/>
    <n v="7"/>
    <n v="12"/>
    <n v="2026"/>
    <x v="10"/>
    <s v="Q3"/>
    <x v="1"/>
  </r>
  <r>
    <s v="O108461"/>
    <x v="600"/>
    <x v="9"/>
    <x v="3"/>
    <x v="3"/>
    <x v="3"/>
    <n v="4"/>
    <n v="990953"/>
    <d v="2026-05-29T00:00:00"/>
    <n v="5"/>
    <n v="29"/>
    <n v="2026"/>
    <x v="3"/>
    <s v="Q2"/>
    <x v="3"/>
  </r>
  <r>
    <s v="O103055"/>
    <x v="64"/>
    <x v="3"/>
    <x v="2"/>
    <x v="2"/>
    <x v="1"/>
    <n v="3"/>
    <n v="990721"/>
    <d v="2025-05-07T00:00:00"/>
    <n v="5"/>
    <n v="7"/>
    <n v="2025"/>
    <x v="3"/>
    <s v="Q2"/>
    <x v="2"/>
  </r>
  <r>
    <s v="O108908"/>
    <x v="389"/>
    <x v="10"/>
    <x v="2"/>
    <x v="4"/>
    <x v="0"/>
    <n v="3"/>
    <n v="990374"/>
    <d v="2026-06-26T00:00:00"/>
    <n v="6"/>
    <n v="26"/>
    <n v="2026"/>
    <x v="2"/>
    <s v="Q2"/>
    <x v="4"/>
  </r>
  <r>
    <s v="O110075"/>
    <x v="113"/>
    <x v="4"/>
    <x v="3"/>
    <x v="0"/>
    <x v="0"/>
    <n v="6"/>
    <n v="990217"/>
    <d v="2026-05-09T00:00:00"/>
    <n v="5"/>
    <n v="9"/>
    <n v="2026"/>
    <x v="3"/>
    <s v="Q2"/>
    <x v="0"/>
  </r>
  <r>
    <s v="O105196"/>
    <x v="456"/>
    <x v="5"/>
    <x v="4"/>
    <x v="3"/>
    <x v="0"/>
    <n v="5"/>
    <n v="989967"/>
    <d v="2025-12-11T00:00:00"/>
    <n v="12"/>
    <n v="11"/>
    <n v="2025"/>
    <x v="7"/>
    <s v="Q4"/>
    <x v="3"/>
  </r>
  <r>
    <s v="O104069"/>
    <x v="232"/>
    <x v="2"/>
    <x v="2"/>
    <x v="0"/>
    <x v="0"/>
    <n v="4"/>
    <n v="989722"/>
    <d v="2025-05-09T00:00:00"/>
    <n v="5"/>
    <n v="9"/>
    <n v="2025"/>
    <x v="3"/>
    <s v="Q2"/>
    <x v="0"/>
  </r>
  <r>
    <s v="O101273"/>
    <x v="169"/>
    <x v="4"/>
    <x v="4"/>
    <x v="3"/>
    <x v="3"/>
    <n v="6"/>
    <n v="989622"/>
    <d v="2025-03-19T00:00:00"/>
    <n v="3"/>
    <n v="19"/>
    <n v="2025"/>
    <x v="5"/>
    <m/>
    <x v="3"/>
  </r>
  <r>
    <s v="O111515"/>
    <x v="78"/>
    <x v="5"/>
    <x v="4"/>
    <x v="2"/>
    <x v="1"/>
    <n v="5"/>
    <n v="989586"/>
    <d v="2026-01-12T00:00:00"/>
    <n v="1"/>
    <n v="12"/>
    <n v="2026"/>
    <x v="6"/>
    <s v="Q1"/>
    <x v="2"/>
  </r>
  <r>
    <s v="O102211"/>
    <x v="636"/>
    <x v="1"/>
    <x v="4"/>
    <x v="2"/>
    <x v="2"/>
    <n v="7"/>
    <n v="988543"/>
    <d v="2025-05-15T00:00:00"/>
    <n v="5"/>
    <n v="15"/>
    <n v="2025"/>
    <x v="3"/>
    <s v="Q2"/>
    <x v="2"/>
  </r>
  <r>
    <s v="O101042"/>
    <x v="652"/>
    <x v="4"/>
    <x v="4"/>
    <x v="4"/>
    <x v="3"/>
    <n v="5"/>
    <n v="987483"/>
    <d v="2025-05-03T00:00:00"/>
    <n v="5"/>
    <n v="3"/>
    <n v="2025"/>
    <x v="3"/>
    <s v="Q2"/>
    <x v="4"/>
  </r>
  <r>
    <s v="O101445"/>
    <x v="109"/>
    <x v="6"/>
    <x v="5"/>
    <x v="0"/>
    <x v="1"/>
    <n v="9"/>
    <n v="987417"/>
    <d v="2025-03-29T00:00:00"/>
    <n v="3"/>
    <n v="29"/>
    <n v="2025"/>
    <x v="5"/>
    <s v="Q1"/>
    <x v="0"/>
  </r>
  <r>
    <s v="O111722"/>
    <x v="706"/>
    <x v="4"/>
    <x v="5"/>
    <x v="1"/>
    <x v="0"/>
    <n v="9"/>
    <n v="986987"/>
    <d v="2026-12-14T00:00:00"/>
    <n v="12"/>
    <n v="14"/>
    <n v="2026"/>
    <x v="7"/>
    <s v="Q4"/>
    <x v="1"/>
  </r>
  <r>
    <s v="O104383"/>
    <x v="493"/>
    <x v="8"/>
    <x v="2"/>
    <x v="0"/>
    <x v="0"/>
    <n v="4"/>
    <n v="986692"/>
    <d v="2025-09-24T00:00:00"/>
    <n v="9"/>
    <n v="24"/>
    <n v="2025"/>
    <x v="1"/>
    <s v="Q3"/>
    <x v="0"/>
  </r>
  <r>
    <s v="O100422"/>
    <x v="293"/>
    <x v="10"/>
    <x v="4"/>
    <x v="4"/>
    <x v="2"/>
    <n v="6"/>
    <n v="986507"/>
    <d v="2025-01-26T00:00:00"/>
    <n v="1"/>
    <n v="26"/>
    <n v="2025"/>
    <x v="6"/>
    <s v="Q1"/>
    <x v="4"/>
  </r>
  <r>
    <s v="O109990"/>
    <x v="522"/>
    <x v="8"/>
    <x v="5"/>
    <x v="3"/>
    <x v="0"/>
    <n v="7"/>
    <n v="986244"/>
    <d v="2026-08-30T00:00:00"/>
    <n v="8"/>
    <n v="30"/>
    <n v="2026"/>
    <x v="8"/>
    <s v="Q3"/>
    <x v="3"/>
  </r>
  <r>
    <s v="O100892"/>
    <x v="174"/>
    <x v="3"/>
    <x v="5"/>
    <x v="4"/>
    <x v="0"/>
    <n v="10"/>
    <n v="986025"/>
    <d v="2025-02-24T00:00:00"/>
    <n v="2"/>
    <n v="24"/>
    <n v="2025"/>
    <x v="4"/>
    <s v="Q1"/>
    <x v="4"/>
  </r>
  <r>
    <s v="O103504"/>
    <x v="101"/>
    <x v="4"/>
    <x v="0"/>
    <x v="2"/>
    <x v="2"/>
    <n v="2"/>
    <n v="985353"/>
    <d v="2025-01-08T00:00:00"/>
    <n v="1"/>
    <n v="8"/>
    <n v="2025"/>
    <x v="6"/>
    <s v="Q1"/>
    <x v="2"/>
  </r>
  <r>
    <s v="O107178"/>
    <x v="336"/>
    <x v="9"/>
    <x v="4"/>
    <x v="2"/>
    <x v="3"/>
    <n v="5"/>
    <n v="985128"/>
    <d v="2026-03-13T00:00:00"/>
    <n v="3"/>
    <n v="13"/>
    <n v="2026"/>
    <x v="5"/>
    <s v="Q1"/>
    <x v="2"/>
  </r>
  <r>
    <s v="O111205"/>
    <x v="732"/>
    <x v="5"/>
    <x v="5"/>
    <x v="1"/>
    <x v="3"/>
    <n v="10"/>
    <n v="984660"/>
    <d v="2026-12-11T00:00:00"/>
    <n v="12"/>
    <n v="11"/>
    <n v="2026"/>
    <x v="7"/>
    <s v="Q4"/>
    <x v="1"/>
  </r>
  <r>
    <s v="O107807"/>
    <x v="771"/>
    <x v="6"/>
    <x v="4"/>
    <x v="1"/>
    <x v="2"/>
    <n v="5"/>
    <n v="984527"/>
    <d v="2026-04-20T00:00:00"/>
    <n v="4"/>
    <n v="20"/>
    <n v="2026"/>
    <x v="11"/>
    <s v="Q2"/>
    <x v="1"/>
  </r>
  <r>
    <s v="O111838"/>
    <x v="346"/>
    <x v="4"/>
    <x v="4"/>
    <x v="1"/>
    <x v="2"/>
    <n v="7"/>
    <n v="984236"/>
    <d v="2026-12-21T00:00:00"/>
    <n v="12"/>
    <n v="21"/>
    <n v="2026"/>
    <x v="7"/>
    <m/>
    <x v="1"/>
  </r>
  <r>
    <s v="O100325"/>
    <x v="790"/>
    <x v="1"/>
    <x v="3"/>
    <x v="1"/>
    <x v="1"/>
    <n v="4"/>
    <n v="984177"/>
    <d v="2025-01-20T00:00:00"/>
    <n v="1"/>
    <n v="20"/>
    <n v="2025"/>
    <x v="6"/>
    <s v="Q1"/>
    <x v="1"/>
  </r>
  <r>
    <s v="O105823"/>
    <x v="176"/>
    <x v="9"/>
    <x v="4"/>
    <x v="3"/>
    <x v="3"/>
    <n v="6"/>
    <n v="984171"/>
    <d v="2025-12-20T00:00:00"/>
    <n v="12"/>
    <n v="20"/>
    <n v="2025"/>
    <x v="7"/>
    <s v="Q4"/>
    <x v="3"/>
  </r>
  <r>
    <s v="O107928"/>
    <x v="799"/>
    <x v="5"/>
    <x v="5"/>
    <x v="0"/>
    <x v="3"/>
    <n v="8"/>
    <n v="984166"/>
    <d v="2026-04-27T00:00:00"/>
    <n v="4"/>
    <n v="27"/>
    <n v="2026"/>
    <x v="11"/>
    <s v="Q2"/>
    <x v="0"/>
  </r>
  <r>
    <s v="O109649"/>
    <x v="241"/>
    <x v="1"/>
    <x v="2"/>
    <x v="3"/>
    <x v="4"/>
    <n v="3"/>
    <n v="984006"/>
    <d v="2026-10-08T00:00:00"/>
    <n v="10"/>
    <n v="8"/>
    <n v="2026"/>
    <x v="9"/>
    <s v="Q4"/>
    <x v="3"/>
  </r>
  <r>
    <s v="O101243"/>
    <x v="305"/>
    <x v="2"/>
    <x v="4"/>
    <x v="3"/>
    <x v="2"/>
    <n v="5"/>
    <n v="983937"/>
    <d v="2025-03-17T00:00:00"/>
    <n v="3"/>
    <n v="17"/>
    <n v="2025"/>
    <x v="5"/>
    <s v="Q1"/>
    <x v="3"/>
  </r>
  <r>
    <s v="O102611"/>
    <x v="341"/>
    <x v="0"/>
    <x v="5"/>
    <x v="3"/>
    <x v="2"/>
    <n v="8"/>
    <n v="983129"/>
    <d v="2025-08-06T00:00:00"/>
    <n v="8"/>
    <n v="6"/>
    <n v="2025"/>
    <x v="8"/>
    <m/>
    <x v="3"/>
  </r>
  <r>
    <s v="O101196"/>
    <x v="358"/>
    <x v="0"/>
    <x v="5"/>
    <x v="3"/>
    <x v="2"/>
    <n v="9"/>
    <n v="982959"/>
    <d v="2025-03-14T00:00:00"/>
    <n v="3"/>
    <n v="14"/>
    <n v="2025"/>
    <x v="5"/>
    <s v="Q1"/>
    <x v="3"/>
  </r>
  <r>
    <s v="O106400"/>
    <x v="345"/>
    <x v="0"/>
    <x v="5"/>
    <x v="2"/>
    <x v="2"/>
    <n v="10"/>
    <n v="982692"/>
    <d v="2026-01-24T00:00:00"/>
    <n v="1"/>
    <n v="24"/>
    <n v="2026"/>
    <x v="6"/>
    <s v="Q1"/>
    <x v="2"/>
  </r>
  <r>
    <s v="O101509"/>
    <x v="465"/>
    <x v="4"/>
    <x v="2"/>
    <x v="3"/>
    <x v="0"/>
    <n v="4"/>
    <n v="982307"/>
    <d v="2025-02-04T00:00:00"/>
    <n v="2"/>
    <n v="4"/>
    <n v="2025"/>
    <x v="4"/>
    <s v="Q1"/>
    <x v="3"/>
  </r>
  <r>
    <s v="O101625"/>
    <x v="774"/>
    <x v="1"/>
    <x v="0"/>
    <x v="3"/>
    <x v="3"/>
    <n v="2"/>
    <n v="982194"/>
    <d v="2025-09-04T00:00:00"/>
    <n v="9"/>
    <n v="4"/>
    <n v="2025"/>
    <x v="1"/>
    <s v="Q3"/>
    <x v="3"/>
  </r>
  <r>
    <s v="O103917"/>
    <x v="291"/>
    <x v="8"/>
    <x v="4"/>
    <x v="0"/>
    <x v="0"/>
    <n v="7"/>
    <n v="981764"/>
    <d v="2025-08-26T00:00:00"/>
    <n v="8"/>
    <n v="26"/>
    <n v="2025"/>
    <x v="8"/>
    <s v="Q3"/>
    <x v="0"/>
  </r>
  <r>
    <s v="O109631"/>
    <x v="475"/>
    <x v="0"/>
    <x v="0"/>
    <x v="0"/>
    <x v="1"/>
    <n v="2"/>
    <n v="981731"/>
    <d v="2026-09-08T00:00:00"/>
    <n v="9"/>
    <n v="8"/>
    <n v="2026"/>
    <x v="1"/>
    <s v="Q3"/>
    <x v="0"/>
  </r>
  <r>
    <s v="O105921"/>
    <x v="790"/>
    <x v="5"/>
    <x v="0"/>
    <x v="4"/>
    <x v="3"/>
    <n v="2"/>
    <n v="981345"/>
    <d v="2025-12-26T00:00:00"/>
    <n v="12"/>
    <n v="26"/>
    <n v="2025"/>
    <x v="7"/>
    <s v="Q4"/>
    <x v="4"/>
  </r>
  <r>
    <s v="O106349"/>
    <x v="330"/>
    <x v="3"/>
    <x v="2"/>
    <x v="1"/>
    <x v="3"/>
    <n v="4"/>
    <n v="981052"/>
    <d v="2026-01-21T00:00:00"/>
    <n v="1"/>
    <n v="21"/>
    <n v="2026"/>
    <x v="6"/>
    <s v="Q1"/>
    <x v="1"/>
  </r>
  <r>
    <s v="O103588"/>
    <x v="512"/>
    <x v="5"/>
    <x v="4"/>
    <x v="4"/>
    <x v="2"/>
    <n v="7"/>
    <n v="980937"/>
    <d v="2025-06-08T00:00:00"/>
    <n v="6"/>
    <n v="8"/>
    <n v="2025"/>
    <x v="2"/>
    <s v="Q2"/>
    <x v="4"/>
  </r>
  <r>
    <s v="O106525"/>
    <x v="358"/>
    <x v="1"/>
    <x v="0"/>
    <x v="4"/>
    <x v="0"/>
    <n v="2"/>
    <n v="980931"/>
    <d v="2026-01-02T00:00:00"/>
    <n v="1"/>
    <n v="2"/>
    <n v="2026"/>
    <x v="6"/>
    <s v="Q1"/>
    <x v="4"/>
  </r>
  <r>
    <s v="O103596"/>
    <x v="49"/>
    <x v="10"/>
    <x v="2"/>
    <x v="0"/>
    <x v="2"/>
    <n v="4"/>
    <n v="980307"/>
    <d v="2025-07-08T00:00:00"/>
    <n v="7"/>
    <n v="8"/>
    <n v="2025"/>
    <x v="10"/>
    <s v="Q3"/>
    <x v="0"/>
  </r>
  <r>
    <s v="O103819"/>
    <x v="610"/>
    <x v="2"/>
    <x v="5"/>
    <x v="4"/>
    <x v="2"/>
    <n v="8"/>
    <n v="979472"/>
    <d v="2025-08-20T00:00:00"/>
    <n v="8"/>
    <n v="20"/>
    <n v="2025"/>
    <x v="8"/>
    <s v="Q3"/>
    <x v="4"/>
  </r>
  <r>
    <s v="O102355"/>
    <x v="92"/>
    <x v="3"/>
    <x v="4"/>
    <x v="0"/>
    <x v="0"/>
    <n v="5"/>
    <n v="979366"/>
    <d v="2025-05-24T00:00:00"/>
    <n v="5"/>
    <n v="24"/>
    <n v="2025"/>
    <x v="3"/>
    <s v="Q2"/>
    <x v="0"/>
  </r>
  <r>
    <s v="O111174"/>
    <x v="134"/>
    <x v="5"/>
    <x v="4"/>
    <x v="2"/>
    <x v="1"/>
    <n v="5"/>
    <n v="979325"/>
    <d v="2026-10-11T00:00:00"/>
    <n v="10"/>
    <n v="11"/>
    <n v="2026"/>
    <x v="9"/>
    <s v="Q4"/>
    <x v="2"/>
  </r>
  <r>
    <s v="O104539"/>
    <x v="246"/>
    <x v="10"/>
    <x v="0"/>
    <x v="0"/>
    <x v="2"/>
    <n v="2"/>
    <n v="978778"/>
    <d v="2025-03-10T00:00:00"/>
    <n v="3"/>
    <n v="10"/>
    <n v="2025"/>
    <x v="5"/>
    <s v="Q1"/>
    <x v="0"/>
  </r>
  <r>
    <s v="O100529"/>
    <x v="338"/>
    <x v="1"/>
    <x v="0"/>
    <x v="0"/>
    <x v="1"/>
    <n v="2"/>
    <n v="978552"/>
    <d v="2025-02-02T00:00:00"/>
    <n v="2"/>
    <n v="2"/>
    <n v="2025"/>
    <x v="4"/>
    <s v="Q1"/>
    <x v="0"/>
  </r>
  <r>
    <s v="O111536"/>
    <x v="66"/>
    <x v="10"/>
    <x v="5"/>
    <x v="0"/>
    <x v="1"/>
    <n v="9"/>
    <n v="978056"/>
    <d v="2026-02-12T00:00:00"/>
    <n v="2"/>
    <n v="12"/>
    <n v="2026"/>
    <x v="4"/>
    <s v="Q1"/>
    <x v="0"/>
  </r>
  <r>
    <s v="O106366"/>
    <x v="709"/>
    <x v="0"/>
    <x v="2"/>
    <x v="0"/>
    <x v="3"/>
    <n v="4"/>
    <n v="977555"/>
    <d v="2026-01-22T00:00:00"/>
    <n v="1"/>
    <n v="22"/>
    <n v="2026"/>
    <x v="6"/>
    <s v="Q1"/>
    <x v="0"/>
  </r>
  <r>
    <s v="O110663"/>
    <x v="46"/>
    <x v="10"/>
    <x v="5"/>
    <x v="0"/>
    <x v="1"/>
    <n v="8"/>
    <n v="977369"/>
    <d v="2026-10-10T00:00:00"/>
    <n v="10"/>
    <n v="10"/>
    <n v="2026"/>
    <x v="9"/>
    <s v="Q4"/>
    <x v="0"/>
  </r>
  <r>
    <s v="O105125"/>
    <x v="29"/>
    <x v="8"/>
    <x v="3"/>
    <x v="2"/>
    <x v="2"/>
    <n v="4"/>
    <n v="977224"/>
    <d v="2025-08-11T00:00:00"/>
    <n v="8"/>
    <n v="11"/>
    <n v="2025"/>
    <x v="8"/>
    <s v="Q3"/>
    <x v="2"/>
  </r>
  <r>
    <s v="O111931"/>
    <x v="494"/>
    <x v="9"/>
    <x v="2"/>
    <x v="3"/>
    <x v="0"/>
    <n v="4"/>
    <n v="976688"/>
    <d v="2026-12-26T00:00:00"/>
    <n v="12"/>
    <n v="26"/>
    <n v="2026"/>
    <x v="7"/>
    <s v="Q4"/>
    <x v="3"/>
  </r>
  <r>
    <s v="O109944"/>
    <x v="428"/>
    <x v="9"/>
    <x v="2"/>
    <x v="3"/>
    <x v="2"/>
    <n v="4"/>
    <n v="976102"/>
    <d v="2026-08-28T00:00:00"/>
    <n v="8"/>
    <n v="28"/>
    <n v="2026"/>
    <x v="8"/>
    <s v="Q3"/>
    <x v="3"/>
  </r>
  <r>
    <s v="O104996"/>
    <x v="20"/>
    <x v="10"/>
    <x v="5"/>
    <x v="1"/>
    <x v="1"/>
    <n v="8"/>
    <n v="975890"/>
    <d v="2025-10-31T00:00:00"/>
    <n v="10"/>
    <n v="31"/>
    <n v="2025"/>
    <x v="9"/>
    <s v="Q4"/>
    <x v="1"/>
  </r>
  <r>
    <s v="O102872"/>
    <x v="233"/>
    <x v="10"/>
    <x v="3"/>
    <x v="3"/>
    <x v="3"/>
    <n v="4"/>
    <n v="975745"/>
    <d v="2025-06-24T00:00:00"/>
    <n v="6"/>
    <n v="24"/>
    <n v="2025"/>
    <x v="2"/>
    <s v="Q2"/>
    <x v="3"/>
  </r>
  <r>
    <s v="O103353"/>
    <x v="434"/>
    <x v="2"/>
    <x v="5"/>
    <x v="4"/>
    <x v="0"/>
    <n v="7"/>
    <n v="975740"/>
    <d v="2025-07-23T00:00:00"/>
    <n v="7"/>
    <n v="23"/>
    <n v="2025"/>
    <x v="10"/>
    <s v="Q3"/>
    <x v="4"/>
  </r>
  <r>
    <s v="O106725"/>
    <x v="444"/>
    <x v="1"/>
    <x v="2"/>
    <x v="2"/>
    <x v="2"/>
    <n v="3"/>
    <n v="975350"/>
    <d v="2026-02-13T00:00:00"/>
    <n v="2"/>
    <n v="13"/>
    <n v="2026"/>
    <x v="4"/>
    <s v="Q1"/>
    <x v="2"/>
  </r>
  <r>
    <s v="O111438"/>
    <x v="238"/>
    <x v="1"/>
    <x v="3"/>
    <x v="3"/>
    <x v="3"/>
    <n v="4"/>
    <n v="975185"/>
    <d v="2026-11-26T00:00:00"/>
    <n v="11"/>
    <n v="26"/>
    <n v="2026"/>
    <x v="0"/>
    <s v="Q4"/>
    <x v="3"/>
  </r>
  <r>
    <s v="O110482"/>
    <x v="211"/>
    <x v="5"/>
    <x v="4"/>
    <x v="4"/>
    <x v="3"/>
    <n v="5"/>
    <n v="974911"/>
    <d v="2026-09-29T00:00:00"/>
    <n v="9"/>
    <n v="29"/>
    <n v="2026"/>
    <x v="1"/>
    <s v="Q3"/>
    <x v="4"/>
  </r>
  <r>
    <s v="O108702"/>
    <x v="542"/>
    <x v="10"/>
    <x v="5"/>
    <x v="0"/>
    <x v="1"/>
    <n v="10"/>
    <n v="974894"/>
    <d v="2026-06-13T00:00:00"/>
    <n v="6"/>
    <n v="13"/>
    <n v="2026"/>
    <x v="2"/>
    <s v="Q2"/>
    <x v="0"/>
  </r>
  <r>
    <s v="O106036"/>
    <x v="130"/>
    <x v="5"/>
    <x v="0"/>
    <x v="4"/>
    <x v="1"/>
    <n v="2"/>
    <n v="974823"/>
    <d v="2026-02-01T00:00:00"/>
    <n v="2"/>
    <n v="1"/>
    <n v="2026"/>
    <x v="4"/>
    <s v="Q1"/>
    <x v="4"/>
  </r>
  <r>
    <s v="O110179"/>
    <x v="179"/>
    <x v="3"/>
    <x v="2"/>
    <x v="2"/>
    <x v="1"/>
    <n v="3"/>
    <n v="974809"/>
    <d v="2026-11-09T00:00:00"/>
    <n v="11"/>
    <n v="9"/>
    <n v="2026"/>
    <x v="0"/>
    <s v="Q4"/>
    <x v="2"/>
  </r>
  <r>
    <s v="O106198"/>
    <x v="207"/>
    <x v="1"/>
    <x v="5"/>
    <x v="4"/>
    <x v="3"/>
    <n v="9"/>
    <n v="974633"/>
    <d v="2026-12-01T00:00:00"/>
    <n v="12"/>
    <n v="1"/>
    <n v="2026"/>
    <x v="7"/>
    <s v="Q4"/>
    <x v="4"/>
  </r>
  <r>
    <s v="O107291"/>
    <x v="374"/>
    <x v="1"/>
    <x v="4"/>
    <x v="3"/>
    <x v="1"/>
    <n v="5"/>
    <n v="974501"/>
    <d v="2026-03-19T00:00:00"/>
    <n v="3"/>
    <n v="19"/>
    <n v="2026"/>
    <x v="5"/>
    <s v="Q1"/>
    <x v="3"/>
  </r>
  <r>
    <s v="O102206"/>
    <x v="174"/>
    <x v="1"/>
    <x v="3"/>
    <x v="3"/>
    <x v="0"/>
    <n v="4"/>
    <n v="974396"/>
    <d v="2025-05-14T00:00:00"/>
    <n v="5"/>
    <n v="14"/>
    <n v="2025"/>
    <x v="3"/>
    <s v="Q2"/>
    <x v="3"/>
  </r>
  <r>
    <s v="O106376"/>
    <x v="22"/>
    <x v="6"/>
    <x v="0"/>
    <x v="2"/>
    <x v="3"/>
    <n v="2"/>
    <n v="974203"/>
    <d v="2026-01-23T00:00:00"/>
    <n v="1"/>
    <n v="23"/>
    <n v="2026"/>
    <x v="6"/>
    <s v="Q1"/>
    <x v="2"/>
  </r>
  <r>
    <s v="O111446"/>
    <x v="248"/>
    <x v="4"/>
    <x v="5"/>
    <x v="3"/>
    <x v="0"/>
    <n v="8"/>
    <n v="974163"/>
    <d v="2026-11-27T00:00:00"/>
    <n v="11"/>
    <n v="27"/>
    <n v="2026"/>
    <x v="0"/>
    <s v="Q4"/>
    <x v="3"/>
  </r>
  <r>
    <s v="O110343"/>
    <x v="379"/>
    <x v="1"/>
    <x v="0"/>
    <x v="2"/>
    <x v="0"/>
    <n v="2"/>
    <n v="974135"/>
    <d v="2026-09-21T00:00:00"/>
    <n v="9"/>
    <n v="21"/>
    <n v="2026"/>
    <x v="1"/>
    <s v="Q3"/>
    <x v="2"/>
  </r>
  <r>
    <s v="O100798"/>
    <x v="715"/>
    <x v="1"/>
    <x v="2"/>
    <x v="0"/>
    <x v="1"/>
    <n v="4"/>
    <n v="974065"/>
    <d v="2025-02-18T00:00:00"/>
    <n v="2"/>
    <n v="18"/>
    <n v="2025"/>
    <x v="4"/>
    <s v="Q1"/>
    <x v="0"/>
  </r>
  <r>
    <s v="O100274"/>
    <x v="578"/>
    <x v="5"/>
    <x v="3"/>
    <x v="4"/>
    <x v="3"/>
    <n v="4"/>
    <n v="973580"/>
    <d v="2025-01-17T00:00:00"/>
    <n v="1"/>
    <n v="17"/>
    <n v="2025"/>
    <x v="6"/>
    <s v="Q1"/>
    <x v="4"/>
  </r>
  <r>
    <s v="O107511"/>
    <x v="672"/>
    <x v="10"/>
    <x v="5"/>
    <x v="2"/>
    <x v="3"/>
    <n v="9"/>
    <n v="973473"/>
    <d v="2026-02-04T00:00:00"/>
    <n v="2"/>
    <n v="4"/>
    <n v="2026"/>
    <x v="4"/>
    <s v="Q1"/>
    <x v="2"/>
  </r>
  <r>
    <s v="O106262"/>
    <x v="639"/>
    <x v="2"/>
    <x v="5"/>
    <x v="2"/>
    <x v="2"/>
    <n v="8"/>
    <n v="973444"/>
    <d v="2026-01-16T00:00:00"/>
    <n v="1"/>
    <n v="16"/>
    <n v="2026"/>
    <x v="6"/>
    <s v="Q1"/>
    <x v="2"/>
  </r>
  <r>
    <s v="O105133"/>
    <x v="579"/>
    <x v="10"/>
    <x v="0"/>
    <x v="1"/>
    <x v="3"/>
    <n v="2"/>
    <n v="973202"/>
    <d v="2025-08-11T00:00:00"/>
    <n v="8"/>
    <n v="11"/>
    <n v="2025"/>
    <x v="8"/>
    <s v="Q3"/>
    <x v="1"/>
  </r>
  <r>
    <s v="O110578"/>
    <x v="46"/>
    <x v="5"/>
    <x v="5"/>
    <x v="1"/>
    <x v="2"/>
    <n v="7"/>
    <n v="973029"/>
    <d v="2026-05-10T00:00:00"/>
    <n v="5"/>
    <n v="10"/>
    <n v="2026"/>
    <x v="3"/>
    <s v="Q2"/>
    <x v="1"/>
  </r>
  <r>
    <s v="O105729"/>
    <x v="382"/>
    <x v="8"/>
    <x v="0"/>
    <x v="2"/>
    <x v="3"/>
    <n v="2"/>
    <n v="972666"/>
    <d v="2025-12-15T00:00:00"/>
    <n v="12"/>
    <n v="15"/>
    <n v="2025"/>
    <x v="7"/>
    <s v="Q4"/>
    <x v="2"/>
  </r>
  <r>
    <s v="O111875"/>
    <x v="414"/>
    <x v="9"/>
    <x v="5"/>
    <x v="0"/>
    <x v="1"/>
    <n v="9"/>
    <n v="972268"/>
    <d v="2026-12-23T00:00:00"/>
    <n v="12"/>
    <n v="23"/>
    <n v="2026"/>
    <x v="7"/>
    <s v="Q4"/>
    <x v="0"/>
  </r>
  <r>
    <s v="O103081"/>
    <x v="573"/>
    <x v="9"/>
    <x v="4"/>
    <x v="0"/>
    <x v="1"/>
    <n v="5"/>
    <n v="970763"/>
    <d v="2025-07-07T00:00:00"/>
    <n v="7"/>
    <n v="7"/>
    <n v="2025"/>
    <x v="10"/>
    <s v="Q3"/>
    <x v="0"/>
  </r>
  <r>
    <s v="O100205"/>
    <x v="618"/>
    <x v="1"/>
    <x v="2"/>
    <x v="4"/>
    <x v="3"/>
    <n v="4"/>
    <n v="970441"/>
    <d v="2025-01-13T00:00:00"/>
    <n v="1"/>
    <n v="13"/>
    <n v="2025"/>
    <x v="6"/>
    <s v="Q1"/>
    <x v="4"/>
  </r>
  <r>
    <s v="O108047"/>
    <x v="573"/>
    <x v="4"/>
    <x v="4"/>
    <x v="3"/>
    <x v="1"/>
    <n v="6"/>
    <n v="969867"/>
    <d v="2026-04-05T00:00:00"/>
    <n v="4"/>
    <n v="5"/>
    <n v="2026"/>
    <x v="11"/>
    <s v="Q2"/>
    <x v="3"/>
  </r>
  <r>
    <s v="O106984"/>
    <x v="777"/>
    <x v="9"/>
    <x v="5"/>
    <x v="0"/>
    <x v="0"/>
    <n v="7"/>
    <n v="969854"/>
    <d v="2026-01-03T00:00:00"/>
    <n v="1"/>
    <n v="3"/>
    <n v="2026"/>
    <x v="6"/>
    <s v="Q1"/>
    <x v="0"/>
  </r>
  <r>
    <s v="O104964"/>
    <x v="492"/>
    <x v="1"/>
    <x v="4"/>
    <x v="3"/>
    <x v="0"/>
    <n v="6"/>
    <n v="969138"/>
    <d v="2025-10-29T00:00:00"/>
    <n v="10"/>
    <n v="29"/>
    <n v="2025"/>
    <x v="9"/>
    <s v="Q4"/>
    <x v="3"/>
  </r>
  <r>
    <s v="O111527"/>
    <x v="600"/>
    <x v="10"/>
    <x v="0"/>
    <x v="2"/>
    <x v="0"/>
    <n v="2"/>
    <n v="968805"/>
    <d v="2026-02-12T00:00:00"/>
    <n v="2"/>
    <n v="12"/>
    <n v="2026"/>
    <x v="4"/>
    <s v="Q1"/>
    <x v="2"/>
  </r>
  <r>
    <s v="O104057"/>
    <x v="736"/>
    <x v="9"/>
    <x v="5"/>
    <x v="4"/>
    <x v="1"/>
    <n v="10"/>
    <n v="968697"/>
    <d v="2025-04-09T00:00:00"/>
    <n v="4"/>
    <n v="9"/>
    <n v="2025"/>
    <x v="11"/>
    <s v="Q2"/>
    <x v="4"/>
  </r>
  <r>
    <s v="O103963"/>
    <x v="293"/>
    <x v="9"/>
    <x v="0"/>
    <x v="2"/>
    <x v="0"/>
    <n v="2"/>
    <n v="968431"/>
    <d v="2025-08-29T00:00:00"/>
    <n v="8"/>
    <n v="29"/>
    <n v="2025"/>
    <x v="8"/>
    <s v="Q3"/>
    <x v="2"/>
  </r>
  <r>
    <s v="O101905"/>
    <x v="475"/>
    <x v="0"/>
    <x v="4"/>
    <x v="0"/>
    <x v="2"/>
    <n v="7"/>
    <n v="968103"/>
    <d v="2025-04-26T00:00:00"/>
    <n v="4"/>
    <n v="26"/>
    <n v="2025"/>
    <x v="11"/>
    <s v="Q2"/>
    <x v="0"/>
  </r>
  <r>
    <s v="O100972"/>
    <x v="600"/>
    <x v="1"/>
    <x v="3"/>
    <x v="4"/>
    <x v="0"/>
    <n v="5"/>
    <n v="968092"/>
    <d v="2025-02-28T00:00:00"/>
    <n v="2"/>
    <n v="28"/>
    <n v="2025"/>
    <x v="4"/>
    <s v="Q1"/>
    <x v="4"/>
  </r>
  <r>
    <s v="O103631"/>
    <x v="298"/>
    <x v="8"/>
    <x v="4"/>
    <x v="0"/>
    <x v="2"/>
    <n v="7"/>
    <n v="967809"/>
    <d v="2025-09-08T00:00:00"/>
    <n v="9"/>
    <n v="8"/>
    <n v="2025"/>
    <x v="1"/>
    <s v="Q3"/>
    <x v="0"/>
  </r>
  <r>
    <s v="O100990"/>
    <x v="525"/>
    <x v="9"/>
    <x v="5"/>
    <x v="1"/>
    <x v="3"/>
    <n v="8"/>
    <n v="967505"/>
    <d v="2025-02-03T00:00:00"/>
    <n v="2"/>
    <n v="3"/>
    <n v="2025"/>
    <x v="4"/>
    <s v="Q1"/>
    <x v="1"/>
  </r>
  <r>
    <s v="O107905"/>
    <x v="754"/>
    <x v="1"/>
    <x v="0"/>
    <x v="4"/>
    <x v="1"/>
    <n v="-4"/>
    <n v="967476"/>
    <d v="2026-04-26T00:00:00"/>
    <n v="4"/>
    <n v="26"/>
    <n v="2026"/>
    <x v="11"/>
    <s v="Q2"/>
    <x v="4"/>
  </r>
  <r>
    <s v="O104126"/>
    <x v="52"/>
    <x v="3"/>
    <x v="2"/>
    <x v="3"/>
    <x v="3"/>
    <n v="3"/>
    <n v="967369"/>
    <d v="2025-08-09T00:00:00"/>
    <n v="8"/>
    <n v="9"/>
    <n v="2025"/>
    <x v="8"/>
    <s v="Q3"/>
    <x v="3"/>
  </r>
  <r>
    <s v="O105459"/>
    <x v="206"/>
    <x v="1"/>
    <x v="3"/>
    <x v="0"/>
    <x v="2"/>
    <n v="4"/>
    <n v="967277"/>
    <d v="2025-11-28T00:00:00"/>
    <n v="11"/>
    <n v="28"/>
    <n v="2025"/>
    <x v="0"/>
    <s v="Q4"/>
    <x v="0"/>
  </r>
  <r>
    <s v="O106283"/>
    <x v="500"/>
    <x v="10"/>
    <x v="4"/>
    <x v="2"/>
    <x v="3"/>
    <n v="6"/>
    <n v="967264"/>
    <d v="2026-01-17T00:00:00"/>
    <n v="1"/>
    <n v="17"/>
    <n v="2026"/>
    <x v="6"/>
    <s v="Q1"/>
    <x v="2"/>
  </r>
  <r>
    <s v="O110443"/>
    <x v="692"/>
    <x v="4"/>
    <x v="5"/>
    <x v="2"/>
    <x v="2"/>
    <n v="9"/>
    <n v="966364"/>
    <d v="2026-09-27T00:00:00"/>
    <n v="9"/>
    <n v="27"/>
    <n v="2026"/>
    <x v="1"/>
    <s v="Q3"/>
    <x v="2"/>
  </r>
  <r>
    <s v="O108175"/>
    <x v="459"/>
    <x v="9"/>
    <x v="2"/>
    <x v="0"/>
    <x v="3"/>
    <n v="3"/>
    <n v="966128"/>
    <d v="2026-12-05T00:00:00"/>
    <n v="12"/>
    <n v="5"/>
    <n v="2026"/>
    <x v="7"/>
    <s v="Q4"/>
    <x v="0"/>
  </r>
  <r>
    <s v="O101111"/>
    <x v="166"/>
    <x v="2"/>
    <x v="5"/>
    <x v="2"/>
    <x v="0"/>
    <n v="10"/>
    <n v="966054"/>
    <d v="2025-09-03T00:00:00"/>
    <n v="9"/>
    <n v="3"/>
    <n v="2025"/>
    <x v="1"/>
    <s v="Q3"/>
    <x v="2"/>
  </r>
  <r>
    <s v="O101591"/>
    <x v="710"/>
    <x v="4"/>
    <x v="4"/>
    <x v="3"/>
    <x v="2"/>
    <n v="7"/>
    <n v="965247"/>
    <d v="2025-07-04T00:00:00"/>
    <n v="7"/>
    <n v="4"/>
    <n v="2025"/>
    <x v="10"/>
    <s v="Q3"/>
    <x v="3"/>
  </r>
  <r>
    <s v="O106717"/>
    <x v="536"/>
    <x v="0"/>
    <x v="0"/>
    <x v="1"/>
    <x v="2"/>
    <n v="2"/>
    <n v="964856"/>
    <d v="2026-02-13T00:00:00"/>
    <n v="2"/>
    <n v="13"/>
    <n v="2026"/>
    <x v="4"/>
    <s v="Q1"/>
    <x v="1"/>
  </r>
  <r>
    <s v="O107991"/>
    <x v="745"/>
    <x v="2"/>
    <x v="2"/>
    <x v="4"/>
    <x v="0"/>
    <n v="3"/>
    <n v="964612"/>
    <d v="2026-01-05T00:00:00"/>
    <n v="1"/>
    <n v="5"/>
    <n v="2026"/>
    <x v="6"/>
    <s v="Q1"/>
    <x v="4"/>
  </r>
  <r>
    <s v="O102234"/>
    <x v="112"/>
    <x v="3"/>
    <x v="5"/>
    <x v="4"/>
    <x v="0"/>
    <n v="7"/>
    <n v="964224"/>
    <d v="2025-05-16T00:00:00"/>
    <n v="5"/>
    <n v="16"/>
    <n v="2025"/>
    <x v="3"/>
    <s v="Q2"/>
    <x v="4"/>
  </r>
  <r>
    <s v="O110384"/>
    <x v="452"/>
    <x v="2"/>
    <x v="5"/>
    <x v="1"/>
    <x v="3"/>
    <n v="8"/>
    <n v="964127"/>
    <d v="2026-09-23T00:00:00"/>
    <n v="9"/>
    <n v="23"/>
    <n v="2026"/>
    <x v="1"/>
    <s v="Q3"/>
    <x v="1"/>
  </r>
  <r>
    <s v="O106008"/>
    <x v="337"/>
    <x v="9"/>
    <x v="0"/>
    <x v="3"/>
    <x v="2"/>
    <n v="2"/>
    <n v="963980"/>
    <d v="2025-12-31T00:00:00"/>
    <n v="12"/>
    <n v="31"/>
    <n v="2025"/>
    <x v="7"/>
    <s v="Q4"/>
    <x v="3"/>
  </r>
  <r>
    <s v="O111238"/>
    <x v="67"/>
    <x v="5"/>
    <x v="5"/>
    <x v="1"/>
    <x v="0"/>
    <n v="8"/>
    <n v="963839"/>
    <d v="2026-11-14T00:00:00"/>
    <n v="11"/>
    <n v="14"/>
    <n v="2026"/>
    <x v="0"/>
    <s v="Q4"/>
    <x v="1"/>
  </r>
  <r>
    <s v="O105960"/>
    <x v="265"/>
    <x v="9"/>
    <x v="5"/>
    <x v="0"/>
    <x v="2"/>
    <n v="7"/>
    <n v="963433"/>
    <d v="2025-12-29T00:00:00"/>
    <n v="12"/>
    <n v="29"/>
    <n v="2025"/>
    <x v="7"/>
    <s v="Q4"/>
    <x v="0"/>
  </r>
  <r>
    <s v="O103563"/>
    <x v="354"/>
    <x v="8"/>
    <x v="0"/>
    <x v="1"/>
    <x v="3"/>
    <n v="2"/>
    <n v="963043"/>
    <d v="2025-05-08T00:00:00"/>
    <n v="5"/>
    <n v="8"/>
    <n v="2025"/>
    <x v="3"/>
    <s v="Q2"/>
    <x v="1"/>
  </r>
  <r>
    <s v="O100588"/>
    <x v="360"/>
    <x v="5"/>
    <x v="0"/>
    <x v="4"/>
    <x v="2"/>
    <n v="2"/>
    <n v="963030"/>
    <d v="2025-05-02T00:00:00"/>
    <n v="5"/>
    <n v="2"/>
    <n v="2025"/>
    <x v="3"/>
    <s v="Q2"/>
    <x v="4"/>
  </r>
  <r>
    <s v="O100743"/>
    <x v="461"/>
    <x v="8"/>
    <x v="4"/>
    <x v="4"/>
    <x v="0"/>
    <n v="5"/>
    <n v="962716"/>
    <d v="2025-02-15T00:00:00"/>
    <n v="2"/>
    <n v="15"/>
    <n v="2025"/>
    <x v="4"/>
    <s v="Q1"/>
    <x v="4"/>
  </r>
  <r>
    <s v="O102945"/>
    <x v="1"/>
    <x v="2"/>
    <x v="4"/>
    <x v="1"/>
    <x v="0"/>
    <n v="7"/>
    <n v="962125"/>
    <d v="2025-06-28T00:00:00"/>
    <n v="6"/>
    <n v="28"/>
    <n v="2025"/>
    <x v="2"/>
    <s v="Q2"/>
    <x v="1"/>
  </r>
  <r>
    <s v="O108239"/>
    <x v="691"/>
    <x v="9"/>
    <x v="2"/>
    <x v="0"/>
    <x v="2"/>
    <n v="3"/>
    <n v="961865"/>
    <d v="2026-05-16T00:00:00"/>
    <n v="5"/>
    <n v="16"/>
    <n v="2026"/>
    <x v="3"/>
    <m/>
    <x v="0"/>
  </r>
  <r>
    <s v="O110453"/>
    <x v="531"/>
    <x v="4"/>
    <x v="5"/>
    <x v="3"/>
    <x v="1"/>
    <n v="9"/>
    <n v="961779"/>
    <d v="2026-09-28T00:00:00"/>
    <n v="9"/>
    <n v="28"/>
    <n v="2026"/>
    <x v="1"/>
    <s v="Q3"/>
    <x v="3"/>
  </r>
  <r>
    <s v="O107549"/>
    <x v="39"/>
    <x v="3"/>
    <x v="5"/>
    <x v="1"/>
    <x v="2"/>
    <n v="8"/>
    <n v="961762"/>
    <d v="2026-04-04T00:00:00"/>
    <n v="4"/>
    <n v="4"/>
    <n v="2026"/>
    <x v="11"/>
    <s v="Q2"/>
    <x v="1"/>
  </r>
  <r>
    <s v="O108954"/>
    <x v="488"/>
    <x v="10"/>
    <x v="2"/>
    <x v="2"/>
    <x v="1"/>
    <n v="4"/>
    <n v="961230"/>
    <d v="2026-06-28T00:00:00"/>
    <n v="6"/>
    <n v="28"/>
    <n v="2026"/>
    <x v="2"/>
    <s v="Q2"/>
    <x v="2"/>
  </r>
  <r>
    <s v="O105119"/>
    <x v="743"/>
    <x v="5"/>
    <x v="4"/>
    <x v="2"/>
    <x v="2"/>
    <n v="5"/>
    <n v="961073"/>
    <d v="2025-07-11T00:00:00"/>
    <n v="7"/>
    <n v="11"/>
    <n v="2025"/>
    <x v="10"/>
    <s v="Q3"/>
    <x v="2"/>
  </r>
  <r>
    <s v="O107177"/>
    <x v="698"/>
    <x v="10"/>
    <x v="3"/>
    <x v="4"/>
    <x v="3"/>
    <n v="4"/>
    <n v="960992"/>
    <d v="2026-12-03T00:00:00"/>
    <n v="12"/>
    <n v="3"/>
    <n v="2026"/>
    <x v="7"/>
    <s v="Q4"/>
    <x v="4"/>
  </r>
  <r>
    <s v="O108249"/>
    <x v="46"/>
    <x v="0"/>
    <x v="3"/>
    <x v="4"/>
    <x v="0"/>
    <n v="5"/>
    <n v="960790"/>
    <d v="2026-05-17T00:00:00"/>
    <n v="5"/>
    <n v="17"/>
    <n v="2026"/>
    <x v="3"/>
    <s v="Q2"/>
    <x v="4"/>
  </r>
  <r>
    <s v="O104215"/>
    <x v="133"/>
    <x v="3"/>
    <x v="2"/>
    <x v="2"/>
    <x v="3"/>
    <n v="4"/>
    <n v="960641"/>
    <d v="2025-09-14T00:00:00"/>
    <n v="9"/>
    <n v="14"/>
    <n v="2025"/>
    <x v="1"/>
    <s v="Q3"/>
    <x v="2"/>
  </r>
  <r>
    <s v="O104803"/>
    <x v="193"/>
    <x v="6"/>
    <x v="5"/>
    <x v="3"/>
    <x v="2"/>
    <n v="9"/>
    <n v="960354"/>
    <d v="2025-10-19T00:00:00"/>
    <n v="10"/>
    <n v="19"/>
    <n v="2025"/>
    <x v="9"/>
    <s v="Q4"/>
    <x v="3"/>
  </r>
  <r>
    <s v="O105660"/>
    <x v="4"/>
    <x v="8"/>
    <x v="2"/>
    <x v="4"/>
    <x v="0"/>
    <n v="3"/>
    <n v="960148"/>
    <d v="2025-10-12T00:00:00"/>
    <n v="10"/>
    <n v="12"/>
    <n v="2025"/>
    <x v="9"/>
    <s v="Q4"/>
    <x v="4"/>
  </r>
  <r>
    <s v="O107595"/>
    <x v="473"/>
    <x v="6"/>
    <x v="0"/>
    <x v="3"/>
    <x v="1"/>
    <n v="2"/>
    <n v="959891"/>
    <d v="2026-07-04T00:00:00"/>
    <n v="7"/>
    <n v="4"/>
    <n v="2026"/>
    <x v="10"/>
    <s v="Q3"/>
    <x v="3"/>
  </r>
  <r>
    <s v="O100663"/>
    <x v="175"/>
    <x v="3"/>
    <x v="2"/>
    <x v="0"/>
    <x v="1"/>
    <n v="4"/>
    <n v="959575"/>
    <d v="2025-10-02T00:00:00"/>
    <n v="10"/>
    <n v="2"/>
    <n v="2025"/>
    <x v="9"/>
    <s v="Q4"/>
    <x v="0"/>
  </r>
  <r>
    <s v="O100745"/>
    <x v="640"/>
    <x v="9"/>
    <x v="0"/>
    <x v="1"/>
    <x v="0"/>
    <n v="2"/>
    <n v="959073"/>
    <d v="2025-02-15T00:00:00"/>
    <n v="2"/>
    <n v="15"/>
    <n v="2025"/>
    <x v="4"/>
    <s v="Q1"/>
    <x v="1"/>
  </r>
  <r>
    <s v="O102365"/>
    <x v="751"/>
    <x v="7"/>
    <x v="2"/>
    <x v="2"/>
    <x v="3"/>
    <n v="4"/>
    <n v="958824"/>
    <d v="2025-05-24T00:00:00"/>
    <n v="5"/>
    <n v="24"/>
    <n v="2025"/>
    <x v="3"/>
    <s v="Q2"/>
    <x v="2"/>
  </r>
  <r>
    <s v="O103292"/>
    <x v="136"/>
    <x v="3"/>
    <x v="5"/>
    <x v="1"/>
    <x v="3"/>
    <n v="7"/>
    <n v="958799"/>
    <d v="2025-07-19T00:00:00"/>
    <n v="7"/>
    <n v="19"/>
    <n v="2025"/>
    <x v="10"/>
    <s v="Q3"/>
    <x v="1"/>
  </r>
  <r>
    <s v="O106089"/>
    <x v="117"/>
    <x v="4"/>
    <x v="4"/>
    <x v="2"/>
    <x v="1"/>
    <n v="7"/>
    <n v="958598"/>
    <d v="2026-05-01T00:00:00"/>
    <n v="5"/>
    <n v="1"/>
    <n v="2026"/>
    <x v="3"/>
    <s v="Q2"/>
    <x v="2"/>
  </r>
  <r>
    <s v="O108439"/>
    <x v="735"/>
    <x v="0"/>
    <x v="2"/>
    <x v="2"/>
    <x v="2"/>
    <n v="3"/>
    <n v="958315"/>
    <d v="2026-05-28T00:00:00"/>
    <n v="5"/>
    <n v="28"/>
    <n v="2026"/>
    <x v="3"/>
    <s v="Q2"/>
    <x v="2"/>
  </r>
  <r>
    <s v="O109832"/>
    <x v="538"/>
    <x v="0"/>
    <x v="5"/>
    <x v="1"/>
    <x v="2"/>
    <n v="7"/>
    <n v="958205"/>
    <d v="2026-08-21T00:00:00"/>
    <n v="8"/>
    <n v="21"/>
    <n v="2026"/>
    <x v="8"/>
    <m/>
    <x v="1"/>
  </r>
  <r>
    <s v="O103475"/>
    <x v="606"/>
    <x v="3"/>
    <x v="5"/>
    <x v="1"/>
    <x v="3"/>
    <n v="9"/>
    <n v="958016"/>
    <d v="2025-07-31T00:00:00"/>
    <n v="7"/>
    <n v="31"/>
    <n v="2025"/>
    <x v="10"/>
    <s v="Q3"/>
    <x v="1"/>
  </r>
  <r>
    <s v="O105799"/>
    <x v="405"/>
    <x v="9"/>
    <x v="3"/>
    <x v="2"/>
    <x v="1"/>
    <n v="4"/>
    <n v="957168"/>
    <d v="2025-12-19T00:00:00"/>
    <n v="12"/>
    <n v="19"/>
    <n v="2025"/>
    <x v="7"/>
    <s v="Q4"/>
    <x v="2"/>
  </r>
  <r>
    <s v="O106555"/>
    <x v="574"/>
    <x v="1"/>
    <x v="4"/>
    <x v="1"/>
    <x v="1"/>
    <n v="6"/>
    <n v="957096"/>
    <d v="2026-03-02T00:00:00"/>
    <n v="3"/>
    <n v="2"/>
    <n v="2026"/>
    <x v="5"/>
    <s v="Q1"/>
    <x v="1"/>
  </r>
  <r>
    <s v="O106543"/>
    <x v="265"/>
    <x v="0"/>
    <x v="3"/>
    <x v="1"/>
    <x v="3"/>
    <n v="4"/>
    <n v="956972"/>
    <d v="2026-02-02T00:00:00"/>
    <n v="2"/>
    <n v="2"/>
    <n v="2026"/>
    <x v="4"/>
    <s v="Q1"/>
    <x v="1"/>
  </r>
  <r>
    <s v="O106099"/>
    <x v="640"/>
    <x v="4"/>
    <x v="0"/>
    <x v="2"/>
    <x v="0"/>
    <n v="2"/>
    <n v="956959"/>
    <d v="2026-06-01T00:00:00"/>
    <n v="6"/>
    <n v="1"/>
    <n v="2026"/>
    <x v="2"/>
    <s v="Q2"/>
    <x v="2"/>
  </r>
  <r>
    <s v="O100615"/>
    <x v="471"/>
    <x v="3"/>
    <x v="5"/>
    <x v="1"/>
    <x v="2"/>
    <n v="10"/>
    <n v="956903"/>
    <d v="2025-07-02T00:00:00"/>
    <n v="7"/>
    <n v="2"/>
    <n v="2025"/>
    <x v="10"/>
    <s v="Q3"/>
    <x v="1"/>
  </r>
  <r>
    <s v="O102555"/>
    <x v="189"/>
    <x v="2"/>
    <x v="0"/>
    <x v="3"/>
    <x v="3"/>
    <n v="2"/>
    <n v="956304"/>
    <d v="2025-05-06T00:00:00"/>
    <n v="5"/>
    <n v="6"/>
    <n v="2025"/>
    <x v="3"/>
    <s v="Q2"/>
    <x v="3"/>
  </r>
  <r>
    <s v="O104060"/>
    <x v="1"/>
    <x v="6"/>
    <x v="3"/>
    <x v="4"/>
    <x v="2"/>
    <n v="5"/>
    <n v="955750"/>
    <d v="2025-04-09T00:00:00"/>
    <n v="4"/>
    <n v="9"/>
    <n v="2025"/>
    <x v="11"/>
    <s v="Q2"/>
    <x v="4"/>
  </r>
  <r>
    <s v="O111465"/>
    <x v="718"/>
    <x v="2"/>
    <x v="2"/>
    <x v="2"/>
    <x v="3"/>
    <n v="4"/>
    <n v="955234"/>
    <d v="2026-11-28T00:00:00"/>
    <n v="11"/>
    <n v="28"/>
    <n v="2026"/>
    <x v="0"/>
    <s v="Q4"/>
    <x v="2"/>
  </r>
  <r>
    <s v="O101736"/>
    <x v="259"/>
    <x v="1"/>
    <x v="5"/>
    <x v="4"/>
    <x v="0"/>
    <n v="9"/>
    <n v="954890"/>
    <d v="2025-04-16T00:00:00"/>
    <n v="4"/>
    <n v="16"/>
    <n v="2025"/>
    <x v="11"/>
    <s v="Q2"/>
    <x v="4"/>
  </r>
  <r>
    <s v="O106451"/>
    <x v="407"/>
    <x v="5"/>
    <x v="5"/>
    <x v="4"/>
    <x v="2"/>
    <n v="10"/>
    <n v="954782"/>
    <d v="2026-01-27T00:00:00"/>
    <n v="1"/>
    <n v="27"/>
    <n v="2026"/>
    <x v="6"/>
    <s v="Q1"/>
    <x v="4"/>
  </r>
  <r>
    <s v="O105827"/>
    <x v="284"/>
    <x v="4"/>
    <x v="2"/>
    <x v="1"/>
    <x v="0"/>
    <n v="4"/>
    <n v="953824"/>
    <d v="2025-12-20T00:00:00"/>
    <n v="12"/>
    <n v="20"/>
    <n v="2025"/>
    <x v="7"/>
    <s v="Q4"/>
    <x v="1"/>
  </r>
  <r>
    <s v="O100273"/>
    <x v="482"/>
    <x v="10"/>
    <x v="5"/>
    <x v="4"/>
    <x v="0"/>
    <n v="7"/>
    <n v="953809"/>
    <d v="2025-01-17T00:00:00"/>
    <n v="1"/>
    <n v="17"/>
    <n v="2025"/>
    <x v="6"/>
    <s v="Q1"/>
    <x v="4"/>
  </r>
  <r>
    <s v="O111997"/>
    <x v="229"/>
    <x v="0"/>
    <x v="5"/>
    <x v="2"/>
    <x v="2"/>
    <n v="7"/>
    <n v="953551"/>
    <d v="2026-12-30T00:00:00"/>
    <n v="12"/>
    <n v="30"/>
    <n v="2026"/>
    <x v="7"/>
    <s v="Q4"/>
    <x v="2"/>
  </r>
  <r>
    <s v="O104338"/>
    <x v="182"/>
    <x v="8"/>
    <x v="5"/>
    <x v="4"/>
    <x v="0"/>
    <n v="8"/>
    <n v="953523"/>
    <d v="2025-09-21T00:00:00"/>
    <n v="9"/>
    <n v="21"/>
    <n v="2025"/>
    <x v="1"/>
    <s v="Q3"/>
    <x v="4"/>
  </r>
  <r>
    <s v="O109905"/>
    <x v="303"/>
    <x v="2"/>
    <x v="3"/>
    <x v="2"/>
    <x v="1"/>
    <n v="4"/>
    <n v="953097"/>
    <d v="2026-08-25T00:00:00"/>
    <n v="8"/>
    <n v="25"/>
    <n v="2026"/>
    <x v="8"/>
    <s v="Q3"/>
    <x v="2"/>
  </r>
  <r>
    <s v="O100138"/>
    <x v="192"/>
    <x v="9"/>
    <x v="4"/>
    <x v="2"/>
    <x v="0"/>
    <n v="7"/>
    <n v="952404"/>
    <d v="2025-09-01T00:00:00"/>
    <n v="9"/>
    <n v="1"/>
    <n v="2025"/>
    <x v="1"/>
    <s v="Q3"/>
    <x v="2"/>
  </r>
  <r>
    <s v="O102562"/>
    <x v="646"/>
    <x v="8"/>
    <x v="4"/>
    <x v="0"/>
    <x v="2"/>
    <n v="6"/>
    <n v="951909"/>
    <d v="2025-05-06T00:00:00"/>
    <n v="5"/>
    <n v="6"/>
    <n v="2025"/>
    <x v="3"/>
    <s v="Q2"/>
    <x v="0"/>
  </r>
  <r>
    <s v="O106368"/>
    <x v="154"/>
    <x v="6"/>
    <x v="0"/>
    <x v="2"/>
    <x v="1"/>
    <n v="2"/>
    <n v="951352"/>
    <d v="2026-01-22T00:00:00"/>
    <n v="1"/>
    <n v="22"/>
    <n v="2026"/>
    <x v="6"/>
    <s v="Q1"/>
    <x v="2"/>
  </r>
  <r>
    <s v="O102639"/>
    <x v="403"/>
    <x v="4"/>
    <x v="3"/>
    <x v="1"/>
    <x v="1"/>
    <n v="5"/>
    <n v="951340"/>
    <d v="2025-10-06T00:00:00"/>
    <n v="10"/>
    <n v="6"/>
    <n v="2025"/>
    <x v="9"/>
    <s v="Q4"/>
    <x v="1"/>
  </r>
  <r>
    <s v="O105522"/>
    <x v="442"/>
    <x v="3"/>
    <x v="2"/>
    <x v="0"/>
    <x v="2"/>
    <n v="3"/>
    <n v="951133"/>
    <d v="2025-02-12T00:00:00"/>
    <n v="2"/>
    <n v="12"/>
    <n v="2025"/>
    <x v="4"/>
    <s v="Q1"/>
    <x v="0"/>
  </r>
  <r>
    <s v="O103094"/>
    <x v="590"/>
    <x v="9"/>
    <x v="5"/>
    <x v="3"/>
    <x v="1"/>
    <n v="7"/>
    <n v="950531"/>
    <d v="2025-07-07T00:00:00"/>
    <n v="7"/>
    <n v="7"/>
    <n v="2025"/>
    <x v="10"/>
    <s v="Q3"/>
    <x v="3"/>
  </r>
  <r>
    <s v="O104647"/>
    <x v="385"/>
    <x v="5"/>
    <x v="2"/>
    <x v="3"/>
    <x v="0"/>
    <n v="4"/>
    <n v="950404"/>
    <d v="2025-10-10T00:00:00"/>
    <n v="10"/>
    <n v="10"/>
    <n v="2025"/>
    <x v="9"/>
    <s v="Q4"/>
    <x v="3"/>
  </r>
  <r>
    <s v="O111110"/>
    <x v="39"/>
    <x v="1"/>
    <x v="2"/>
    <x v="4"/>
    <x v="2"/>
    <n v="3"/>
    <n v="950374"/>
    <d v="2026-11-06T00:00:00"/>
    <n v="11"/>
    <n v="6"/>
    <n v="2026"/>
    <x v="0"/>
    <s v="Q4"/>
    <x v="4"/>
  </r>
  <r>
    <s v="O105851"/>
    <x v="107"/>
    <x v="1"/>
    <x v="0"/>
    <x v="1"/>
    <x v="3"/>
    <n v="2"/>
    <n v="950183"/>
    <d v="2025-12-22T00:00:00"/>
    <n v="12"/>
    <n v="22"/>
    <n v="2025"/>
    <x v="7"/>
    <s v="Q4"/>
    <x v="1"/>
  </r>
  <r>
    <s v="O102901"/>
    <x v="590"/>
    <x v="1"/>
    <x v="0"/>
    <x v="1"/>
    <x v="1"/>
    <n v="2"/>
    <n v="949884"/>
    <d v="2025-06-26T00:00:00"/>
    <n v="6"/>
    <n v="26"/>
    <n v="2025"/>
    <x v="2"/>
    <s v="Q2"/>
    <x v="1"/>
  </r>
  <r>
    <s v="O109243"/>
    <x v="174"/>
    <x v="10"/>
    <x v="4"/>
    <x v="4"/>
    <x v="0"/>
    <n v="6"/>
    <n v="949648"/>
    <d v="2026-07-16T00:00:00"/>
    <n v="7"/>
    <n v="16"/>
    <n v="2026"/>
    <x v="10"/>
    <s v="Q3"/>
    <x v="4"/>
  </r>
  <r>
    <s v="O101248"/>
    <x v="165"/>
    <x v="3"/>
    <x v="0"/>
    <x v="3"/>
    <x v="2"/>
    <n v="2"/>
    <n v="949621"/>
    <d v="2025-03-17T00:00:00"/>
    <n v="3"/>
    <n v="17"/>
    <n v="2025"/>
    <x v="5"/>
    <s v="Q1"/>
    <x v="3"/>
  </r>
  <r>
    <s v="O111507"/>
    <x v="389"/>
    <x v="8"/>
    <x v="5"/>
    <x v="0"/>
    <x v="1"/>
    <n v="10"/>
    <n v="949429"/>
    <d v="2026-01-12T00:00:00"/>
    <n v="1"/>
    <n v="12"/>
    <n v="2026"/>
    <x v="6"/>
    <s v="Q1"/>
    <x v="0"/>
  </r>
  <r>
    <s v="O111674"/>
    <x v="66"/>
    <x v="6"/>
    <x v="5"/>
    <x v="0"/>
    <x v="1"/>
    <n v="8"/>
    <n v="949418"/>
    <d v="2026-11-12T00:00:00"/>
    <n v="11"/>
    <n v="12"/>
    <n v="2026"/>
    <x v="0"/>
    <s v="Q4"/>
    <x v="0"/>
  </r>
  <r>
    <s v="O104870"/>
    <x v="509"/>
    <x v="1"/>
    <x v="5"/>
    <x v="1"/>
    <x v="3"/>
    <n v="9"/>
    <n v="949177"/>
    <d v="2025-10-23T00:00:00"/>
    <n v="10"/>
    <n v="23"/>
    <n v="2025"/>
    <x v="9"/>
    <s v="Q4"/>
    <x v="1"/>
  </r>
  <r>
    <s v="O108620"/>
    <x v="589"/>
    <x v="1"/>
    <x v="0"/>
    <x v="0"/>
    <x v="3"/>
    <n v="2"/>
    <n v="948786"/>
    <d v="2026-08-06T00:00:00"/>
    <n v="8"/>
    <n v="6"/>
    <n v="2026"/>
    <x v="8"/>
    <s v="Q3"/>
    <x v="0"/>
  </r>
  <r>
    <s v="O100223"/>
    <x v="17"/>
    <x v="4"/>
    <x v="0"/>
    <x v="1"/>
    <x v="2"/>
    <n v="2"/>
    <n v="946420"/>
    <d v="2025-01-14T00:00:00"/>
    <n v="1"/>
    <n v="14"/>
    <n v="2025"/>
    <x v="6"/>
    <s v="Q1"/>
    <x v="1"/>
  </r>
  <r>
    <s v="O101668"/>
    <x v="127"/>
    <x v="5"/>
    <x v="3"/>
    <x v="4"/>
    <x v="3"/>
    <n v="4"/>
    <n v="946168"/>
    <d v="2025-12-04T00:00:00"/>
    <n v="12"/>
    <n v="4"/>
    <n v="2025"/>
    <x v="7"/>
    <s v="Q4"/>
    <x v="4"/>
  </r>
  <r>
    <s v="O106556"/>
    <x v="310"/>
    <x v="0"/>
    <x v="4"/>
    <x v="1"/>
    <x v="2"/>
    <n v="6"/>
    <n v="945712"/>
    <d v="2026-03-02T00:00:00"/>
    <n v="3"/>
    <n v="2"/>
    <n v="2026"/>
    <x v="5"/>
    <s v="Q1"/>
    <x v="1"/>
  </r>
  <r>
    <s v="O110627"/>
    <x v="323"/>
    <x v="9"/>
    <x v="5"/>
    <x v="4"/>
    <x v="3"/>
    <n v="7"/>
    <n v="945299"/>
    <d v="2026-08-10T00:00:00"/>
    <n v="8"/>
    <n v="10"/>
    <n v="2026"/>
    <x v="8"/>
    <s v="Q3"/>
    <x v="4"/>
  </r>
  <r>
    <s v="O109461"/>
    <x v="368"/>
    <x v="3"/>
    <x v="2"/>
    <x v="0"/>
    <x v="2"/>
    <n v="4"/>
    <n v="945183"/>
    <d v="2026-07-29T00:00:00"/>
    <n v="7"/>
    <n v="29"/>
    <n v="2026"/>
    <x v="10"/>
    <s v="Q3"/>
    <x v="0"/>
  </r>
  <r>
    <s v="O106087"/>
    <x v="315"/>
    <x v="1"/>
    <x v="4"/>
    <x v="2"/>
    <x v="3"/>
    <n v="6"/>
    <n v="944580"/>
    <d v="2026-05-01T00:00:00"/>
    <n v="5"/>
    <n v="1"/>
    <n v="2026"/>
    <x v="3"/>
    <s v="Q2"/>
    <x v="2"/>
  </r>
  <r>
    <s v="O100822"/>
    <x v="776"/>
    <x v="5"/>
    <x v="0"/>
    <x v="4"/>
    <x v="1"/>
    <n v="2"/>
    <n v="943914"/>
    <d v="2025-02-19T00:00:00"/>
    <n v="2"/>
    <n v="19"/>
    <n v="2025"/>
    <x v="4"/>
    <s v="Q1"/>
    <x v="4"/>
  </r>
  <r>
    <s v="O102942"/>
    <x v="221"/>
    <x v="0"/>
    <x v="2"/>
    <x v="5"/>
    <x v="3"/>
    <n v="3"/>
    <n v="943900"/>
    <d v="2025-06-28T00:00:00"/>
    <n v="6"/>
    <n v="28"/>
    <n v="2025"/>
    <x v="2"/>
    <s v="Q2"/>
    <x v="5"/>
  </r>
  <r>
    <s v="O111978"/>
    <x v="694"/>
    <x v="3"/>
    <x v="3"/>
    <x v="4"/>
    <x v="3"/>
    <n v="4"/>
    <n v="943898"/>
    <d v="2026-12-29T00:00:00"/>
    <n v="12"/>
    <n v="29"/>
    <n v="2026"/>
    <x v="7"/>
    <s v="Q4"/>
    <x v="4"/>
  </r>
  <r>
    <s v="O100101"/>
    <x v="413"/>
    <x v="2"/>
    <x v="0"/>
    <x v="3"/>
    <x v="0"/>
    <n v="2"/>
    <n v="943575"/>
    <d v="2025-07-01T00:00:00"/>
    <n v="7"/>
    <n v="1"/>
    <n v="2025"/>
    <x v="10"/>
    <s v="Q3"/>
    <x v="3"/>
  </r>
  <r>
    <s v="O109966"/>
    <x v="95"/>
    <x v="10"/>
    <x v="2"/>
    <x v="4"/>
    <x v="3"/>
    <n v="3"/>
    <n v="943505"/>
    <d v="2026-08-29T00:00:00"/>
    <n v="8"/>
    <n v="29"/>
    <n v="2026"/>
    <x v="8"/>
    <s v="Q3"/>
    <x v="4"/>
  </r>
  <r>
    <s v="O101249"/>
    <x v="680"/>
    <x v="10"/>
    <x v="3"/>
    <x v="4"/>
    <x v="3"/>
    <n v="5"/>
    <n v="943303"/>
    <d v="2025-03-17T00:00:00"/>
    <n v="3"/>
    <n v="17"/>
    <n v="2025"/>
    <x v="5"/>
    <s v="Q1"/>
    <x v="4"/>
  </r>
  <r>
    <s v="O104350"/>
    <x v="704"/>
    <x v="6"/>
    <x v="2"/>
    <x v="4"/>
    <x v="0"/>
    <n v="4"/>
    <n v="942872"/>
    <d v="2025-09-22T00:00:00"/>
    <n v="9"/>
    <n v="22"/>
    <n v="2025"/>
    <x v="1"/>
    <s v="Q3"/>
    <x v="4"/>
  </r>
  <r>
    <s v="O104370"/>
    <x v="732"/>
    <x v="6"/>
    <x v="0"/>
    <x v="0"/>
    <x v="0"/>
    <n v="2"/>
    <n v="942741"/>
    <d v="2025-09-23T00:00:00"/>
    <n v="9"/>
    <n v="23"/>
    <n v="2025"/>
    <x v="1"/>
    <s v="Q3"/>
    <x v="0"/>
  </r>
  <r>
    <s v="O101980"/>
    <x v="441"/>
    <x v="2"/>
    <x v="5"/>
    <x v="2"/>
    <x v="0"/>
    <n v="9"/>
    <n v="942446"/>
    <d v="2025-01-05T00:00:00"/>
    <n v="1"/>
    <n v="5"/>
    <n v="2025"/>
    <x v="6"/>
    <s v="Q1"/>
    <x v="2"/>
  </r>
  <r>
    <s v="O103004"/>
    <x v="601"/>
    <x v="1"/>
    <x v="2"/>
    <x v="1"/>
    <x v="2"/>
    <n v="3"/>
    <n v="941890"/>
    <d v="2025-02-07T00:00:00"/>
    <n v="2"/>
    <n v="7"/>
    <n v="2025"/>
    <x v="4"/>
    <s v="Q1"/>
    <x v="1"/>
  </r>
  <r>
    <s v="O110039"/>
    <x v="300"/>
    <x v="0"/>
    <x v="1"/>
    <x v="0"/>
    <x v="3"/>
    <n v="3"/>
    <n v="941759"/>
    <d v="2026-02-09T00:00:00"/>
    <n v="2"/>
    <n v="9"/>
    <n v="2026"/>
    <x v="4"/>
    <s v="Q1"/>
    <x v="0"/>
  </r>
  <r>
    <s v="O109431"/>
    <x v="327"/>
    <x v="9"/>
    <x v="5"/>
    <x v="3"/>
    <x v="0"/>
    <n v="7"/>
    <n v="941496"/>
    <d v="2026-07-27T00:00:00"/>
    <n v="7"/>
    <n v="27"/>
    <n v="2026"/>
    <x v="10"/>
    <s v="Q3"/>
    <x v="3"/>
  </r>
  <r>
    <s v="O111956"/>
    <x v="102"/>
    <x v="4"/>
    <x v="5"/>
    <x v="1"/>
    <x v="2"/>
    <n v="9"/>
    <n v="941313"/>
    <d v="2026-12-28T00:00:00"/>
    <n v="12"/>
    <n v="28"/>
    <n v="2026"/>
    <x v="7"/>
    <s v="Q4"/>
    <x v="1"/>
  </r>
  <r>
    <s v="O111675"/>
    <x v="691"/>
    <x v="4"/>
    <x v="0"/>
    <x v="3"/>
    <x v="4"/>
    <n v="2"/>
    <n v="940967"/>
    <d v="2026-11-12T00:00:00"/>
    <n v="11"/>
    <n v="12"/>
    <n v="2026"/>
    <x v="0"/>
    <m/>
    <x v="3"/>
  </r>
  <r>
    <s v="O107984"/>
    <x v="497"/>
    <x v="4"/>
    <x v="0"/>
    <x v="2"/>
    <x v="2"/>
    <n v="2"/>
    <n v="940942"/>
    <d v="2026-01-05T00:00:00"/>
    <n v="1"/>
    <n v="5"/>
    <n v="2026"/>
    <x v="6"/>
    <s v="Q1"/>
    <x v="2"/>
  </r>
  <r>
    <s v="O102314"/>
    <x v="295"/>
    <x v="5"/>
    <x v="4"/>
    <x v="2"/>
    <x v="1"/>
    <n v="5"/>
    <n v="939229"/>
    <d v="2025-05-21T00:00:00"/>
    <n v="5"/>
    <n v="21"/>
    <n v="2025"/>
    <x v="3"/>
    <s v="Q2"/>
    <x v="2"/>
  </r>
  <r>
    <s v="O106350"/>
    <x v="71"/>
    <x v="8"/>
    <x v="4"/>
    <x v="3"/>
    <x v="3"/>
    <n v="5"/>
    <n v="939115"/>
    <d v="2026-01-21T00:00:00"/>
    <n v="1"/>
    <n v="21"/>
    <n v="2026"/>
    <x v="6"/>
    <s v="Q1"/>
    <x v="3"/>
  </r>
  <r>
    <s v="O110138"/>
    <x v="557"/>
    <x v="0"/>
    <x v="2"/>
    <x v="1"/>
    <x v="2"/>
    <n v="4"/>
    <n v="938620"/>
    <d v="2026-08-09T00:00:00"/>
    <n v="8"/>
    <n v="9"/>
    <n v="2026"/>
    <x v="8"/>
    <s v="Q3"/>
    <x v="1"/>
  </r>
  <r>
    <s v="O110936"/>
    <x v="693"/>
    <x v="0"/>
    <x v="0"/>
    <x v="1"/>
    <x v="1"/>
    <n v="2"/>
    <n v="938247"/>
    <d v="2026-10-27T00:00:00"/>
    <n v="10"/>
    <n v="27"/>
    <n v="2026"/>
    <x v="9"/>
    <s v="Q4"/>
    <x v="1"/>
  </r>
  <r>
    <s v="O101870"/>
    <x v="170"/>
    <x v="8"/>
    <x v="4"/>
    <x v="0"/>
    <x v="0"/>
    <n v="5"/>
    <n v="937988"/>
    <d v="2025-04-24T00:00:00"/>
    <n v="4"/>
    <n v="24"/>
    <n v="2025"/>
    <x v="11"/>
    <s v="Q2"/>
    <x v="0"/>
  </r>
  <r>
    <s v="O105868"/>
    <x v="40"/>
    <x v="8"/>
    <x v="0"/>
    <x v="0"/>
    <x v="2"/>
    <n v="2"/>
    <n v="937879"/>
    <d v="2025-12-23T00:00:00"/>
    <n v="12"/>
    <n v="23"/>
    <n v="2025"/>
    <x v="7"/>
    <s v="Q4"/>
    <x v="0"/>
  </r>
  <r>
    <s v="O111785"/>
    <x v="30"/>
    <x v="3"/>
    <x v="2"/>
    <x v="2"/>
    <x v="0"/>
    <n v="4"/>
    <n v="937518"/>
    <d v="2026-12-17T00:00:00"/>
    <n v="12"/>
    <n v="17"/>
    <n v="2026"/>
    <x v="7"/>
    <s v="Q4"/>
    <x v="2"/>
  </r>
  <r>
    <s v="O107410"/>
    <x v="130"/>
    <x v="0"/>
    <x v="2"/>
    <x v="2"/>
    <x v="3"/>
    <n v="4"/>
    <n v="937476"/>
    <d v="2026-03-27T00:00:00"/>
    <n v="3"/>
    <n v="27"/>
    <n v="2026"/>
    <x v="5"/>
    <s v="Q1"/>
    <x v="2"/>
  </r>
  <r>
    <s v="O107383"/>
    <x v="701"/>
    <x v="0"/>
    <x v="3"/>
    <x v="1"/>
    <x v="0"/>
    <n v="4"/>
    <n v="937417"/>
    <d v="2026-03-25T00:00:00"/>
    <n v="3"/>
    <n v="25"/>
    <n v="2026"/>
    <x v="5"/>
    <s v="Q1"/>
    <x v="1"/>
  </r>
  <r>
    <s v="O104652"/>
    <x v="558"/>
    <x v="8"/>
    <x v="4"/>
    <x v="4"/>
    <x v="1"/>
    <n v="5"/>
    <n v="937378"/>
    <d v="2025-10-10T00:00:00"/>
    <n v="10"/>
    <n v="10"/>
    <n v="2025"/>
    <x v="9"/>
    <s v="Q4"/>
    <x v="4"/>
  </r>
  <r>
    <s v="O107059"/>
    <x v="304"/>
    <x v="4"/>
    <x v="5"/>
    <x v="0"/>
    <x v="0"/>
    <n v="9"/>
    <n v="936255"/>
    <d v="2026-05-03T00:00:00"/>
    <n v="5"/>
    <n v="3"/>
    <n v="2026"/>
    <x v="3"/>
    <s v="Q2"/>
    <x v="0"/>
  </r>
  <r>
    <s v="O111021"/>
    <x v="316"/>
    <x v="3"/>
    <x v="4"/>
    <x v="1"/>
    <x v="3"/>
    <n v="6"/>
    <n v="935995"/>
    <d v="2026-01-11T00:00:00"/>
    <n v="1"/>
    <n v="11"/>
    <n v="2026"/>
    <x v="6"/>
    <s v="Q1"/>
    <x v="1"/>
  </r>
  <r>
    <s v="O100428"/>
    <x v="645"/>
    <x v="4"/>
    <x v="5"/>
    <x v="3"/>
    <x v="3"/>
    <n v="8"/>
    <n v="935874"/>
    <d v="2025-01-26T00:00:00"/>
    <n v="1"/>
    <n v="26"/>
    <n v="2025"/>
    <x v="6"/>
    <s v="Q1"/>
    <x v="3"/>
  </r>
  <r>
    <s v="O104088"/>
    <x v="209"/>
    <x v="6"/>
    <x v="2"/>
    <x v="1"/>
    <x v="0"/>
    <n v="4"/>
    <n v="935844"/>
    <d v="2025-06-09T00:00:00"/>
    <n v="6"/>
    <n v="9"/>
    <n v="2025"/>
    <x v="2"/>
    <s v="Q2"/>
    <x v="1"/>
  </r>
  <r>
    <s v="O102658"/>
    <x v="504"/>
    <x v="5"/>
    <x v="5"/>
    <x v="2"/>
    <x v="3"/>
    <n v="10"/>
    <n v="935701"/>
    <d v="2025-11-06T00:00:00"/>
    <n v="11"/>
    <n v="6"/>
    <n v="2025"/>
    <x v="0"/>
    <s v="Q4"/>
    <x v="2"/>
  </r>
  <r>
    <s v="O102889"/>
    <x v="653"/>
    <x v="2"/>
    <x v="5"/>
    <x v="0"/>
    <x v="2"/>
    <n v="9"/>
    <n v="935541"/>
    <d v="2025-06-25T00:00:00"/>
    <n v="6"/>
    <n v="25"/>
    <n v="2025"/>
    <x v="2"/>
    <s v="Q2"/>
    <x v="0"/>
  </r>
  <r>
    <s v="O104522"/>
    <x v="422"/>
    <x v="4"/>
    <x v="2"/>
    <x v="3"/>
    <x v="1"/>
    <n v="3"/>
    <n v="935302"/>
    <d v="2025-02-10T00:00:00"/>
    <n v="2"/>
    <n v="10"/>
    <n v="2025"/>
    <x v="4"/>
    <m/>
    <x v="3"/>
  </r>
  <r>
    <s v="O100482"/>
    <x v="113"/>
    <x v="2"/>
    <x v="4"/>
    <x v="4"/>
    <x v="0"/>
    <n v="6"/>
    <n v="934909"/>
    <d v="2025-01-30T00:00:00"/>
    <n v="1"/>
    <n v="30"/>
    <n v="2025"/>
    <x v="6"/>
    <s v="Q1"/>
    <x v="4"/>
  </r>
  <r>
    <s v="O105981"/>
    <x v="308"/>
    <x v="1"/>
    <x v="2"/>
    <x v="1"/>
    <x v="0"/>
    <n v="4"/>
    <n v="934395"/>
    <d v="2025-12-30T00:00:00"/>
    <n v="12"/>
    <n v="30"/>
    <n v="2025"/>
    <x v="7"/>
    <s v="Q4"/>
    <x v="1"/>
  </r>
  <r>
    <s v="O110294"/>
    <x v="294"/>
    <x v="3"/>
    <x v="2"/>
    <x v="3"/>
    <x v="3"/>
    <n v="4"/>
    <n v="934038"/>
    <d v="2026-09-18T00:00:00"/>
    <n v="9"/>
    <n v="18"/>
    <n v="2026"/>
    <x v="1"/>
    <s v="Q3"/>
    <x v="3"/>
  </r>
  <r>
    <s v="O111425"/>
    <x v="466"/>
    <x v="4"/>
    <x v="5"/>
    <x v="3"/>
    <x v="2"/>
    <n v="10"/>
    <n v="933368"/>
    <d v="2026-11-26T00:00:00"/>
    <n v="11"/>
    <n v="26"/>
    <n v="2026"/>
    <x v="0"/>
    <s v="Q4"/>
    <x v="3"/>
  </r>
  <r>
    <s v="O102409"/>
    <x v="148"/>
    <x v="5"/>
    <x v="3"/>
    <x v="3"/>
    <x v="2"/>
    <n v="4"/>
    <n v="933055"/>
    <d v="2025-05-27T00:00:00"/>
    <n v="5"/>
    <n v="27"/>
    <n v="2025"/>
    <x v="3"/>
    <s v="Q2"/>
    <x v="3"/>
  </r>
  <r>
    <s v="O111707"/>
    <x v="214"/>
    <x v="9"/>
    <x v="3"/>
    <x v="3"/>
    <x v="0"/>
    <n v="4"/>
    <n v="932901"/>
    <d v="2026-12-13T00:00:00"/>
    <n v="12"/>
    <n v="13"/>
    <n v="2026"/>
    <x v="7"/>
    <s v="Q4"/>
    <x v="3"/>
  </r>
  <r>
    <s v="O111877"/>
    <x v="624"/>
    <x v="5"/>
    <x v="4"/>
    <x v="3"/>
    <x v="2"/>
    <n v="5"/>
    <n v="932619"/>
    <d v="2026-12-23T00:00:00"/>
    <n v="12"/>
    <n v="23"/>
    <n v="2026"/>
    <x v="7"/>
    <s v="Q4"/>
    <x v="3"/>
  </r>
  <r>
    <s v="O105543"/>
    <x v="628"/>
    <x v="2"/>
    <x v="5"/>
    <x v="1"/>
    <x v="3"/>
    <n v="9"/>
    <n v="932438"/>
    <d v="2025-03-12T00:00:00"/>
    <n v="3"/>
    <n v="12"/>
    <n v="2025"/>
    <x v="5"/>
    <s v="Q1"/>
    <x v="1"/>
  </r>
  <r>
    <s v="O102719"/>
    <x v="40"/>
    <x v="6"/>
    <x v="5"/>
    <x v="3"/>
    <x v="3"/>
    <n v="7"/>
    <n v="931858"/>
    <d v="2025-06-15T00:00:00"/>
    <n v="6"/>
    <n v="15"/>
    <n v="2025"/>
    <x v="2"/>
    <s v="Q2"/>
    <x v="3"/>
  </r>
  <r>
    <s v="O104085"/>
    <x v="578"/>
    <x v="10"/>
    <x v="0"/>
    <x v="1"/>
    <x v="3"/>
    <n v="2"/>
    <n v="931346"/>
    <d v="2025-06-09T00:00:00"/>
    <n v="6"/>
    <n v="9"/>
    <n v="2025"/>
    <x v="2"/>
    <s v="Q2"/>
    <x v="1"/>
  </r>
  <r>
    <s v="O102107"/>
    <x v="614"/>
    <x v="2"/>
    <x v="5"/>
    <x v="0"/>
    <x v="0"/>
    <n v="8"/>
    <n v="931231"/>
    <d v="2025-08-05T00:00:00"/>
    <n v="8"/>
    <n v="5"/>
    <n v="2025"/>
    <x v="8"/>
    <s v="Q3"/>
    <x v="0"/>
  </r>
  <r>
    <s v="O100446"/>
    <x v="786"/>
    <x v="10"/>
    <x v="3"/>
    <x v="4"/>
    <x v="0"/>
    <n v="4"/>
    <n v="930738"/>
    <d v="2025-01-28T00:00:00"/>
    <n v="1"/>
    <n v="28"/>
    <n v="2025"/>
    <x v="6"/>
    <s v="Q1"/>
    <x v="4"/>
  </r>
  <r>
    <s v="O104187"/>
    <x v="237"/>
    <x v="2"/>
    <x v="0"/>
    <x v="3"/>
    <x v="0"/>
    <n v="2"/>
    <n v="930576"/>
    <d v="2025-12-09T00:00:00"/>
    <n v="12"/>
    <n v="9"/>
    <n v="2025"/>
    <x v="7"/>
    <s v="Q4"/>
    <x v="3"/>
  </r>
  <r>
    <s v="O100054"/>
    <x v="489"/>
    <x v="4"/>
    <x v="5"/>
    <x v="1"/>
    <x v="0"/>
    <n v="9"/>
    <n v="930569"/>
    <d v="2025-04-01T00:00:00"/>
    <n v="4"/>
    <n v="1"/>
    <n v="2025"/>
    <x v="11"/>
    <s v="Q2"/>
    <x v="1"/>
  </r>
  <r>
    <s v="O101835"/>
    <x v="434"/>
    <x v="0"/>
    <x v="5"/>
    <x v="2"/>
    <x v="0"/>
    <n v="10"/>
    <n v="930522"/>
    <d v="2025-04-22T00:00:00"/>
    <n v="4"/>
    <n v="22"/>
    <n v="2025"/>
    <x v="11"/>
    <s v="Q2"/>
    <x v="2"/>
  </r>
  <r>
    <s v="O103957"/>
    <x v="66"/>
    <x v="2"/>
    <x v="3"/>
    <x v="4"/>
    <x v="2"/>
    <n v="5"/>
    <n v="930055"/>
    <d v="2025-08-29T00:00:00"/>
    <n v="8"/>
    <n v="29"/>
    <n v="2025"/>
    <x v="8"/>
    <s v="Q3"/>
    <x v="4"/>
  </r>
  <r>
    <s v="O108138"/>
    <x v="404"/>
    <x v="6"/>
    <x v="3"/>
    <x v="3"/>
    <x v="0"/>
    <n v="5"/>
    <n v="929815"/>
    <d v="2026-10-05T00:00:00"/>
    <n v="10"/>
    <n v="5"/>
    <n v="2026"/>
    <x v="9"/>
    <s v="Q4"/>
    <x v="3"/>
  </r>
  <r>
    <s v="O103260"/>
    <x v="246"/>
    <x v="1"/>
    <x v="5"/>
    <x v="2"/>
    <x v="0"/>
    <n v="7"/>
    <n v="929637"/>
    <d v="2025-07-18T00:00:00"/>
    <n v="7"/>
    <n v="18"/>
    <n v="2025"/>
    <x v="10"/>
    <s v="Q3"/>
    <x v="2"/>
  </r>
  <r>
    <s v="O102642"/>
    <x v="719"/>
    <x v="0"/>
    <x v="0"/>
    <x v="4"/>
    <x v="0"/>
    <n v="2"/>
    <n v="929307"/>
    <d v="2025-10-06T00:00:00"/>
    <n v="10"/>
    <n v="6"/>
    <n v="2025"/>
    <x v="9"/>
    <s v="Q4"/>
    <x v="4"/>
  </r>
  <r>
    <s v="O108947"/>
    <x v="515"/>
    <x v="1"/>
    <x v="4"/>
    <x v="0"/>
    <x v="2"/>
    <n v="5"/>
    <n v="929164"/>
    <d v="2026-06-28T00:00:00"/>
    <n v="6"/>
    <n v="28"/>
    <n v="2026"/>
    <x v="2"/>
    <s v="Q2"/>
    <x v="0"/>
  </r>
  <r>
    <s v="O107154"/>
    <x v="759"/>
    <x v="5"/>
    <x v="5"/>
    <x v="4"/>
    <x v="2"/>
    <n v="10"/>
    <n v="929057"/>
    <d v="2026-11-03T00:00:00"/>
    <n v="11"/>
    <n v="3"/>
    <n v="2026"/>
    <x v="0"/>
    <s v="Q4"/>
    <x v="4"/>
  </r>
  <r>
    <s v="O107850"/>
    <x v="110"/>
    <x v="4"/>
    <x v="0"/>
    <x v="0"/>
    <x v="3"/>
    <n v="2"/>
    <n v="928380"/>
    <d v="2026-04-22T00:00:00"/>
    <n v="4"/>
    <n v="22"/>
    <n v="2026"/>
    <x v="11"/>
    <s v="Q2"/>
    <x v="0"/>
  </r>
  <r>
    <s v="O103284"/>
    <x v="664"/>
    <x v="6"/>
    <x v="5"/>
    <x v="2"/>
    <x v="0"/>
    <n v="8"/>
    <n v="928106"/>
    <d v="2025-07-19T00:00:00"/>
    <n v="7"/>
    <n v="19"/>
    <n v="2025"/>
    <x v="10"/>
    <s v="Q3"/>
    <x v="2"/>
  </r>
  <r>
    <s v="O103265"/>
    <x v="453"/>
    <x v="3"/>
    <x v="4"/>
    <x v="0"/>
    <x v="0"/>
    <n v="5"/>
    <n v="928075"/>
    <d v="2025-07-18T00:00:00"/>
    <n v="7"/>
    <n v="18"/>
    <n v="2025"/>
    <x v="10"/>
    <s v="Q3"/>
    <x v="0"/>
  </r>
  <r>
    <s v="O101656"/>
    <x v="649"/>
    <x v="0"/>
    <x v="3"/>
    <x v="2"/>
    <x v="2"/>
    <n v="5"/>
    <n v="927646"/>
    <d v="2025-11-04T00:00:00"/>
    <n v="11"/>
    <n v="4"/>
    <n v="2025"/>
    <x v="0"/>
    <s v="Q4"/>
    <x v="2"/>
  </r>
  <r>
    <s v="O104385"/>
    <x v="431"/>
    <x v="3"/>
    <x v="5"/>
    <x v="2"/>
    <x v="1"/>
    <n v="7"/>
    <n v="927564"/>
    <d v="2025-09-24T00:00:00"/>
    <n v="9"/>
    <n v="24"/>
    <n v="2025"/>
    <x v="1"/>
    <s v="Q3"/>
    <x v="2"/>
  </r>
  <r>
    <s v="O105165"/>
    <x v="41"/>
    <x v="0"/>
    <x v="0"/>
    <x v="1"/>
    <x v="3"/>
    <n v="2"/>
    <n v="926617"/>
    <d v="2025-10-11T00:00:00"/>
    <n v="10"/>
    <n v="11"/>
    <n v="2025"/>
    <x v="9"/>
    <s v="Q4"/>
    <x v="1"/>
  </r>
  <r>
    <s v="O103424"/>
    <x v="125"/>
    <x v="9"/>
    <x v="0"/>
    <x v="2"/>
    <x v="2"/>
    <n v="2"/>
    <n v="926451"/>
    <d v="2025-07-27T00:00:00"/>
    <n v="7"/>
    <n v="27"/>
    <n v="2025"/>
    <x v="10"/>
    <s v="Q3"/>
    <x v="2"/>
  </r>
  <r>
    <s v="O110569"/>
    <x v="425"/>
    <x v="9"/>
    <x v="3"/>
    <x v="2"/>
    <x v="3"/>
    <n v="5"/>
    <n v="926211"/>
    <d v="2026-05-10T00:00:00"/>
    <n v="5"/>
    <n v="10"/>
    <n v="2026"/>
    <x v="3"/>
    <s v="Q2"/>
    <x v="2"/>
  </r>
  <r>
    <s v="O111408"/>
    <x v="588"/>
    <x v="6"/>
    <x v="2"/>
    <x v="0"/>
    <x v="1"/>
    <n v="4"/>
    <n v="925835"/>
    <d v="2026-11-25T00:00:00"/>
    <n v="11"/>
    <n v="25"/>
    <n v="2026"/>
    <x v="0"/>
    <s v="Q4"/>
    <x v="0"/>
  </r>
  <r>
    <s v="O104070"/>
    <x v="729"/>
    <x v="4"/>
    <x v="5"/>
    <x v="4"/>
    <x v="2"/>
    <n v="8"/>
    <n v="925826"/>
    <d v="2025-05-09T00:00:00"/>
    <n v="5"/>
    <n v="9"/>
    <n v="2025"/>
    <x v="3"/>
    <s v="Q2"/>
    <x v="4"/>
  </r>
  <r>
    <s v="O100681"/>
    <x v="733"/>
    <x v="6"/>
    <x v="5"/>
    <x v="2"/>
    <x v="0"/>
    <n v="9"/>
    <n v="925744"/>
    <d v="2025-11-02T00:00:00"/>
    <n v="11"/>
    <n v="2"/>
    <n v="2025"/>
    <x v="0"/>
    <s v="Q4"/>
    <x v="2"/>
  </r>
  <r>
    <s v="O108621"/>
    <x v="176"/>
    <x v="4"/>
    <x v="3"/>
    <x v="0"/>
    <x v="0"/>
    <n v="4"/>
    <n v="925508"/>
    <d v="2026-08-06T00:00:00"/>
    <n v="8"/>
    <n v="6"/>
    <n v="2026"/>
    <x v="8"/>
    <s v="Q3"/>
    <x v="0"/>
  </r>
  <r>
    <s v="O109677"/>
    <x v="161"/>
    <x v="8"/>
    <x v="3"/>
    <x v="0"/>
    <x v="3"/>
    <n v="4"/>
    <n v="925061"/>
    <d v="2026-11-08T00:00:00"/>
    <n v="11"/>
    <n v="8"/>
    <n v="2026"/>
    <x v="0"/>
    <s v="Q4"/>
    <x v="0"/>
  </r>
  <r>
    <s v="O101242"/>
    <x v="727"/>
    <x v="6"/>
    <x v="4"/>
    <x v="3"/>
    <x v="3"/>
    <n v="5"/>
    <n v="924925"/>
    <d v="2025-03-17T00:00:00"/>
    <n v="3"/>
    <n v="17"/>
    <n v="2025"/>
    <x v="5"/>
    <s v="Q1"/>
    <x v="3"/>
  </r>
  <r>
    <s v="O108540"/>
    <x v="545"/>
    <x v="10"/>
    <x v="5"/>
    <x v="0"/>
    <x v="2"/>
    <n v="7"/>
    <n v="924758"/>
    <d v="2026-03-06T00:00:00"/>
    <n v="3"/>
    <n v="6"/>
    <n v="2026"/>
    <x v="5"/>
    <s v="Q1"/>
    <x v="0"/>
  </r>
  <r>
    <s v="O102389"/>
    <x v="425"/>
    <x v="4"/>
    <x v="4"/>
    <x v="3"/>
    <x v="1"/>
    <n v="5"/>
    <n v="924741"/>
    <d v="2025-05-26T00:00:00"/>
    <n v="5"/>
    <n v="26"/>
    <n v="2025"/>
    <x v="3"/>
    <s v="Q2"/>
    <x v="3"/>
  </r>
  <r>
    <s v="O100082"/>
    <x v="470"/>
    <x v="8"/>
    <x v="2"/>
    <x v="1"/>
    <x v="1"/>
    <n v="4"/>
    <n v="924041"/>
    <d v="2025-05-01T00:00:00"/>
    <n v="5"/>
    <n v="1"/>
    <n v="2025"/>
    <x v="3"/>
    <s v="Q2"/>
    <x v="1"/>
  </r>
  <r>
    <s v="O106647"/>
    <x v="581"/>
    <x v="2"/>
    <x v="5"/>
    <x v="1"/>
    <x v="3"/>
    <n v="9"/>
    <n v="923842"/>
    <d v="2026-08-02T00:00:00"/>
    <n v="8"/>
    <n v="2"/>
    <n v="2026"/>
    <x v="8"/>
    <s v="Q3"/>
    <x v="1"/>
  </r>
  <r>
    <s v="O101982"/>
    <x v="636"/>
    <x v="9"/>
    <x v="4"/>
    <x v="1"/>
    <x v="2"/>
    <n v="5"/>
    <n v="923112"/>
    <d v="2025-01-05T00:00:00"/>
    <n v="1"/>
    <n v="5"/>
    <n v="2025"/>
    <x v="6"/>
    <s v="Q1"/>
    <x v="1"/>
  </r>
  <r>
    <s v="O102700"/>
    <x v="720"/>
    <x v="3"/>
    <x v="4"/>
    <x v="3"/>
    <x v="3"/>
    <n v="5"/>
    <n v="923049"/>
    <d v="2025-06-13T00:00:00"/>
    <n v="6"/>
    <n v="13"/>
    <n v="2025"/>
    <x v="2"/>
    <s v="Q2"/>
    <x v="3"/>
  </r>
  <r>
    <s v="O100284"/>
    <x v="550"/>
    <x v="3"/>
    <x v="0"/>
    <x v="4"/>
    <x v="1"/>
    <n v="2"/>
    <n v="923041"/>
    <d v="2025-01-18T00:00:00"/>
    <n v="1"/>
    <n v="18"/>
    <n v="2025"/>
    <x v="6"/>
    <s v="Q1"/>
    <x v="4"/>
  </r>
  <r>
    <s v="O108767"/>
    <x v="614"/>
    <x v="6"/>
    <x v="4"/>
    <x v="2"/>
    <x v="3"/>
    <n v="5"/>
    <n v="922850"/>
    <d v="2026-06-17T00:00:00"/>
    <n v="6"/>
    <n v="17"/>
    <n v="2026"/>
    <x v="2"/>
    <s v="Q2"/>
    <x v="2"/>
  </r>
  <r>
    <s v="O100170"/>
    <x v="139"/>
    <x v="3"/>
    <x v="2"/>
    <x v="2"/>
    <x v="0"/>
    <n v="4"/>
    <n v="922703"/>
    <d v="2025-11-01T00:00:00"/>
    <n v="11"/>
    <n v="1"/>
    <n v="2025"/>
    <x v="0"/>
    <s v="Q4"/>
    <x v="2"/>
  </r>
  <r>
    <s v="O107469"/>
    <x v="279"/>
    <x v="8"/>
    <x v="2"/>
    <x v="0"/>
    <x v="2"/>
    <n v="3"/>
    <n v="922614"/>
    <d v="2026-03-30T00:00:00"/>
    <n v="3"/>
    <n v="30"/>
    <n v="2026"/>
    <x v="5"/>
    <s v="Q1"/>
    <x v="0"/>
  </r>
  <r>
    <s v="O111828"/>
    <x v="643"/>
    <x v="0"/>
    <x v="3"/>
    <x v="4"/>
    <x v="1"/>
    <n v="4"/>
    <n v="921193"/>
    <d v="2026-12-20T00:00:00"/>
    <n v="12"/>
    <n v="20"/>
    <n v="2026"/>
    <x v="7"/>
    <s v="Q4"/>
    <x v="4"/>
  </r>
  <r>
    <s v="O107120"/>
    <x v="380"/>
    <x v="9"/>
    <x v="2"/>
    <x v="1"/>
    <x v="0"/>
    <n v="4"/>
    <n v="921118"/>
    <d v="2026-09-03T00:00:00"/>
    <n v="9"/>
    <n v="3"/>
    <n v="2026"/>
    <x v="1"/>
    <s v="Q3"/>
    <x v="1"/>
  </r>
  <r>
    <s v="O111269"/>
    <x v="727"/>
    <x v="6"/>
    <x v="3"/>
    <x v="0"/>
    <x v="1"/>
    <n v="4"/>
    <n v="920970"/>
    <d v="2026-11-16T00:00:00"/>
    <n v="11"/>
    <n v="16"/>
    <n v="2026"/>
    <x v="0"/>
    <s v="Q4"/>
    <x v="0"/>
  </r>
  <r>
    <s v="O105310"/>
    <x v="586"/>
    <x v="0"/>
    <x v="5"/>
    <x v="2"/>
    <x v="2"/>
    <n v="7"/>
    <n v="920879"/>
    <d v="2025-11-19T00:00:00"/>
    <n v="11"/>
    <n v="19"/>
    <n v="2025"/>
    <x v="0"/>
    <s v="Q4"/>
    <x v="2"/>
  </r>
  <r>
    <s v="O105085"/>
    <x v="301"/>
    <x v="10"/>
    <x v="0"/>
    <x v="2"/>
    <x v="0"/>
    <n v="2"/>
    <n v="920689"/>
    <d v="2025-05-11T00:00:00"/>
    <n v="5"/>
    <n v="11"/>
    <n v="2025"/>
    <x v="3"/>
    <s v="Q2"/>
    <x v="2"/>
  </r>
  <r>
    <s v="O104618"/>
    <x v="787"/>
    <x v="6"/>
    <x v="5"/>
    <x v="2"/>
    <x v="2"/>
    <n v="9"/>
    <n v="920345"/>
    <d v="2025-08-10T00:00:00"/>
    <n v="8"/>
    <n v="10"/>
    <n v="2025"/>
    <x v="8"/>
    <s v="Q3"/>
    <x v="2"/>
  </r>
  <r>
    <s v="O100127"/>
    <x v="483"/>
    <x v="2"/>
    <x v="5"/>
    <x v="0"/>
    <x v="0"/>
    <n v="7"/>
    <n v="920064"/>
    <d v="2025-08-01T00:00:00"/>
    <n v="8"/>
    <n v="1"/>
    <n v="2025"/>
    <x v="8"/>
    <s v="Q3"/>
    <x v="0"/>
  </r>
  <r>
    <s v="O100305"/>
    <x v="185"/>
    <x v="2"/>
    <x v="4"/>
    <x v="0"/>
    <x v="1"/>
    <n v="6"/>
    <n v="919892"/>
    <d v="2025-01-19T00:00:00"/>
    <n v="1"/>
    <n v="19"/>
    <n v="2025"/>
    <x v="6"/>
    <s v="Q1"/>
    <x v="0"/>
  </r>
  <r>
    <s v="O101780"/>
    <x v="416"/>
    <x v="0"/>
    <x v="5"/>
    <x v="0"/>
    <x v="0"/>
    <n v="8"/>
    <n v="919467"/>
    <d v="2025-04-19T00:00:00"/>
    <n v="4"/>
    <n v="19"/>
    <n v="2025"/>
    <x v="11"/>
    <s v="Q2"/>
    <x v="0"/>
  </r>
  <r>
    <s v="O104134"/>
    <x v="468"/>
    <x v="2"/>
    <x v="2"/>
    <x v="3"/>
    <x v="3"/>
    <n v="3"/>
    <n v="918452"/>
    <d v="2025-09-09T00:00:00"/>
    <n v="9"/>
    <n v="9"/>
    <n v="2025"/>
    <x v="1"/>
    <s v="Q3"/>
    <x v="3"/>
  </r>
  <r>
    <s v="O100158"/>
    <x v="565"/>
    <x v="8"/>
    <x v="4"/>
    <x v="1"/>
    <x v="0"/>
    <n v="5"/>
    <n v="918090"/>
    <d v="2025-10-01T00:00:00"/>
    <n v="10"/>
    <n v="1"/>
    <n v="2025"/>
    <x v="9"/>
    <s v="Q4"/>
    <x v="1"/>
  </r>
  <r>
    <s v="O111344"/>
    <x v="215"/>
    <x v="5"/>
    <x v="5"/>
    <x v="2"/>
    <x v="3"/>
    <n v="10"/>
    <n v="917760"/>
    <d v="2026-11-21T00:00:00"/>
    <n v="11"/>
    <n v="21"/>
    <n v="2026"/>
    <x v="0"/>
    <s v="Q4"/>
    <x v="2"/>
  </r>
  <r>
    <s v="O100833"/>
    <x v="328"/>
    <x v="2"/>
    <x v="0"/>
    <x v="2"/>
    <x v="0"/>
    <n v="2"/>
    <n v="917703"/>
    <d v="2025-02-20T00:00:00"/>
    <n v="2"/>
    <n v="20"/>
    <n v="2025"/>
    <x v="4"/>
    <s v="Q1"/>
    <x v="2"/>
  </r>
  <r>
    <s v="O104791"/>
    <x v="338"/>
    <x v="4"/>
    <x v="0"/>
    <x v="0"/>
    <x v="3"/>
    <n v="2"/>
    <n v="916955"/>
    <d v="2025-10-19T00:00:00"/>
    <n v="10"/>
    <n v="19"/>
    <n v="2025"/>
    <x v="9"/>
    <s v="Q4"/>
    <x v="0"/>
  </r>
  <r>
    <s v="O110365"/>
    <x v="416"/>
    <x v="10"/>
    <x v="0"/>
    <x v="0"/>
    <x v="2"/>
    <n v="2"/>
    <n v="916385"/>
    <d v="2026-09-22T00:00:00"/>
    <n v="9"/>
    <n v="22"/>
    <n v="2026"/>
    <x v="1"/>
    <s v="Q3"/>
    <x v="0"/>
  </r>
  <r>
    <s v="O102592"/>
    <x v="337"/>
    <x v="6"/>
    <x v="4"/>
    <x v="4"/>
    <x v="3"/>
    <n v="5"/>
    <n v="915937"/>
    <d v="2025-07-06T00:00:00"/>
    <n v="7"/>
    <n v="6"/>
    <n v="2025"/>
    <x v="10"/>
    <s v="Q3"/>
    <x v="4"/>
  </r>
  <r>
    <s v="O104745"/>
    <x v="629"/>
    <x v="4"/>
    <x v="0"/>
    <x v="1"/>
    <x v="1"/>
    <n v="2"/>
    <n v="915814"/>
    <d v="2025-10-16T00:00:00"/>
    <n v="10"/>
    <n v="16"/>
    <n v="2025"/>
    <x v="9"/>
    <s v="Q4"/>
    <x v="1"/>
  </r>
  <r>
    <s v="O103319"/>
    <x v="793"/>
    <x v="3"/>
    <x v="4"/>
    <x v="2"/>
    <x v="1"/>
    <n v="6"/>
    <n v="915791"/>
    <d v="2025-07-21T00:00:00"/>
    <n v="7"/>
    <n v="21"/>
    <n v="2025"/>
    <x v="10"/>
    <s v="Q3"/>
    <x v="2"/>
  </r>
  <r>
    <s v="O104649"/>
    <x v="412"/>
    <x v="9"/>
    <x v="5"/>
    <x v="4"/>
    <x v="3"/>
    <n v="9"/>
    <n v="915106"/>
    <d v="2025-10-10T00:00:00"/>
    <n v="10"/>
    <n v="10"/>
    <n v="2025"/>
    <x v="9"/>
    <s v="Q4"/>
    <x v="4"/>
  </r>
  <r>
    <s v="O102977"/>
    <x v="132"/>
    <x v="9"/>
    <x v="5"/>
    <x v="2"/>
    <x v="3"/>
    <n v="8"/>
    <n v="914949"/>
    <d v="2025-06-30T00:00:00"/>
    <n v="6"/>
    <n v="30"/>
    <n v="2025"/>
    <x v="2"/>
    <s v="Q2"/>
    <x v="2"/>
  </r>
  <r>
    <s v="O101853"/>
    <x v="780"/>
    <x v="0"/>
    <x v="5"/>
    <x v="0"/>
    <x v="0"/>
    <n v="8"/>
    <n v="914652"/>
    <d v="2025-04-23T00:00:00"/>
    <n v="4"/>
    <n v="23"/>
    <n v="2025"/>
    <x v="11"/>
    <s v="Q2"/>
    <x v="0"/>
  </r>
  <r>
    <s v="O104287"/>
    <x v="427"/>
    <x v="3"/>
    <x v="5"/>
    <x v="4"/>
    <x v="3"/>
    <n v="9"/>
    <n v="914151"/>
    <d v="2025-09-18T00:00:00"/>
    <n v="9"/>
    <n v="18"/>
    <n v="2025"/>
    <x v="1"/>
    <s v="Q3"/>
    <x v="4"/>
  </r>
  <r>
    <s v="O105153"/>
    <x v="11"/>
    <x v="0"/>
    <x v="5"/>
    <x v="1"/>
    <x v="3"/>
    <n v="9"/>
    <n v="913098"/>
    <d v="2025-10-11T00:00:00"/>
    <n v="10"/>
    <n v="11"/>
    <n v="2025"/>
    <x v="9"/>
    <s v="Q4"/>
    <x v="1"/>
  </r>
  <r>
    <s v="O106282"/>
    <x v="24"/>
    <x v="8"/>
    <x v="2"/>
    <x v="0"/>
    <x v="1"/>
    <n v="4"/>
    <n v="913035"/>
    <d v="2026-01-17T00:00:00"/>
    <n v="1"/>
    <n v="17"/>
    <n v="2026"/>
    <x v="6"/>
    <s v="Q1"/>
    <x v="0"/>
  </r>
  <r>
    <s v="O101299"/>
    <x v="280"/>
    <x v="9"/>
    <x v="2"/>
    <x v="3"/>
    <x v="0"/>
    <n v="3"/>
    <n v="913019"/>
    <d v="2025-03-20T00:00:00"/>
    <n v="3"/>
    <n v="20"/>
    <n v="2025"/>
    <x v="5"/>
    <s v="Q1"/>
    <x v="3"/>
  </r>
  <r>
    <s v="O104859"/>
    <x v="358"/>
    <x v="0"/>
    <x v="3"/>
    <x v="2"/>
    <x v="0"/>
    <n v="4"/>
    <n v="912646"/>
    <d v="2025-10-23T00:00:00"/>
    <n v="10"/>
    <n v="23"/>
    <n v="2025"/>
    <x v="9"/>
    <s v="Q4"/>
    <x v="2"/>
  </r>
  <r>
    <s v="O100105"/>
    <x v="446"/>
    <x v="9"/>
    <x v="5"/>
    <x v="2"/>
    <x v="2"/>
    <n v="8"/>
    <n v="911988"/>
    <d v="2025-07-01T00:00:00"/>
    <n v="7"/>
    <n v="1"/>
    <n v="2025"/>
    <x v="10"/>
    <s v="Q3"/>
    <x v="2"/>
  </r>
  <r>
    <s v="O107933"/>
    <x v="458"/>
    <x v="10"/>
    <x v="2"/>
    <x v="3"/>
    <x v="1"/>
    <n v="4"/>
    <n v="911514"/>
    <d v="2026-04-27T00:00:00"/>
    <n v="4"/>
    <n v="27"/>
    <n v="2026"/>
    <x v="11"/>
    <s v="Q2"/>
    <x v="3"/>
  </r>
  <r>
    <s v="O105290"/>
    <x v="773"/>
    <x v="3"/>
    <x v="4"/>
    <x v="0"/>
    <x v="2"/>
    <n v="5"/>
    <n v="911510"/>
    <d v="2025-11-18T00:00:00"/>
    <n v="11"/>
    <n v="18"/>
    <n v="2025"/>
    <x v="0"/>
    <s v="Q4"/>
    <x v="0"/>
  </r>
  <r>
    <s v="O105974"/>
    <x v="525"/>
    <x v="3"/>
    <x v="5"/>
    <x v="1"/>
    <x v="1"/>
    <n v="9"/>
    <n v="911475"/>
    <d v="2025-12-29T00:00:00"/>
    <n v="12"/>
    <n v="29"/>
    <n v="2025"/>
    <x v="7"/>
    <s v="Q4"/>
    <x v="1"/>
  </r>
  <r>
    <s v="O100359"/>
    <x v="330"/>
    <x v="3"/>
    <x v="3"/>
    <x v="0"/>
    <x v="0"/>
    <n v="5"/>
    <n v="911342"/>
    <d v="2025-01-22T00:00:00"/>
    <n v="1"/>
    <n v="22"/>
    <n v="2025"/>
    <x v="6"/>
    <s v="Q1"/>
    <x v="0"/>
  </r>
  <r>
    <s v="O104782"/>
    <x v="363"/>
    <x v="10"/>
    <x v="0"/>
    <x v="0"/>
    <x v="0"/>
    <n v="2"/>
    <n v="910984"/>
    <d v="2025-10-18T00:00:00"/>
    <n v="10"/>
    <n v="18"/>
    <n v="2025"/>
    <x v="9"/>
    <s v="Q4"/>
    <x v="0"/>
  </r>
  <r>
    <s v="O100155"/>
    <x v="533"/>
    <x v="4"/>
    <x v="3"/>
    <x v="2"/>
    <x v="3"/>
    <n v="4"/>
    <n v="910859"/>
    <d v="2025-10-01T00:00:00"/>
    <n v="10"/>
    <n v="1"/>
    <n v="2025"/>
    <x v="9"/>
    <s v="Q4"/>
    <x v="2"/>
  </r>
  <r>
    <s v="O104521"/>
    <x v="500"/>
    <x v="6"/>
    <x v="5"/>
    <x v="2"/>
    <x v="0"/>
    <n v="9"/>
    <n v="910549"/>
    <d v="2025-02-10T00:00:00"/>
    <n v="2"/>
    <n v="10"/>
    <n v="2025"/>
    <x v="4"/>
    <s v="Q1"/>
    <x v="2"/>
  </r>
  <r>
    <s v="O104358"/>
    <x v="190"/>
    <x v="0"/>
    <x v="2"/>
    <x v="2"/>
    <x v="1"/>
    <n v="4"/>
    <n v="910129"/>
    <d v="2025-09-22T00:00:00"/>
    <n v="9"/>
    <n v="22"/>
    <n v="2025"/>
    <x v="1"/>
    <s v="Q3"/>
    <x v="2"/>
  </r>
  <r>
    <s v="O111423"/>
    <x v="72"/>
    <x v="1"/>
    <x v="3"/>
    <x v="4"/>
    <x v="3"/>
    <n v="5"/>
    <n v="909985"/>
    <d v="2026-11-25T00:00:00"/>
    <n v="11"/>
    <n v="25"/>
    <n v="2026"/>
    <x v="0"/>
    <s v="Q4"/>
    <x v="4"/>
  </r>
  <r>
    <s v="O102915"/>
    <x v="406"/>
    <x v="4"/>
    <x v="0"/>
    <x v="2"/>
    <x v="1"/>
    <n v="2"/>
    <n v="909876"/>
    <d v="2025-06-27T00:00:00"/>
    <n v="6"/>
    <n v="27"/>
    <n v="2025"/>
    <x v="2"/>
    <s v="Q2"/>
    <x v="2"/>
  </r>
  <r>
    <s v="O103129"/>
    <x v="764"/>
    <x v="3"/>
    <x v="3"/>
    <x v="2"/>
    <x v="3"/>
    <n v="4"/>
    <n v="909861"/>
    <d v="2025-10-07T00:00:00"/>
    <n v="10"/>
    <n v="7"/>
    <n v="2025"/>
    <x v="9"/>
    <s v="Q4"/>
    <x v="2"/>
  </r>
  <r>
    <s v="O111177"/>
    <x v="41"/>
    <x v="0"/>
    <x v="2"/>
    <x v="3"/>
    <x v="2"/>
    <n v="4"/>
    <n v="909242"/>
    <d v="2026-10-11T00:00:00"/>
    <n v="10"/>
    <n v="11"/>
    <n v="2026"/>
    <x v="9"/>
    <s v="Q4"/>
    <x v="3"/>
  </r>
  <r>
    <s v="O103612"/>
    <x v="523"/>
    <x v="5"/>
    <x v="0"/>
    <x v="0"/>
    <x v="3"/>
    <n v="2"/>
    <n v="909134"/>
    <d v="2025-08-08T00:00:00"/>
    <n v="8"/>
    <n v="8"/>
    <n v="2025"/>
    <x v="8"/>
    <s v="Q3"/>
    <x v="0"/>
  </r>
  <r>
    <s v="O108701"/>
    <x v="754"/>
    <x v="6"/>
    <x v="3"/>
    <x v="2"/>
    <x v="2"/>
    <n v="4"/>
    <n v="908869"/>
    <d v="2026-06-13T00:00:00"/>
    <n v="6"/>
    <n v="13"/>
    <n v="2026"/>
    <x v="2"/>
    <s v="Q2"/>
    <x v="2"/>
  </r>
  <r>
    <s v="O100751"/>
    <x v="188"/>
    <x v="10"/>
    <x v="0"/>
    <x v="1"/>
    <x v="3"/>
    <n v="2"/>
    <n v="908499"/>
    <d v="2025-02-15T00:00:00"/>
    <n v="2"/>
    <n v="15"/>
    <n v="2025"/>
    <x v="4"/>
    <s v="Q1"/>
    <x v="1"/>
  </r>
  <r>
    <s v="O105376"/>
    <x v="56"/>
    <x v="9"/>
    <x v="4"/>
    <x v="0"/>
    <x v="0"/>
    <n v="5"/>
    <n v="908488"/>
    <d v="2025-11-23T00:00:00"/>
    <n v="11"/>
    <n v="23"/>
    <n v="2025"/>
    <x v="0"/>
    <s v="Q4"/>
    <x v="0"/>
  </r>
  <r>
    <s v="O102280"/>
    <x v="129"/>
    <x v="0"/>
    <x v="0"/>
    <x v="3"/>
    <x v="2"/>
    <n v="2"/>
    <n v="908211"/>
    <d v="2025-05-19T00:00:00"/>
    <n v="5"/>
    <n v="19"/>
    <n v="2025"/>
    <x v="3"/>
    <s v="Q2"/>
    <x v="3"/>
  </r>
  <r>
    <s v="O100839"/>
    <x v="10"/>
    <x v="10"/>
    <x v="2"/>
    <x v="0"/>
    <x v="3"/>
    <n v="4"/>
    <n v="908111"/>
    <d v="2025-02-20T00:00:00"/>
    <n v="2"/>
    <n v="20"/>
    <n v="2025"/>
    <x v="4"/>
    <s v="Q1"/>
    <x v="0"/>
  </r>
  <r>
    <s v="O104767"/>
    <x v="424"/>
    <x v="8"/>
    <x v="5"/>
    <x v="3"/>
    <x v="0"/>
    <n v="8"/>
    <n v="908099"/>
    <d v="2025-10-17T00:00:00"/>
    <n v="10"/>
    <n v="17"/>
    <n v="2025"/>
    <x v="9"/>
    <s v="Q4"/>
    <x v="3"/>
  </r>
  <r>
    <s v="O108073"/>
    <x v="762"/>
    <x v="2"/>
    <x v="4"/>
    <x v="0"/>
    <x v="3"/>
    <n v="6"/>
    <n v="907832"/>
    <d v="2026-06-05T00:00:00"/>
    <n v="6"/>
    <n v="5"/>
    <n v="2026"/>
    <x v="2"/>
    <s v="Q2"/>
    <x v="0"/>
  </r>
  <r>
    <s v="O102992"/>
    <x v="61"/>
    <x v="1"/>
    <x v="4"/>
    <x v="3"/>
    <x v="1"/>
    <n v="6"/>
    <n v="907337"/>
    <d v="2025-01-07T00:00:00"/>
    <n v="1"/>
    <n v="7"/>
    <n v="2025"/>
    <x v="6"/>
    <s v="Q1"/>
    <x v="3"/>
  </r>
  <r>
    <s v="O106897"/>
    <x v="154"/>
    <x v="0"/>
    <x v="4"/>
    <x v="3"/>
    <x v="0"/>
    <n v="5"/>
    <n v="907235"/>
    <d v="2026-02-23T00:00:00"/>
    <n v="2"/>
    <n v="23"/>
    <n v="2026"/>
    <x v="4"/>
    <s v="Q1"/>
    <x v="3"/>
  </r>
  <r>
    <s v="O107124"/>
    <x v="307"/>
    <x v="6"/>
    <x v="5"/>
    <x v="0"/>
    <x v="3"/>
    <n v="10"/>
    <n v="907117"/>
    <d v="2026-09-03T00:00:00"/>
    <n v="9"/>
    <n v="3"/>
    <n v="2026"/>
    <x v="1"/>
    <s v="Q3"/>
    <x v="0"/>
  </r>
  <r>
    <s v="O109005"/>
    <x v="734"/>
    <x v="2"/>
    <x v="2"/>
    <x v="4"/>
    <x v="0"/>
    <n v="3"/>
    <n v="906731"/>
    <d v="2026-02-07T00:00:00"/>
    <n v="2"/>
    <n v="7"/>
    <n v="2026"/>
    <x v="4"/>
    <s v="Q1"/>
    <x v="4"/>
  </r>
  <r>
    <s v="O107655"/>
    <x v="338"/>
    <x v="0"/>
    <x v="4"/>
    <x v="4"/>
    <x v="2"/>
    <n v="5"/>
    <n v="905860"/>
    <d v="2026-11-04T00:00:00"/>
    <n v="11"/>
    <n v="4"/>
    <n v="2026"/>
    <x v="0"/>
    <s v="Q4"/>
    <x v="4"/>
  </r>
  <r>
    <s v="O109547"/>
    <x v="380"/>
    <x v="6"/>
    <x v="0"/>
    <x v="3"/>
    <x v="0"/>
    <n v="2"/>
    <n v="905413"/>
    <d v="2026-03-08T00:00:00"/>
    <n v="3"/>
    <n v="8"/>
    <n v="2026"/>
    <x v="5"/>
    <s v="Q1"/>
    <x v="3"/>
  </r>
  <r>
    <s v="O105676"/>
    <x v="266"/>
    <x v="10"/>
    <x v="0"/>
    <x v="1"/>
    <x v="3"/>
    <n v="2"/>
    <n v="905379"/>
    <d v="2025-11-12T00:00:00"/>
    <n v="11"/>
    <n v="12"/>
    <n v="2025"/>
    <x v="0"/>
    <s v="Q4"/>
    <x v="1"/>
  </r>
  <r>
    <s v="O106648"/>
    <x v="545"/>
    <x v="8"/>
    <x v="5"/>
    <x v="3"/>
    <x v="1"/>
    <n v="9"/>
    <n v="905226"/>
    <d v="2026-08-02T00:00:00"/>
    <n v="8"/>
    <n v="2"/>
    <n v="2026"/>
    <x v="8"/>
    <s v="Q3"/>
    <x v="3"/>
  </r>
  <r>
    <s v="O111833"/>
    <x v="353"/>
    <x v="8"/>
    <x v="4"/>
    <x v="0"/>
    <x v="0"/>
    <n v="6"/>
    <n v="905218"/>
    <d v="2026-12-20T00:00:00"/>
    <n v="12"/>
    <n v="20"/>
    <n v="2026"/>
    <x v="7"/>
    <s v="Q4"/>
    <x v="0"/>
  </r>
  <r>
    <s v="O105279"/>
    <x v="189"/>
    <x v="8"/>
    <x v="3"/>
    <x v="2"/>
    <x v="3"/>
    <n v="4"/>
    <n v="904330"/>
    <d v="2025-11-17T00:00:00"/>
    <n v="11"/>
    <n v="17"/>
    <n v="2025"/>
    <x v="0"/>
    <s v="Q4"/>
    <x v="2"/>
  </r>
  <r>
    <s v="O106184"/>
    <x v="205"/>
    <x v="9"/>
    <x v="3"/>
    <x v="3"/>
    <x v="1"/>
    <n v="4"/>
    <n v="903916"/>
    <d v="2026-11-01T00:00:00"/>
    <n v="11"/>
    <n v="1"/>
    <n v="2026"/>
    <x v="0"/>
    <s v="Q4"/>
    <x v="3"/>
  </r>
  <r>
    <s v="O100397"/>
    <x v="95"/>
    <x v="6"/>
    <x v="5"/>
    <x v="0"/>
    <x v="3"/>
    <n v="9"/>
    <n v="903532"/>
    <d v="2025-01-25T00:00:00"/>
    <n v="1"/>
    <n v="25"/>
    <n v="2025"/>
    <x v="6"/>
    <s v="Q1"/>
    <x v="0"/>
  </r>
  <r>
    <s v="O111127"/>
    <x v="405"/>
    <x v="6"/>
    <x v="5"/>
    <x v="0"/>
    <x v="1"/>
    <n v="7"/>
    <n v="903414"/>
    <d v="2026-07-11T00:00:00"/>
    <n v="7"/>
    <n v="11"/>
    <n v="2026"/>
    <x v="10"/>
    <s v="Q3"/>
    <x v="0"/>
  </r>
  <r>
    <s v="O101832"/>
    <x v="161"/>
    <x v="6"/>
    <x v="2"/>
    <x v="3"/>
    <x v="3"/>
    <n v="4"/>
    <n v="902981"/>
    <d v="2025-04-22T00:00:00"/>
    <n v="4"/>
    <n v="22"/>
    <n v="2025"/>
    <x v="11"/>
    <s v="Q2"/>
    <x v="3"/>
  </r>
  <r>
    <s v="O111299"/>
    <x v="679"/>
    <x v="8"/>
    <x v="2"/>
    <x v="3"/>
    <x v="1"/>
    <n v="4"/>
    <n v="902906"/>
    <d v="2026-11-18T00:00:00"/>
    <n v="11"/>
    <n v="18"/>
    <n v="2026"/>
    <x v="0"/>
    <s v="Q4"/>
    <x v="3"/>
  </r>
  <r>
    <s v="O104486"/>
    <x v="569"/>
    <x v="5"/>
    <x v="4"/>
    <x v="4"/>
    <x v="2"/>
    <n v="6"/>
    <n v="902721"/>
    <d v="2025-09-30T00:00:00"/>
    <n v="9"/>
    <n v="30"/>
    <n v="2025"/>
    <x v="1"/>
    <s v="Q3"/>
    <x v="4"/>
  </r>
  <r>
    <s v="O104456"/>
    <x v="652"/>
    <x v="8"/>
    <x v="0"/>
    <x v="3"/>
    <x v="2"/>
    <n v="2"/>
    <n v="902509"/>
    <d v="2025-09-28T00:00:00"/>
    <n v="9"/>
    <n v="28"/>
    <n v="2025"/>
    <x v="1"/>
    <s v="Q3"/>
    <x v="3"/>
  </r>
  <r>
    <s v="O103171"/>
    <x v="322"/>
    <x v="6"/>
    <x v="2"/>
    <x v="3"/>
    <x v="0"/>
    <n v="3"/>
    <n v="902215"/>
    <d v="2025-12-07T00:00:00"/>
    <n v="12"/>
    <n v="7"/>
    <n v="2025"/>
    <x v="7"/>
    <s v="Q4"/>
    <x v="3"/>
  </r>
  <r>
    <s v="O108937"/>
    <x v="76"/>
    <x v="2"/>
    <x v="0"/>
    <x v="2"/>
    <x v="1"/>
    <n v="2"/>
    <n v="902162"/>
    <d v="2026-06-27T00:00:00"/>
    <n v="6"/>
    <n v="27"/>
    <n v="2026"/>
    <x v="2"/>
    <s v="Q2"/>
    <x v="2"/>
  </r>
  <r>
    <s v="O103809"/>
    <x v="618"/>
    <x v="3"/>
    <x v="0"/>
    <x v="4"/>
    <x v="0"/>
    <n v="2"/>
    <n v="901965"/>
    <d v="2025-08-20T00:00:00"/>
    <n v="8"/>
    <n v="20"/>
    <n v="2025"/>
    <x v="8"/>
    <s v="Q3"/>
    <x v="4"/>
  </r>
  <r>
    <s v="O106001"/>
    <x v="572"/>
    <x v="9"/>
    <x v="2"/>
    <x v="1"/>
    <x v="2"/>
    <n v="4"/>
    <n v="901791"/>
    <d v="2025-12-31T00:00:00"/>
    <n v="12"/>
    <n v="31"/>
    <n v="2025"/>
    <x v="7"/>
    <s v="Q4"/>
    <x v="1"/>
  </r>
  <r>
    <s v="O110993"/>
    <x v="642"/>
    <x v="6"/>
    <x v="5"/>
    <x v="4"/>
    <x v="2"/>
    <n v="8"/>
    <n v="901562"/>
    <d v="2026-10-30T00:00:00"/>
    <n v="10"/>
    <n v="30"/>
    <n v="2026"/>
    <x v="9"/>
    <s v="Q4"/>
    <x v="4"/>
  </r>
  <r>
    <s v="O101537"/>
    <x v="165"/>
    <x v="8"/>
    <x v="0"/>
    <x v="2"/>
    <x v="0"/>
    <n v="2"/>
    <n v="901524"/>
    <d v="2025-04-04T00:00:00"/>
    <n v="4"/>
    <n v="4"/>
    <n v="2025"/>
    <x v="11"/>
    <s v="Q2"/>
    <x v="2"/>
  </r>
  <r>
    <s v="O102357"/>
    <x v="338"/>
    <x v="10"/>
    <x v="5"/>
    <x v="0"/>
    <x v="1"/>
    <n v="9"/>
    <n v="901390"/>
    <d v="2025-05-24T00:00:00"/>
    <n v="5"/>
    <n v="24"/>
    <n v="2025"/>
    <x v="3"/>
    <s v="Q2"/>
    <x v="0"/>
  </r>
  <r>
    <s v="O109504"/>
    <x v="496"/>
    <x v="4"/>
    <x v="3"/>
    <x v="0"/>
    <x v="3"/>
    <n v="4"/>
    <n v="901121"/>
    <d v="2026-01-08T00:00:00"/>
    <n v="1"/>
    <n v="8"/>
    <n v="2026"/>
    <x v="6"/>
    <s v="Q1"/>
    <x v="0"/>
  </r>
  <r>
    <s v="O111432"/>
    <x v="430"/>
    <x v="3"/>
    <x v="2"/>
    <x v="4"/>
    <x v="3"/>
    <n v="4"/>
    <n v="901094"/>
    <d v="2026-11-26T00:00:00"/>
    <n v="11"/>
    <n v="26"/>
    <n v="2026"/>
    <x v="0"/>
    <s v="Q4"/>
    <x v="4"/>
  </r>
  <r>
    <s v="O100840"/>
    <x v="45"/>
    <x v="0"/>
    <x v="2"/>
    <x v="4"/>
    <x v="3"/>
    <n v="4"/>
    <n v="900837"/>
    <d v="2025-02-20T00:00:00"/>
    <n v="2"/>
    <n v="20"/>
    <n v="2025"/>
    <x v="4"/>
    <s v="Q1"/>
    <x v="4"/>
  </r>
  <r>
    <s v="O104860"/>
    <x v="283"/>
    <x v="9"/>
    <x v="5"/>
    <x v="0"/>
    <x v="0"/>
    <n v="8"/>
    <n v="900795"/>
    <d v="2025-10-23T00:00:00"/>
    <n v="10"/>
    <n v="23"/>
    <n v="2025"/>
    <x v="9"/>
    <s v="Q4"/>
    <x v="0"/>
  </r>
  <r>
    <s v="O109844"/>
    <x v="644"/>
    <x v="10"/>
    <x v="4"/>
    <x v="0"/>
    <x v="0"/>
    <n v="6"/>
    <n v="900740"/>
    <d v="2026-08-22T00:00:00"/>
    <n v="8"/>
    <n v="22"/>
    <n v="2026"/>
    <x v="8"/>
    <s v="Q3"/>
    <x v="0"/>
  </r>
  <r>
    <s v="O108153"/>
    <x v="643"/>
    <x v="1"/>
    <x v="0"/>
    <x v="2"/>
    <x v="0"/>
    <n v="2"/>
    <n v="898953"/>
    <d v="2026-11-05T00:00:00"/>
    <n v="11"/>
    <n v="5"/>
    <n v="2026"/>
    <x v="0"/>
    <s v="Q4"/>
    <x v="2"/>
  </r>
  <r>
    <s v="O110303"/>
    <x v="743"/>
    <x v="5"/>
    <x v="0"/>
    <x v="1"/>
    <x v="1"/>
    <n v="2"/>
    <n v="898691"/>
    <d v="2026-09-18T00:00:00"/>
    <n v="9"/>
    <n v="18"/>
    <n v="2026"/>
    <x v="1"/>
    <s v="Q3"/>
    <x v="1"/>
  </r>
  <r>
    <s v="O111081"/>
    <x v="641"/>
    <x v="3"/>
    <x v="3"/>
    <x v="3"/>
    <x v="1"/>
    <n v="5"/>
    <n v="898203"/>
    <d v="2026-05-11T00:00:00"/>
    <n v="5"/>
    <n v="11"/>
    <n v="2026"/>
    <x v="3"/>
    <s v="Q2"/>
    <x v="3"/>
  </r>
  <r>
    <s v="O100081"/>
    <x v="140"/>
    <x v="10"/>
    <x v="5"/>
    <x v="2"/>
    <x v="1"/>
    <n v="6"/>
    <n v="897899"/>
    <d v="2025-05-01T00:00:00"/>
    <n v="5"/>
    <n v="1"/>
    <n v="2025"/>
    <x v="3"/>
    <s v="Q2"/>
    <x v="2"/>
  </r>
  <r>
    <s v="O110763"/>
    <x v="257"/>
    <x v="1"/>
    <x v="4"/>
    <x v="1"/>
    <x v="1"/>
    <n v="5"/>
    <n v="896498"/>
    <d v="2026-10-16T00:00:00"/>
    <n v="10"/>
    <n v="16"/>
    <n v="2026"/>
    <x v="9"/>
    <s v="Q4"/>
    <x v="1"/>
  </r>
  <r>
    <s v="O107630"/>
    <x v="580"/>
    <x v="5"/>
    <x v="4"/>
    <x v="4"/>
    <x v="3"/>
    <n v="4"/>
    <n v="896290"/>
    <d v="2026-09-04T00:00:00"/>
    <n v="9"/>
    <n v="4"/>
    <n v="2026"/>
    <x v="1"/>
    <s v="Q3"/>
    <x v="4"/>
  </r>
  <r>
    <s v="O103291"/>
    <x v="709"/>
    <x v="2"/>
    <x v="0"/>
    <x v="1"/>
    <x v="3"/>
    <n v="2"/>
    <n v="895973"/>
    <d v="2025-07-19T00:00:00"/>
    <n v="7"/>
    <n v="19"/>
    <n v="2025"/>
    <x v="10"/>
    <s v="Q3"/>
    <x v="1"/>
  </r>
  <r>
    <s v="O100199"/>
    <x v="376"/>
    <x v="9"/>
    <x v="5"/>
    <x v="1"/>
    <x v="3"/>
    <n v="9"/>
    <n v="895836"/>
    <d v="2025-01-13T00:00:00"/>
    <n v="1"/>
    <n v="13"/>
    <n v="2025"/>
    <x v="6"/>
    <s v="Q1"/>
    <x v="1"/>
  </r>
  <r>
    <s v="O107955"/>
    <x v="660"/>
    <x v="1"/>
    <x v="5"/>
    <x v="2"/>
    <x v="0"/>
    <n v="7"/>
    <n v="895366"/>
    <d v="2026-04-29T00:00:00"/>
    <n v="4"/>
    <n v="29"/>
    <n v="2026"/>
    <x v="11"/>
    <m/>
    <x v="2"/>
  </r>
  <r>
    <s v="O110147"/>
    <x v="285"/>
    <x v="9"/>
    <x v="4"/>
    <x v="0"/>
    <x v="3"/>
    <n v="4"/>
    <n v="895260"/>
    <d v="2026-09-09T00:00:00"/>
    <n v="9"/>
    <n v="9"/>
    <n v="2026"/>
    <x v="1"/>
    <s v="Q3"/>
    <x v="0"/>
  </r>
  <r>
    <s v="O105837"/>
    <x v="729"/>
    <x v="4"/>
    <x v="5"/>
    <x v="2"/>
    <x v="2"/>
    <n v="6"/>
    <n v="895228"/>
    <d v="2025-12-21T00:00:00"/>
    <n v="12"/>
    <n v="21"/>
    <n v="2025"/>
    <x v="7"/>
    <s v="Q4"/>
    <x v="2"/>
  </r>
  <r>
    <s v="O106059"/>
    <x v="191"/>
    <x v="1"/>
    <x v="5"/>
    <x v="2"/>
    <x v="1"/>
    <n v="7"/>
    <n v="894761"/>
    <d v="2026-04-01T00:00:00"/>
    <n v="4"/>
    <n v="1"/>
    <n v="2026"/>
    <x v="11"/>
    <s v="Q2"/>
    <x v="2"/>
  </r>
  <r>
    <s v="O107276"/>
    <x v="459"/>
    <x v="0"/>
    <x v="5"/>
    <x v="2"/>
    <x v="0"/>
    <n v="7"/>
    <n v="893939"/>
    <d v="2026-03-18T00:00:00"/>
    <n v="3"/>
    <n v="18"/>
    <n v="2026"/>
    <x v="5"/>
    <s v="Q1"/>
    <x v="2"/>
  </r>
  <r>
    <s v="O101290"/>
    <x v="734"/>
    <x v="8"/>
    <x v="0"/>
    <x v="4"/>
    <x v="0"/>
    <n v="2"/>
    <n v="893922"/>
    <d v="2025-03-20T00:00:00"/>
    <n v="3"/>
    <n v="20"/>
    <n v="2025"/>
    <x v="5"/>
    <s v="Q1"/>
    <x v="4"/>
  </r>
  <r>
    <s v="O107668"/>
    <x v="160"/>
    <x v="3"/>
    <x v="4"/>
    <x v="1"/>
    <x v="3"/>
    <n v="6"/>
    <n v="893899"/>
    <d v="2026-11-04T00:00:00"/>
    <n v="11"/>
    <n v="4"/>
    <n v="2026"/>
    <x v="0"/>
    <s v="Q4"/>
    <x v="1"/>
  </r>
  <r>
    <s v="O109891"/>
    <x v="79"/>
    <x v="0"/>
    <x v="4"/>
    <x v="0"/>
    <x v="1"/>
    <n v="4"/>
    <n v="893427"/>
    <d v="2026-08-24T00:00:00"/>
    <n v="8"/>
    <n v="24"/>
    <n v="2026"/>
    <x v="8"/>
    <s v="Q3"/>
    <x v="0"/>
  </r>
  <r>
    <s v="O107304"/>
    <x v="583"/>
    <x v="1"/>
    <x v="5"/>
    <x v="2"/>
    <x v="2"/>
    <n v="7"/>
    <n v="893420"/>
    <d v="2026-03-20T00:00:00"/>
    <n v="3"/>
    <n v="20"/>
    <n v="2026"/>
    <x v="5"/>
    <s v="Q1"/>
    <x v="2"/>
  </r>
  <r>
    <s v="O102542"/>
    <x v="298"/>
    <x v="10"/>
    <x v="4"/>
    <x v="0"/>
    <x v="3"/>
    <n v="6"/>
    <n v="893184"/>
    <d v="2025-04-06T00:00:00"/>
    <n v="4"/>
    <n v="6"/>
    <n v="2025"/>
    <x v="11"/>
    <s v="Q2"/>
    <x v="0"/>
  </r>
  <r>
    <s v="O106194"/>
    <x v="382"/>
    <x v="8"/>
    <x v="3"/>
    <x v="4"/>
    <x v="3"/>
    <n v="5"/>
    <n v="893167"/>
    <d v="2026-12-01T00:00:00"/>
    <n v="12"/>
    <n v="1"/>
    <n v="2026"/>
    <x v="7"/>
    <s v="Q4"/>
    <x v="4"/>
  </r>
  <r>
    <s v="O111728"/>
    <x v="771"/>
    <x v="8"/>
    <x v="4"/>
    <x v="4"/>
    <x v="2"/>
    <n v="4"/>
    <n v="892475"/>
    <d v="2026-12-14T00:00:00"/>
    <n v="12"/>
    <n v="14"/>
    <n v="2026"/>
    <x v="7"/>
    <s v="Q4"/>
    <x v="4"/>
  </r>
  <r>
    <s v="O102721"/>
    <x v="365"/>
    <x v="9"/>
    <x v="5"/>
    <x v="2"/>
    <x v="2"/>
    <n v="8"/>
    <n v="892226"/>
    <d v="2025-06-15T00:00:00"/>
    <n v="6"/>
    <n v="15"/>
    <n v="2025"/>
    <x v="2"/>
    <s v="Q2"/>
    <x v="2"/>
  </r>
  <r>
    <s v="O104921"/>
    <x v="367"/>
    <x v="2"/>
    <x v="3"/>
    <x v="0"/>
    <x v="3"/>
    <n v="4"/>
    <n v="891505"/>
    <d v="2025-10-26T00:00:00"/>
    <n v="10"/>
    <n v="26"/>
    <n v="2025"/>
    <x v="9"/>
    <s v="Q4"/>
    <x v="0"/>
  </r>
  <r>
    <s v="O107561"/>
    <x v="585"/>
    <x v="0"/>
    <x v="4"/>
    <x v="0"/>
    <x v="1"/>
    <n v="5"/>
    <n v="891243"/>
    <d v="2026-05-04T00:00:00"/>
    <n v="5"/>
    <n v="4"/>
    <n v="2026"/>
    <x v="3"/>
    <s v="Q2"/>
    <x v="0"/>
  </r>
  <r>
    <s v="O102212"/>
    <x v="259"/>
    <x v="6"/>
    <x v="4"/>
    <x v="4"/>
    <x v="0"/>
    <n v="5"/>
    <n v="891192"/>
    <d v="2025-05-15T00:00:00"/>
    <n v="5"/>
    <n v="15"/>
    <n v="2025"/>
    <x v="3"/>
    <s v="Q2"/>
    <x v="4"/>
  </r>
  <r>
    <s v="O110648"/>
    <x v="646"/>
    <x v="8"/>
    <x v="5"/>
    <x v="0"/>
    <x v="2"/>
    <n v="7"/>
    <n v="891184"/>
    <d v="2026-09-10T00:00:00"/>
    <n v="9"/>
    <n v="10"/>
    <n v="2026"/>
    <x v="1"/>
    <s v="Q3"/>
    <x v="0"/>
  </r>
  <r>
    <s v="O104799"/>
    <x v="203"/>
    <x v="9"/>
    <x v="0"/>
    <x v="3"/>
    <x v="2"/>
    <n v="2"/>
    <n v="891006"/>
    <d v="2025-10-19T00:00:00"/>
    <n v="10"/>
    <n v="19"/>
    <n v="2025"/>
    <x v="9"/>
    <s v="Q4"/>
    <x v="3"/>
  </r>
  <r>
    <s v="O100280"/>
    <x v="226"/>
    <x v="8"/>
    <x v="4"/>
    <x v="1"/>
    <x v="1"/>
    <n v="4"/>
    <n v="890813"/>
    <d v="2025-01-17T00:00:00"/>
    <n v="1"/>
    <n v="17"/>
    <n v="2025"/>
    <x v="6"/>
    <s v="Q1"/>
    <x v="1"/>
  </r>
  <r>
    <s v="O109559"/>
    <x v="414"/>
    <x v="3"/>
    <x v="4"/>
    <x v="1"/>
    <x v="1"/>
    <n v="5"/>
    <n v="890706"/>
    <d v="2026-04-08T00:00:00"/>
    <n v="4"/>
    <n v="8"/>
    <n v="2026"/>
    <x v="11"/>
    <s v="Q2"/>
    <x v="1"/>
  </r>
  <r>
    <s v="O109918"/>
    <x v="335"/>
    <x v="3"/>
    <x v="0"/>
    <x v="1"/>
    <x v="3"/>
    <n v="2"/>
    <n v="890689"/>
    <d v="2026-08-26T00:00:00"/>
    <n v="8"/>
    <n v="26"/>
    <n v="2026"/>
    <x v="8"/>
    <s v="Q3"/>
    <x v="1"/>
  </r>
  <r>
    <s v="O108114"/>
    <x v="507"/>
    <x v="2"/>
    <x v="2"/>
    <x v="4"/>
    <x v="0"/>
    <n v="3"/>
    <n v="890566"/>
    <d v="2026-08-05T00:00:00"/>
    <n v="8"/>
    <n v="5"/>
    <n v="2026"/>
    <x v="8"/>
    <s v="Q3"/>
    <x v="4"/>
  </r>
  <r>
    <s v="O104668"/>
    <x v="170"/>
    <x v="9"/>
    <x v="5"/>
    <x v="4"/>
    <x v="1"/>
    <n v="8"/>
    <n v="890325"/>
    <d v="2025-11-10T00:00:00"/>
    <n v="11"/>
    <n v="10"/>
    <n v="2025"/>
    <x v="0"/>
    <s v="Q4"/>
    <x v="4"/>
  </r>
  <r>
    <s v="O101133"/>
    <x v="147"/>
    <x v="5"/>
    <x v="0"/>
    <x v="4"/>
    <x v="3"/>
    <n v="2"/>
    <n v="890273"/>
    <d v="2025-10-03T00:00:00"/>
    <n v="10"/>
    <n v="3"/>
    <n v="2025"/>
    <x v="9"/>
    <s v="Q4"/>
    <x v="4"/>
  </r>
  <r>
    <s v="O106168"/>
    <x v="710"/>
    <x v="9"/>
    <x v="3"/>
    <x v="3"/>
    <x v="1"/>
    <n v="4"/>
    <n v="889594"/>
    <d v="2026-10-01T00:00:00"/>
    <n v="10"/>
    <n v="1"/>
    <n v="2026"/>
    <x v="9"/>
    <s v="Q4"/>
    <x v="3"/>
  </r>
  <r>
    <s v="O100679"/>
    <x v="312"/>
    <x v="1"/>
    <x v="3"/>
    <x v="3"/>
    <x v="1"/>
    <n v="5"/>
    <n v="888195"/>
    <d v="2025-11-02T00:00:00"/>
    <n v="11"/>
    <n v="2"/>
    <n v="2025"/>
    <x v="0"/>
    <s v="Q4"/>
    <x v="3"/>
  </r>
  <r>
    <s v="O101484"/>
    <x v="662"/>
    <x v="5"/>
    <x v="0"/>
    <x v="4"/>
    <x v="0"/>
    <n v="2"/>
    <n v="887838"/>
    <d v="2025-01-04T00:00:00"/>
    <n v="1"/>
    <n v="4"/>
    <n v="2025"/>
    <x v="6"/>
    <s v="Q1"/>
    <x v="4"/>
  </r>
  <r>
    <s v="O108329"/>
    <x v="590"/>
    <x v="8"/>
    <x v="5"/>
    <x v="2"/>
    <x v="0"/>
    <n v="9"/>
    <n v="887641"/>
    <d v="2026-05-21T00:00:00"/>
    <n v="5"/>
    <n v="21"/>
    <n v="2026"/>
    <x v="3"/>
    <s v="Q2"/>
    <x v="2"/>
  </r>
  <r>
    <s v="O103607"/>
    <x v="94"/>
    <x v="10"/>
    <x v="5"/>
    <x v="0"/>
    <x v="3"/>
    <n v="6"/>
    <n v="887354"/>
    <d v="2025-08-08T00:00:00"/>
    <n v="8"/>
    <n v="8"/>
    <n v="2025"/>
    <x v="8"/>
    <s v="Q3"/>
    <x v="0"/>
  </r>
  <r>
    <s v="O103707"/>
    <x v="722"/>
    <x v="3"/>
    <x v="4"/>
    <x v="2"/>
    <x v="3"/>
    <n v="6"/>
    <n v="887234"/>
    <d v="2025-08-14T00:00:00"/>
    <n v="8"/>
    <n v="14"/>
    <n v="2025"/>
    <x v="8"/>
    <s v="Q3"/>
    <x v="2"/>
  </r>
  <r>
    <s v="O104406"/>
    <x v="520"/>
    <x v="8"/>
    <x v="2"/>
    <x v="3"/>
    <x v="3"/>
    <n v="3"/>
    <n v="886686"/>
    <d v="2025-09-25T00:00:00"/>
    <n v="9"/>
    <n v="25"/>
    <n v="2025"/>
    <x v="1"/>
    <s v="Q3"/>
    <x v="3"/>
  </r>
  <r>
    <s v="O109020"/>
    <x v="231"/>
    <x v="1"/>
    <x v="2"/>
    <x v="3"/>
    <x v="1"/>
    <n v="3"/>
    <n v="886060"/>
    <d v="2026-02-07T00:00:00"/>
    <n v="2"/>
    <n v="7"/>
    <n v="2026"/>
    <x v="4"/>
    <s v="Q1"/>
    <x v="3"/>
  </r>
  <r>
    <s v="O100151"/>
    <x v="399"/>
    <x v="8"/>
    <x v="5"/>
    <x v="1"/>
    <x v="1"/>
    <n v="6"/>
    <n v="885769"/>
    <d v="2025-10-01T00:00:00"/>
    <n v="10"/>
    <n v="1"/>
    <n v="2025"/>
    <x v="9"/>
    <s v="Q4"/>
    <x v="1"/>
  </r>
  <r>
    <s v="O102238"/>
    <x v="163"/>
    <x v="8"/>
    <x v="0"/>
    <x v="2"/>
    <x v="1"/>
    <n v="2"/>
    <n v="885329"/>
    <d v="2025-05-16T00:00:00"/>
    <n v="5"/>
    <n v="16"/>
    <n v="2025"/>
    <x v="3"/>
    <s v="Q2"/>
    <x v="2"/>
  </r>
  <r>
    <s v="O108322"/>
    <x v="144"/>
    <x v="6"/>
    <x v="4"/>
    <x v="2"/>
    <x v="3"/>
    <n v="4"/>
    <n v="885059"/>
    <d v="2026-05-21T00:00:00"/>
    <n v="5"/>
    <n v="21"/>
    <n v="2026"/>
    <x v="3"/>
    <s v="Q2"/>
    <x v="2"/>
  </r>
  <r>
    <s v="O111256"/>
    <x v="466"/>
    <x v="2"/>
    <x v="3"/>
    <x v="2"/>
    <x v="1"/>
    <n v="5"/>
    <n v="884689"/>
    <d v="2026-11-15T00:00:00"/>
    <n v="11"/>
    <n v="15"/>
    <n v="2026"/>
    <x v="0"/>
    <s v="Q4"/>
    <x v="2"/>
  </r>
  <r>
    <s v="O101030"/>
    <x v="595"/>
    <x v="1"/>
    <x v="5"/>
    <x v="0"/>
    <x v="3"/>
    <n v="6"/>
    <n v="884048"/>
    <d v="2025-04-03T00:00:00"/>
    <n v="4"/>
    <n v="3"/>
    <n v="2025"/>
    <x v="11"/>
    <s v="Q2"/>
    <x v="0"/>
  </r>
  <r>
    <s v="O104793"/>
    <x v="93"/>
    <x v="2"/>
    <x v="0"/>
    <x v="3"/>
    <x v="3"/>
    <n v="2"/>
    <n v="883513"/>
    <d v="2025-10-19T00:00:00"/>
    <n v="10"/>
    <n v="19"/>
    <n v="2025"/>
    <x v="9"/>
    <s v="Q4"/>
    <x v="3"/>
  </r>
  <r>
    <s v="O104230"/>
    <x v="33"/>
    <x v="10"/>
    <x v="0"/>
    <x v="3"/>
    <x v="3"/>
    <n v="2"/>
    <n v="883002"/>
    <d v="2025-09-14T00:00:00"/>
    <n v="9"/>
    <n v="14"/>
    <n v="2025"/>
    <x v="1"/>
    <s v="Q3"/>
    <x v="3"/>
  </r>
  <r>
    <s v="O103878"/>
    <x v="38"/>
    <x v="8"/>
    <x v="5"/>
    <x v="4"/>
    <x v="1"/>
    <n v="9"/>
    <n v="882011"/>
    <d v="2025-08-24T00:00:00"/>
    <n v="8"/>
    <n v="24"/>
    <n v="2025"/>
    <x v="8"/>
    <s v="Q3"/>
    <x v="4"/>
  </r>
  <r>
    <s v="O109108"/>
    <x v="749"/>
    <x v="4"/>
    <x v="5"/>
    <x v="4"/>
    <x v="0"/>
    <n v="6"/>
    <n v="881989"/>
    <d v="2026-08-07T00:00:00"/>
    <n v="8"/>
    <n v="7"/>
    <n v="2026"/>
    <x v="8"/>
    <m/>
    <x v="4"/>
  </r>
  <r>
    <s v="O110277"/>
    <x v="562"/>
    <x v="3"/>
    <x v="2"/>
    <x v="4"/>
    <x v="2"/>
    <n v="3"/>
    <n v="881834"/>
    <d v="2026-09-17T00:00:00"/>
    <n v="9"/>
    <n v="17"/>
    <n v="2026"/>
    <x v="1"/>
    <s v="Q3"/>
    <x v="4"/>
  </r>
  <r>
    <s v="O107332"/>
    <x v="81"/>
    <x v="0"/>
    <x v="5"/>
    <x v="4"/>
    <x v="2"/>
    <n v="7"/>
    <n v="881397"/>
    <d v="2026-03-22T00:00:00"/>
    <n v="3"/>
    <n v="22"/>
    <n v="2026"/>
    <x v="5"/>
    <s v="Q1"/>
    <x v="4"/>
  </r>
  <r>
    <s v="O109001"/>
    <x v="226"/>
    <x v="0"/>
    <x v="3"/>
    <x v="0"/>
    <x v="0"/>
    <n v="4"/>
    <n v="881369"/>
    <d v="2026-01-07T00:00:00"/>
    <n v="1"/>
    <n v="7"/>
    <n v="2026"/>
    <x v="6"/>
    <s v="Q1"/>
    <x v="0"/>
  </r>
  <r>
    <s v="O111945"/>
    <x v="417"/>
    <x v="3"/>
    <x v="3"/>
    <x v="0"/>
    <x v="1"/>
    <n v="4"/>
    <n v="881030"/>
    <d v="2026-12-27T00:00:00"/>
    <n v="12"/>
    <n v="27"/>
    <n v="2026"/>
    <x v="7"/>
    <s v="Q4"/>
    <x v="0"/>
  </r>
  <r>
    <s v="O111552"/>
    <x v="18"/>
    <x v="1"/>
    <x v="4"/>
    <x v="2"/>
    <x v="2"/>
    <n v="5"/>
    <n v="880787"/>
    <d v="2026-03-12T00:00:00"/>
    <n v="3"/>
    <n v="12"/>
    <n v="2026"/>
    <x v="5"/>
    <s v="Q1"/>
    <x v="2"/>
  </r>
  <r>
    <s v="O111637"/>
    <x v="157"/>
    <x v="5"/>
    <x v="2"/>
    <x v="2"/>
    <x v="1"/>
    <n v="3"/>
    <n v="880577"/>
    <d v="2026-08-12T00:00:00"/>
    <n v="8"/>
    <n v="12"/>
    <n v="2026"/>
    <x v="8"/>
    <s v="Q3"/>
    <x v="2"/>
  </r>
  <r>
    <s v="O100436"/>
    <x v="768"/>
    <x v="10"/>
    <x v="4"/>
    <x v="2"/>
    <x v="0"/>
    <n v="4"/>
    <n v="879756"/>
    <d v="2025-01-27T00:00:00"/>
    <n v="1"/>
    <n v="27"/>
    <n v="2025"/>
    <x v="6"/>
    <s v="Q1"/>
    <x v="2"/>
  </r>
  <r>
    <s v="O107760"/>
    <x v="274"/>
    <x v="6"/>
    <x v="0"/>
    <x v="2"/>
    <x v="3"/>
    <n v="2"/>
    <n v="879463"/>
    <d v="2026-04-17T00:00:00"/>
    <n v="4"/>
    <n v="17"/>
    <n v="2026"/>
    <x v="11"/>
    <s v="Q2"/>
    <x v="2"/>
  </r>
  <r>
    <s v="O102638"/>
    <x v="142"/>
    <x v="6"/>
    <x v="4"/>
    <x v="1"/>
    <x v="2"/>
    <n v="4"/>
    <n v="879239"/>
    <d v="2025-10-06T00:00:00"/>
    <n v="10"/>
    <n v="6"/>
    <n v="2025"/>
    <x v="9"/>
    <s v="Q4"/>
    <x v="1"/>
  </r>
  <r>
    <s v="O110815"/>
    <x v="757"/>
    <x v="8"/>
    <x v="4"/>
    <x v="0"/>
    <x v="2"/>
    <n v="4"/>
    <n v="879234"/>
    <d v="2026-10-20T00:00:00"/>
    <n v="10"/>
    <n v="20"/>
    <n v="2026"/>
    <x v="9"/>
    <s v="Q4"/>
    <x v="0"/>
  </r>
  <r>
    <s v="O111898"/>
    <x v="246"/>
    <x v="3"/>
    <x v="5"/>
    <x v="2"/>
    <x v="3"/>
    <n v="7"/>
    <n v="878752"/>
    <d v="2026-12-24T00:00:00"/>
    <n v="12"/>
    <n v="24"/>
    <n v="2026"/>
    <x v="7"/>
    <s v="Q4"/>
    <x v="2"/>
  </r>
  <r>
    <s v="O107535"/>
    <x v="223"/>
    <x v="4"/>
    <x v="5"/>
    <x v="3"/>
    <x v="2"/>
    <n v="8"/>
    <n v="878453"/>
    <d v="2026-03-04T00:00:00"/>
    <n v="3"/>
    <n v="4"/>
    <n v="2026"/>
    <x v="5"/>
    <s v="Q1"/>
    <x v="3"/>
  </r>
  <r>
    <s v="O100815"/>
    <x v="419"/>
    <x v="10"/>
    <x v="5"/>
    <x v="2"/>
    <x v="2"/>
    <n v="6"/>
    <n v="878267"/>
    <d v="2025-02-19T00:00:00"/>
    <n v="2"/>
    <n v="19"/>
    <n v="2025"/>
    <x v="4"/>
    <s v="Q1"/>
    <x v="2"/>
  </r>
  <r>
    <s v="O101186"/>
    <x v="407"/>
    <x v="8"/>
    <x v="3"/>
    <x v="2"/>
    <x v="2"/>
    <n v="5"/>
    <n v="878134"/>
    <d v="2025-03-13T00:00:00"/>
    <n v="3"/>
    <n v="13"/>
    <n v="2025"/>
    <x v="5"/>
    <s v="Q1"/>
    <x v="2"/>
  </r>
  <r>
    <s v="O103964"/>
    <x v="706"/>
    <x v="6"/>
    <x v="2"/>
    <x v="2"/>
    <x v="2"/>
    <n v="3"/>
    <n v="878011"/>
    <d v="2025-08-29T00:00:00"/>
    <n v="8"/>
    <n v="29"/>
    <n v="2025"/>
    <x v="8"/>
    <s v="Q3"/>
    <x v="2"/>
  </r>
  <r>
    <s v="O105811"/>
    <x v="268"/>
    <x v="1"/>
    <x v="0"/>
    <x v="0"/>
    <x v="2"/>
    <n v="2"/>
    <n v="877911"/>
    <d v="2025-12-19T00:00:00"/>
    <n v="12"/>
    <n v="19"/>
    <n v="2025"/>
    <x v="7"/>
    <s v="Q4"/>
    <x v="0"/>
  </r>
  <r>
    <s v="O103076"/>
    <x v="319"/>
    <x v="10"/>
    <x v="5"/>
    <x v="4"/>
    <x v="3"/>
    <n v="6"/>
    <n v="877613"/>
    <d v="2025-06-07T00:00:00"/>
    <n v="6"/>
    <n v="7"/>
    <n v="2025"/>
    <x v="2"/>
    <s v="Q2"/>
    <x v="4"/>
  </r>
  <r>
    <s v="O103949"/>
    <x v="669"/>
    <x v="0"/>
    <x v="0"/>
    <x v="3"/>
    <x v="1"/>
    <n v="2"/>
    <n v="877605"/>
    <d v="2025-08-28T00:00:00"/>
    <n v="8"/>
    <n v="28"/>
    <n v="2025"/>
    <x v="8"/>
    <s v="Q3"/>
    <x v="3"/>
  </r>
  <r>
    <s v="O108958"/>
    <x v="603"/>
    <x v="4"/>
    <x v="5"/>
    <x v="1"/>
    <x v="2"/>
    <n v="6"/>
    <n v="877116"/>
    <d v="2026-06-29T00:00:00"/>
    <n v="6"/>
    <n v="29"/>
    <n v="2026"/>
    <x v="2"/>
    <s v="Q2"/>
    <x v="1"/>
  </r>
  <r>
    <s v="O101307"/>
    <x v="228"/>
    <x v="5"/>
    <x v="4"/>
    <x v="4"/>
    <x v="0"/>
    <n v="4"/>
    <n v="876945"/>
    <d v="2025-03-21T00:00:00"/>
    <n v="3"/>
    <n v="21"/>
    <n v="2025"/>
    <x v="5"/>
    <s v="Q1"/>
    <x v="4"/>
  </r>
  <r>
    <s v="O100056"/>
    <x v="20"/>
    <x v="6"/>
    <x v="3"/>
    <x v="2"/>
    <x v="2"/>
    <n v="4"/>
    <n v="876897"/>
    <d v="2025-04-01T00:00:00"/>
    <n v="4"/>
    <n v="1"/>
    <n v="2025"/>
    <x v="11"/>
    <s v="Q2"/>
    <x v="2"/>
  </r>
  <r>
    <s v="O105667"/>
    <x v="235"/>
    <x v="5"/>
    <x v="4"/>
    <x v="4"/>
    <x v="2"/>
    <n v="6"/>
    <n v="876557"/>
    <d v="2025-11-12T00:00:00"/>
    <n v="11"/>
    <n v="12"/>
    <n v="2025"/>
    <x v="0"/>
    <s v="Q4"/>
    <x v="4"/>
  </r>
  <r>
    <s v="O104091"/>
    <x v="9"/>
    <x v="5"/>
    <x v="4"/>
    <x v="5"/>
    <x v="3"/>
    <n v="4"/>
    <n v="876542"/>
    <d v="2025-06-09T00:00:00"/>
    <n v="6"/>
    <n v="9"/>
    <n v="2025"/>
    <x v="2"/>
    <s v="Q2"/>
    <x v="5"/>
  </r>
  <r>
    <s v="O101646"/>
    <x v="89"/>
    <x v="5"/>
    <x v="4"/>
    <x v="0"/>
    <x v="0"/>
    <n v="4"/>
    <n v="876510"/>
    <d v="2025-10-04T00:00:00"/>
    <n v="10"/>
    <n v="4"/>
    <n v="2025"/>
    <x v="9"/>
    <s v="Q4"/>
    <x v="0"/>
  </r>
  <r>
    <s v="O105039"/>
    <x v="731"/>
    <x v="5"/>
    <x v="4"/>
    <x v="0"/>
    <x v="2"/>
    <n v="6"/>
    <n v="876219"/>
    <d v="2025-03-11T00:00:00"/>
    <n v="3"/>
    <n v="11"/>
    <n v="2025"/>
    <x v="5"/>
    <s v="Q1"/>
    <x v="0"/>
  </r>
  <r>
    <s v="O102770"/>
    <x v="285"/>
    <x v="9"/>
    <x v="2"/>
    <x v="0"/>
    <x v="1"/>
    <n v="3"/>
    <n v="876203"/>
    <d v="2025-06-18T00:00:00"/>
    <n v="6"/>
    <n v="18"/>
    <n v="2025"/>
    <x v="2"/>
    <s v="Q2"/>
    <x v="0"/>
  </r>
  <r>
    <s v="O101875"/>
    <x v="387"/>
    <x v="0"/>
    <x v="4"/>
    <x v="3"/>
    <x v="3"/>
    <n v="4"/>
    <n v="876188"/>
    <d v="2025-04-24T00:00:00"/>
    <n v="4"/>
    <n v="24"/>
    <n v="2025"/>
    <x v="11"/>
    <s v="Q2"/>
    <x v="3"/>
  </r>
  <r>
    <s v="O109258"/>
    <x v="777"/>
    <x v="3"/>
    <x v="0"/>
    <x v="1"/>
    <x v="3"/>
    <n v="2"/>
    <n v="876039"/>
    <d v="2026-07-17T00:00:00"/>
    <n v="7"/>
    <n v="17"/>
    <n v="2026"/>
    <x v="10"/>
    <s v="Q3"/>
    <x v="1"/>
  </r>
  <r>
    <s v="O106304"/>
    <x v="331"/>
    <x v="5"/>
    <x v="4"/>
    <x v="2"/>
    <x v="0"/>
    <n v="6"/>
    <n v="875874"/>
    <d v="2026-01-18T00:00:00"/>
    <n v="1"/>
    <n v="18"/>
    <n v="2026"/>
    <x v="6"/>
    <s v="Q1"/>
    <x v="2"/>
  </r>
  <r>
    <s v="O110748"/>
    <x v="372"/>
    <x v="0"/>
    <x v="5"/>
    <x v="4"/>
    <x v="2"/>
    <n v="8"/>
    <n v="875873"/>
    <d v="2026-10-15T00:00:00"/>
    <n v="10"/>
    <n v="15"/>
    <n v="2026"/>
    <x v="9"/>
    <s v="Q4"/>
    <x v="4"/>
  </r>
  <r>
    <s v="O100726"/>
    <x v="520"/>
    <x v="2"/>
    <x v="5"/>
    <x v="0"/>
    <x v="2"/>
    <n v="8"/>
    <n v="875771"/>
    <d v="2025-02-14T00:00:00"/>
    <n v="2"/>
    <n v="14"/>
    <n v="2025"/>
    <x v="4"/>
    <s v="Q1"/>
    <x v="0"/>
  </r>
  <r>
    <s v="O102217"/>
    <x v="5"/>
    <x v="1"/>
    <x v="5"/>
    <x v="1"/>
    <x v="0"/>
    <n v="6"/>
    <n v="875428"/>
    <d v="2025-05-15T00:00:00"/>
    <n v="5"/>
    <n v="15"/>
    <n v="2025"/>
    <x v="3"/>
    <s v="Q2"/>
    <x v="1"/>
  </r>
  <r>
    <s v="O110498"/>
    <x v="660"/>
    <x v="4"/>
    <x v="2"/>
    <x v="2"/>
    <x v="2"/>
    <n v="3"/>
    <n v="875245"/>
    <d v="2026-09-30T00:00:00"/>
    <n v="9"/>
    <n v="30"/>
    <n v="2026"/>
    <x v="1"/>
    <m/>
    <x v="2"/>
  </r>
  <r>
    <s v="O108462"/>
    <x v="377"/>
    <x v="0"/>
    <x v="5"/>
    <x v="1"/>
    <x v="1"/>
    <n v="7"/>
    <n v="875181"/>
    <d v="2026-05-30T00:00:00"/>
    <n v="5"/>
    <n v="30"/>
    <n v="2026"/>
    <x v="3"/>
    <s v="Q2"/>
    <x v="1"/>
  </r>
  <r>
    <s v="O101300"/>
    <x v="125"/>
    <x v="1"/>
    <x v="4"/>
    <x v="2"/>
    <x v="3"/>
    <n v="4"/>
    <n v="875007"/>
    <d v="2025-03-20T00:00:00"/>
    <n v="3"/>
    <n v="20"/>
    <n v="2025"/>
    <x v="5"/>
    <s v="Q1"/>
    <x v="2"/>
  </r>
  <r>
    <s v="O110381"/>
    <x v="186"/>
    <x v="4"/>
    <x v="4"/>
    <x v="2"/>
    <x v="0"/>
    <n v="4"/>
    <n v="874223"/>
    <d v="2026-09-23T00:00:00"/>
    <n v="9"/>
    <n v="23"/>
    <n v="2026"/>
    <x v="1"/>
    <s v="Q3"/>
    <x v="2"/>
  </r>
  <r>
    <s v="O107927"/>
    <x v="742"/>
    <x v="2"/>
    <x v="5"/>
    <x v="2"/>
    <x v="2"/>
    <n v="7"/>
    <n v="873813"/>
    <d v="2026-04-27T00:00:00"/>
    <n v="4"/>
    <n v="27"/>
    <n v="2026"/>
    <x v="11"/>
    <s v="Q2"/>
    <x v="2"/>
  </r>
  <r>
    <s v="O102354"/>
    <x v="471"/>
    <x v="3"/>
    <x v="5"/>
    <x v="3"/>
    <x v="2"/>
    <n v="7"/>
    <n v="873660"/>
    <d v="2025-05-23T00:00:00"/>
    <n v="5"/>
    <n v="23"/>
    <n v="2025"/>
    <x v="3"/>
    <s v="Q2"/>
    <x v="3"/>
  </r>
  <r>
    <s v="O108222"/>
    <x v="718"/>
    <x v="8"/>
    <x v="0"/>
    <x v="4"/>
    <x v="1"/>
    <n v="2"/>
    <n v="873618"/>
    <d v="2026-05-15T00:00:00"/>
    <n v="5"/>
    <n v="15"/>
    <n v="2026"/>
    <x v="3"/>
    <s v="Q2"/>
    <x v="4"/>
  </r>
  <r>
    <s v="O103125"/>
    <x v="509"/>
    <x v="6"/>
    <x v="4"/>
    <x v="0"/>
    <x v="1"/>
    <n v="5"/>
    <n v="873259"/>
    <d v="2025-09-07T00:00:00"/>
    <n v="9"/>
    <n v="7"/>
    <n v="2025"/>
    <x v="1"/>
    <s v="Q3"/>
    <x v="0"/>
  </r>
  <r>
    <s v="O102430"/>
    <x v="77"/>
    <x v="6"/>
    <x v="5"/>
    <x v="4"/>
    <x v="0"/>
    <n v="7"/>
    <n v="872395"/>
    <d v="2025-05-28T00:00:00"/>
    <n v="5"/>
    <n v="28"/>
    <n v="2025"/>
    <x v="3"/>
    <s v="Q2"/>
    <x v="4"/>
  </r>
  <r>
    <s v="O110154"/>
    <x v="173"/>
    <x v="5"/>
    <x v="0"/>
    <x v="2"/>
    <x v="2"/>
    <n v="2"/>
    <n v="872255"/>
    <d v="2026-09-09T00:00:00"/>
    <n v="9"/>
    <n v="9"/>
    <n v="2026"/>
    <x v="1"/>
    <s v="Q3"/>
    <x v="2"/>
  </r>
  <r>
    <s v="O101210"/>
    <x v="734"/>
    <x v="10"/>
    <x v="3"/>
    <x v="2"/>
    <x v="3"/>
    <n v="4"/>
    <n v="871996"/>
    <d v="2025-03-15T00:00:00"/>
    <n v="3"/>
    <n v="15"/>
    <n v="2025"/>
    <x v="5"/>
    <s v="Q1"/>
    <x v="2"/>
  </r>
  <r>
    <s v="O109190"/>
    <x v="284"/>
    <x v="8"/>
    <x v="5"/>
    <x v="1"/>
    <x v="2"/>
    <n v="8"/>
    <n v="871804"/>
    <d v="2026-07-13T00:00:00"/>
    <n v="7"/>
    <n v="13"/>
    <n v="2026"/>
    <x v="10"/>
    <s v="Q3"/>
    <x v="1"/>
  </r>
  <r>
    <s v="O103513"/>
    <x v="220"/>
    <x v="8"/>
    <x v="3"/>
    <x v="0"/>
    <x v="0"/>
    <n v="5"/>
    <n v="871740"/>
    <d v="2025-02-08T00:00:00"/>
    <n v="2"/>
    <n v="8"/>
    <n v="2025"/>
    <x v="4"/>
    <s v="Q1"/>
    <x v="0"/>
  </r>
  <r>
    <s v="O102123"/>
    <x v="677"/>
    <x v="4"/>
    <x v="3"/>
    <x v="2"/>
    <x v="1"/>
    <n v="5"/>
    <n v="871071"/>
    <d v="2025-09-05T00:00:00"/>
    <n v="9"/>
    <n v="5"/>
    <n v="2025"/>
    <x v="1"/>
    <s v="Q3"/>
    <x v="2"/>
  </r>
  <r>
    <s v="O106594"/>
    <x v="766"/>
    <x v="0"/>
    <x v="5"/>
    <x v="2"/>
    <x v="1"/>
    <n v="8"/>
    <n v="871042"/>
    <d v="2026-05-02T00:00:00"/>
    <n v="5"/>
    <n v="2"/>
    <n v="2026"/>
    <x v="3"/>
    <s v="Q2"/>
    <x v="2"/>
  </r>
  <r>
    <s v="O105774"/>
    <x v="416"/>
    <x v="0"/>
    <x v="4"/>
    <x v="3"/>
    <x v="1"/>
    <n v="5"/>
    <n v="870993"/>
    <d v="2025-12-17T00:00:00"/>
    <n v="12"/>
    <n v="17"/>
    <n v="2025"/>
    <x v="7"/>
    <s v="Q4"/>
    <x v="3"/>
  </r>
  <r>
    <s v="O101311"/>
    <x v="444"/>
    <x v="1"/>
    <x v="0"/>
    <x v="4"/>
    <x v="3"/>
    <n v="2"/>
    <n v="870678"/>
    <d v="2025-03-21T00:00:00"/>
    <n v="3"/>
    <n v="21"/>
    <n v="2025"/>
    <x v="5"/>
    <s v="Q1"/>
    <x v="4"/>
  </r>
  <r>
    <s v="O105033"/>
    <x v="768"/>
    <x v="0"/>
    <x v="2"/>
    <x v="1"/>
    <x v="1"/>
    <n v="3"/>
    <n v="869705"/>
    <d v="2025-02-11T00:00:00"/>
    <n v="2"/>
    <n v="11"/>
    <n v="2025"/>
    <x v="4"/>
    <s v="Q1"/>
    <x v="1"/>
  </r>
  <r>
    <s v="O106402"/>
    <x v="796"/>
    <x v="6"/>
    <x v="5"/>
    <x v="0"/>
    <x v="1"/>
    <n v="7"/>
    <n v="869562"/>
    <d v="2026-01-24T00:00:00"/>
    <n v="1"/>
    <n v="24"/>
    <n v="2026"/>
    <x v="6"/>
    <s v="Q1"/>
    <x v="0"/>
  </r>
  <r>
    <s v="O107328"/>
    <x v="348"/>
    <x v="9"/>
    <x v="4"/>
    <x v="1"/>
    <x v="0"/>
    <n v="4"/>
    <n v="869472"/>
    <d v="2026-03-22T00:00:00"/>
    <n v="3"/>
    <n v="22"/>
    <n v="2026"/>
    <x v="5"/>
    <s v="Q1"/>
    <x v="1"/>
  </r>
  <r>
    <s v="O110895"/>
    <x v="697"/>
    <x v="9"/>
    <x v="2"/>
    <x v="1"/>
    <x v="0"/>
    <n v="3"/>
    <n v="869309"/>
    <d v="2026-10-24T00:00:00"/>
    <n v="10"/>
    <n v="24"/>
    <n v="2026"/>
    <x v="9"/>
    <s v="Q4"/>
    <x v="1"/>
  </r>
  <r>
    <s v="O111856"/>
    <x v="97"/>
    <x v="4"/>
    <x v="0"/>
    <x v="0"/>
    <x v="1"/>
    <n v="2"/>
    <n v="868790"/>
    <d v="2026-12-22T00:00:00"/>
    <n v="12"/>
    <n v="22"/>
    <n v="2026"/>
    <x v="7"/>
    <s v="Q4"/>
    <x v="0"/>
  </r>
  <r>
    <s v="O109185"/>
    <x v="548"/>
    <x v="1"/>
    <x v="4"/>
    <x v="4"/>
    <x v="0"/>
    <n v="6"/>
    <n v="868763"/>
    <d v="2026-12-07T00:00:00"/>
    <n v="12"/>
    <n v="7"/>
    <n v="2026"/>
    <x v="7"/>
    <s v="Q4"/>
    <x v="4"/>
  </r>
  <r>
    <s v="O104441"/>
    <x v="643"/>
    <x v="10"/>
    <x v="5"/>
    <x v="4"/>
    <x v="0"/>
    <n v="7"/>
    <n v="868361"/>
    <d v="2025-09-27T00:00:00"/>
    <n v="9"/>
    <n v="27"/>
    <n v="2025"/>
    <x v="1"/>
    <s v="Q3"/>
    <x v="4"/>
  </r>
  <r>
    <s v="O109929"/>
    <x v="204"/>
    <x v="5"/>
    <x v="5"/>
    <x v="4"/>
    <x v="3"/>
    <n v="9"/>
    <n v="867570"/>
    <d v="2026-08-27T00:00:00"/>
    <n v="8"/>
    <n v="27"/>
    <n v="2026"/>
    <x v="8"/>
    <s v="Q3"/>
    <x v="4"/>
  </r>
  <r>
    <s v="O107569"/>
    <x v="146"/>
    <x v="1"/>
    <x v="5"/>
    <x v="3"/>
    <x v="0"/>
    <n v="9"/>
    <n v="866872"/>
    <d v="2026-05-04T00:00:00"/>
    <n v="5"/>
    <n v="4"/>
    <n v="2026"/>
    <x v="3"/>
    <s v="Q2"/>
    <x v="3"/>
  </r>
  <r>
    <s v="O103743"/>
    <x v="390"/>
    <x v="6"/>
    <x v="4"/>
    <x v="0"/>
    <x v="2"/>
    <n v="6"/>
    <n v="866854"/>
    <d v="2025-08-16T00:00:00"/>
    <n v="8"/>
    <n v="16"/>
    <n v="2025"/>
    <x v="8"/>
    <s v="Q3"/>
    <x v="0"/>
  </r>
  <r>
    <s v="O111811"/>
    <x v="114"/>
    <x v="2"/>
    <x v="3"/>
    <x v="3"/>
    <x v="0"/>
    <n v="5"/>
    <n v="866797"/>
    <d v="2026-12-19T00:00:00"/>
    <n v="12"/>
    <n v="19"/>
    <n v="2026"/>
    <x v="7"/>
    <s v="Q4"/>
    <x v="3"/>
  </r>
  <r>
    <s v="O104886"/>
    <x v="365"/>
    <x v="1"/>
    <x v="5"/>
    <x v="0"/>
    <x v="0"/>
    <n v="7"/>
    <n v="866351"/>
    <d v="2025-10-24T00:00:00"/>
    <n v="10"/>
    <n v="24"/>
    <n v="2025"/>
    <x v="9"/>
    <s v="Q4"/>
    <x v="0"/>
  </r>
  <r>
    <s v="O109814"/>
    <x v="403"/>
    <x v="4"/>
    <x v="4"/>
    <x v="1"/>
    <x v="2"/>
    <n v="4"/>
    <n v="866155"/>
    <d v="2026-08-20T00:00:00"/>
    <n v="8"/>
    <n v="20"/>
    <n v="2026"/>
    <x v="8"/>
    <s v="Q3"/>
    <x v="1"/>
  </r>
  <r>
    <s v="O104172"/>
    <x v="122"/>
    <x v="1"/>
    <x v="3"/>
    <x v="0"/>
    <x v="2"/>
    <n v="4"/>
    <n v="866137"/>
    <d v="2025-11-09T00:00:00"/>
    <n v="11"/>
    <n v="9"/>
    <n v="2025"/>
    <x v="0"/>
    <s v="Q4"/>
    <x v="0"/>
  </r>
  <r>
    <s v="O111180"/>
    <x v="345"/>
    <x v="1"/>
    <x v="0"/>
    <x v="2"/>
    <x v="1"/>
    <n v="2"/>
    <n v="865544"/>
    <d v="2026-11-11T00:00:00"/>
    <n v="11"/>
    <n v="11"/>
    <n v="2026"/>
    <x v="0"/>
    <s v="Q4"/>
    <x v="2"/>
  </r>
  <r>
    <s v="O105584"/>
    <x v="362"/>
    <x v="1"/>
    <x v="4"/>
    <x v="3"/>
    <x v="3"/>
    <n v="5"/>
    <n v="865460"/>
    <d v="2025-06-12T00:00:00"/>
    <n v="6"/>
    <n v="12"/>
    <n v="2025"/>
    <x v="2"/>
    <s v="Q2"/>
    <x v="3"/>
  </r>
  <r>
    <s v="O109607"/>
    <x v="121"/>
    <x v="3"/>
    <x v="5"/>
    <x v="4"/>
    <x v="1"/>
    <n v="7"/>
    <n v="865421"/>
    <d v="2026-07-08T00:00:00"/>
    <n v="7"/>
    <n v="8"/>
    <n v="2026"/>
    <x v="10"/>
    <s v="Q3"/>
    <x v="4"/>
  </r>
  <r>
    <s v="O110527"/>
    <x v="636"/>
    <x v="3"/>
    <x v="2"/>
    <x v="1"/>
    <x v="3"/>
    <n v="3"/>
    <n v="864839"/>
    <d v="2026-02-10T00:00:00"/>
    <n v="2"/>
    <n v="10"/>
    <n v="2026"/>
    <x v="4"/>
    <s v="Q1"/>
    <x v="1"/>
  </r>
  <r>
    <s v="O107419"/>
    <x v="436"/>
    <x v="2"/>
    <x v="0"/>
    <x v="4"/>
    <x v="1"/>
    <n v="2"/>
    <n v="864658"/>
    <d v="2026-03-27T00:00:00"/>
    <n v="3"/>
    <n v="27"/>
    <n v="2026"/>
    <x v="5"/>
    <s v="Q1"/>
    <x v="4"/>
  </r>
  <r>
    <s v="O103095"/>
    <x v="15"/>
    <x v="10"/>
    <x v="0"/>
    <x v="0"/>
    <x v="3"/>
    <n v="2"/>
    <n v="863596"/>
    <d v="2025-07-07T00:00:00"/>
    <n v="7"/>
    <n v="7"/>
    <n v="2025"/>
    <x v="10"/>
    <s v="Q3"/>
    <x v="0"/>
  </r>
  <r>
    <s v="O102798"/>
    <x v="216"/>
    <x v="9"/>
    <x v="2"/>
    <x v="0"/>
    <x v="3"/>
    <n v="3"/>
    <n v="863082"/>
    <d v="2025-06-19T00:00:00"/>
    <n v="6"/>
    <n v="19"/>
    <n v="2025"/>
    <x v="2"/>
    <s v="Q2"/>
    <x v="0"/>
  </r>
  <r>
    <s v="O104608"/>
    <x v="375"/>
    <x v="5"/>
    <x v="0"/>
    <x v="0"/>
    <x v="2"/>
    <n v="2"/>
    <n v="862956"/>
    <d v="2025-07-10T00:00:00"/>
    <n v="7"/>
    <n v="10"/>
    <n v="2025"/>
    <x v="10"/>
    <s v="Q3"/>
    <x v="0"/>
  </r>
  <r>
    <s v="O103385"/>
    <x v="726"/>
    <x v="1"/>
    <x v="0"/>
    <x v="4"/>
    <x v="0"/>
    <n v="2"/>
    <n v="862441"/>
    <d v="2025-07-25T00:00:00"/>
    <n v="7"/>
    <n v="25"/>
    <n v="2025"/>
    <x v="10"/>
    <s v="Q3"/>
    <x v="4"/>
  </r>
  <r>
    <s v="O101880"/>
    <x v="597"/>
    <x v="5"/>
    <x v="2"/>
    <x v="1"/>
    <x v="3"/>
    <n v="3"/>
    <n v="862292"/>
    <d v="2025-04-25T00:00:00"/>
    <n v="4"/>
    <n v="25"/>
    <n v="2025"/>
    <x v="11"/>
    <s v="Q2"/>
    <x v="1"/>
  </r>
  <r>
    <s v="O110345"/>
    <x v="537"/>
    <x v="10"/>
    <x v="5"/>
    <x v="1"/>
    <x v="3"/>
    <n v="7"/>
    <n v="861305"/>
    <d v="2026-09-21T00:00:00"/>
    <n v="9"/>
    <n v="21"/>
    <n v="2026"/>
    <x v="1"/>
    <s v="Q3"/>
    <x v="1"/>
  </r>
  <r>
    <s v="O103332"/>
    <x v="58"/>
    <x v="8"/>
    <x v="4"/>
    <x v="1"/>
    <x v="3"/>
    <n v="5"/>
    <n v="860074"/>
    <d v="2025-07-22T00:00:00"/>
    <n v="7"/>
    <n v="22"/>
    <n v="2025"/>
    <x v="10"/>
    <s v="Q3"/>
    <x v="1"/>
  </r>
  <r>
    <s v="O110389"/>
    <x v="494"/>
    <x v="5"/>
    <x v="5"/>
    <x v="0"/>
    <x v="2"/>
    <n v="8"/>
    <n v="859647"/>
    <d v="2026-09-24T00:00:00"/>
    <n v="9"/>
    <n v="24"/>
    <n v="2026"/>
    <x v="1"/>
    <s v="Q3"/>
    <x v="0"/>
  </r>
  <r>
    <s v="O106611"/>
    <x v="250"/>
    <x v="10"/>
    <x v="5"/>
    <x v="3"/>
    <x v="3"/>
    <n v="6"/>
    <n v="858912"/>
    <d v="2026-06-02T00:00:00"/>
    <n v="6"/>
    <n v="2"/>
    <n v="2026"/>
    <x v="2"/>
    <s v="Q2"/>
    <x v="3"/>
  </r>
  <r>
    <s v="O110638"/>
    <x v="467"/>
    <x v="6"/>
    <x v="4"/>
    <x v="0"/>
    <x v="1"/>
    <n v="6"/>
    <n v="858798"/>
    <d v="2026-09-10T00:00:00"/>
    <n v="9"/>
    <n v="10"/>
    <n v="2026"/>
    <x v="1"/>
    <m/>
    <x v="0"/>
  </r>
  <r>
    <s v="O110323"/>
    <x v="310"/>
    <x v="4"/>
    <x v="3"/>
    <x v="1"/>
    <x v="2"/>
    <n v="5"/>
    <n v="858711"/>
    <d v="2026-09-20T00:00:00"/>
    <n v="9"/>
    <n v="20"/>
    <n v="2026"/>
    <x v="1"/>
    <s v="Q3"/>
    <x v="1"/>
  </r>
  <r>
    <s v="O109130"/>
    <x v="742"/>
    <x v="8"/>
    <x v="3"/>
    <x v="2"/>
    <x v="1"/>
    <n v="4"/>
    <n v="858463"/>
    <d v="2026-09-07T00:00:00"/>
    <n v="9"/>
    <n v="7"/>
    <n v="2026"/>
    <x v="1"/>
    <s v="Q3"/>
    <x v="2"/>
  </r>
  <r>
    <s v="O103458"/>
    <x v="90"/>
    <x v="2"/>
    <x v="4"/>
    <x v="2"/>
    <x v="1"/>
    <n v="5"/>
    <n v="858198"/>
    <d v="2025-07-30T00:00:00"/>
    <n v="7"/>
    <n v="30"/>
    <n v="2025"/>
    <x v="10"/>
    <s v="Q3"/>
    <x v="2"/>
  </r>
  <r>
    <s v="O106375"/>
    <x v="403"/>
    <x v="2"/>
    <x v="0"/>
    <x v="0"/>
    <x v="1"/>
    <n v="2"/>
    <n v="857683"/>
    <d v="2026-01-23T00:00:00"/>
    <n v="1"/>
    <n v="23"/>
    <n v="2026"/>
    <x v="6"/>
    <s v="Q1"/>
    <x v="0"/>
  </r>
  <r>
    <s v="O101117"/>
    <x v="421"/>
    <x v="1"/>
    <x v="0"/>
    <x v="2"/>
    <x v="2"/>
    <n v="2"/>
    <n v="857668"/>
    <d v="2025-09-03T00:00:00"/>
    <n v="9"/>
    <n v="3"/>
    <n v="2025"/>
    <x v="1"/>
    <s v="Q3"/>
    <x v="2"/>
  </r>
  <r>
    <s v="O103222"/>
    <x v="363"/>
    <x v="9"/>
    <x v="0"/>
    <x v="1"/>
    <x v="3"/>
    <n v="2"/>
    <n v="857663"/>
    <d v="2025-07-15T00:00:00"/>
    <n v="7"/>
    <n v="15"/>
    <n v="2025"/>
    <x v="10"/>
    <s v="Q3"/>
    <x v="1"/>
  </r>
  <r>
    <s v="O101164"/>
    <x v="752"/>
    <x v="9"/>
    <x v="4"/>
    <x v="0"/>
    <x v="2"/>
    <n v="4"/>
    <n v="857589"/>
    <d v="2025-12-03T00:00:00"/>
    <n v="12"/>
    <n v="3"/>
    <n v="2025"/>
    <x v="7"/>
    <s v="Q4"/>
    <x v="0"/>
  </r>
  <r>
    <s v="O109961"/>
    <x v="652"/>
    <x v="8"/>
    <x v="2"/>
    <x v="4"/>
    <x v="3"/>
    <n v="3"/>
    <n v="857501"/>
    <d v="2026-08-29T00:00:00"/>
    <n v="8"/>
    <n v="29"/>
    <n v="2026"/>
    <x v="8"/>
    <s v="Q3"/>
    <x v="4"/>
  </r>
  <r>
    <s v="O100043"/>
    <x v="484"/>
    <x v="0"/>
    <x v="0"/>
    <x v="2"/>
    <x v="1"/>
    <n v="2"/>
    <n v="857060"/>
    <d v="2025-03-01T00:00:00"/>
    <n v="3"/>
    <n v="1"/>
    <n v="2025"/>
    <x v="5"/>
    <s v="Q1"/>
    <x v="2"/>
  </r>
  <r>
    <s v="O104560"/>
    <x v="277"/>
    <x v="9"/>
    <x v="3"/>
    <x v="3"/>
    <x v="2"/>
    <n v="4"/>
    <n v="856790"/>
    <d v="2025-04-10T00:00:00"/>
    <n v="4"/>
    <n v="10"/>
    <n v="2025"/>
    <x v="11"/>
    <s v="Q2"/>
    <x v="3"/>
  </r>
  <r>
    <s v="O100332"/>
    <x v="371"/>
    <x v="2"/>
    <x v="4"/>
    <x v="3"/>
    <x v="1"/>
    <n v="4"/>
    <n v="856384"/>
    <d v="2025-01-21T00:00:00"/>
    <n v="1"/>
    <n v="21"/>
    <n v="2025"/>
    <x v="6"/>
    <s v="Q1"/>
    <x v="3"/>
  </r>
  <r>
    <s v="O109568"/>
    <x v="627"/>
    <x v="0"/>
    <x v="5"/>
    <x v="3"/>
    <x v="1"/>
    <n v="6"/>
    <n v="855963"/>
    <d v="2026-05-08T00:00:00"/>
    <n v="5"/>
    <n v="8"/>
    <n v="2026"/>
    <x v="3"/>
    <s v="Q2"/>
    <x v="3"/>
  </r>
  <r>
    <s v="O103682"/>
    <x v="605"/>
    <x v="2"/>
    <x v="0"/>
    <x v="3"/>
    <x v="2"/>
    <n v="2"/>
    <n v="855833"/>
    <d v="2025-12-08T00:00:00"/>
    <n v="12"/>
    <n v="8"/>
    <n v="2025"/>
    <x v="7"/>
    <s v="Q4"/>
    <x v="3"/>
  </r>
  <r>
    <s v="O104570"/>
    <x v="463"/>
    <x v="8"/>
    <x v="5"/>
    <x v="4"/>
    <x v="2"/>
    <n v="9"/>
    <n v="855818"/>
    <d v="2025-05-10T00:00:00"/>
    <n v="5"/>
    <n v="10"/>
    <n v="2025"/>
    <x v="3"/>
    <s v="Q2"/>
    <x v="4"/>
  </r>
  <r>
    <s v="O110344"/>
    <x v="297"/>
    <x v="6"/>
    <x v="4"/>
    <x v="2"/>
    <x v="2"/>
    <n v="5"/>
    <n v="855540"/>
    <d v="2026-09-21T00:00:00"/>
    <n v="9"/>
    <n v="21"/>
    <n v="2026"/>
    <x v="1"/>
    <s v="Q3"/>
    <x v="2"/>
  </r>
  <r>
    <s v="O105144"/>
    <x v="447"/>
    <x v="6"/>
    <x v="4"/>
    <x v="3"/>
    <x v="0"/>
    <n v="4"/>
    <n v="855210"/>
    <d v="2025-09-11T00:00:00"/>
    <n v="9"/>
    <n v="11"/>
    <n v="2025"/>
    <x v="1"/>
    <s v="Q3"/>
    <x v="3"/>
  </r>
  <r>
    <s v="O106541"/>
    <x v="632"/>
    <x v="2"/>
    <x v="0"/>
    <x v="1"/>
    <x v="1"/>
    <n v="2"/>
    <n v="854621"/>
    <d v="2026-02-02T00:00:00"/>
    <n v="2"/>
    <n v="2"/>
    <n v="2026"/>
    <x v="4"/>
    <s v="Q1"/>
    <x v="1"/>
  </r>
  <r>
    <s v="O104317"/>
    <x v="30"/>
    <x v="5"/>
    <x v="4"/>
    <x v="3"/>
    <x v="1"/>
    <n v="6"/>
    <n v="854085"/>
    <d v="2025-09-20T00:00:00"/>
    <n v="9"/>
    <n v="20"/>
    <n v="2025"/>
    <x v="1"/>
    <s v="Q3"/>
    <x v="3"/>
  </r>
  <r>
    <s v="O100749"/>
    <x v="236"/>
    <x v="10"/>
    <x v="5"/>
    <x v="2"/>
    <x v="2"/>
    <n v="7"/>
    <n v="854064"/>
    <d v="2025-02-15T00:00:00"/>
    <n v="2"/>
    <n v="15"/>
    <n v="2025"/>
    <x v="4"/>
    <s v="Q1"/>
    <x v="2"/>
  </r>
  <r>
    <s v="O100323"/>
    <x v="564"/>
    <x v="5"/>
    <x v="2"/>
    <x v="2"/>
    <x v="2"/>
    <n v="3"/>
    <n v="853983"/>
    <d v="2025-01-20T00:00:00"/>
    <n v="1"/>
    <n v="20"/>
    <n v="2025"/>
    <x v="6"/>
    <s v="Q1"/>
    <x v="2"/>
  </r>
  <r>
    <s v="O109887"/>
    <x v="401"/>
    <x v="9"/>
    <x v="5"/>
    <x v="0"/>
    <x v="0"/>
    <n v="6"/>
    <n v="853767"/>
    <d v="2026-08-24T00:00:00"/>
    <n v="8"/>
    <n v="24"/>
    <n v="2026"/>
    <x v="8"/>
    <s v="Q3"/>
    <x v="0"/>
  </r>
  <r>
    <s v="O104276"/>
    <x v="532"/>
    <x v="0"/>
    <x v="2"/>
    <x v="4"/>
    <x v="2"/>
    <n v="3"/>
    <n v="853766"/>
    <d v="2025-09-17T00:00:00"/>
    <n v="9"/>
    <n v="17"/>
    <n v="2025"/>
    <x v="1"/>
    <s v="Q3"/>
    <x v="4"/>
  </r>
  <r>
    <s v="O101529"/>
    <x v="95"/>
    <x v="5"/>
    <x v="4"/>
    <x v="0"/>
    <x v="2"/>
    <n v="5"/>
    <n v="853758"/>
    <d v="2025-03-04T00:00:00"/>
    <n v="3"/>
    <n v="4"/>
    <n v="2025"/>
    <x v="5"/>
    <s v="Q1"/>
    <x v="0"/>
  </r>
  <r>
    <s v="O104226"/>
    <x v="663"/>
    <x v="5"/>
    <x v="4"/>
    <x v="1"/>
    <x v="3"/>
    <n v="5"/>
    <n v="853197"/>
    <d v="2025-09-14T00:00:00"/>
    <n v="9"/>
    <n v="14"/>
    <n v="2025"/>
    <x v="1"/>
    <s v="Q3"/>
    <x v="1"/>
  </r>
  <r>
    <s v="O109049"/>
    <x v="370"/>
    <x v="10"/>
    <x v="3"/>
    <x v="4"/>
    <x v="3"/>
    <n v="4"/>
    <n v="852281"/>
    <d v="2026-04-07T00:00:00"/>
    <n v="4"/>
    <n v="7"/>
    <n v="2026"/>
    <x v="11"/>
    <s v="Q2"/>
    <x v="4"/>
  </r>
  <r>
    <s v="O105126"/>
    <x v="700"/>
    <x v="9"/>
    <x v="2"/>
    <x v="2"/>
    <x v="0"/>
    <n v="3"/>
    <n v="852239"/>
    <d v="2025-08-11T00:00:00"/>
    <n v="8"/>
    <n v="11"/>
    <n v="2025"/>
    <x v="8"/>
    <s v="Q3"/>
    <x v="2"/>
  </r>
  <r>
    <s v="O101861"/>
    <x v="115"/>
    <x v="1"/>
    <x v="4"/>
    <x v="3"/>
    <x v="1"/>
    <n v="4"/>
    <n v="852122"/>
    <d v="2025-04-24T00:00:00"/>
    <n v="4"/>
    <n v="24"/>
    <n v="2025"/>
    <x v="11"/>
    <s v="Q2"/>
    <x v="3"/>
  </r>
  <r>
    <s v="O102080"/>
    <x v="8"/>
    <x v="3"/>
    <x v="4"/>
    <x v="3"/>
    <x v="0"/>
    <n v="5"/>
    <n v="852046"/>
    <d v="2025-07-05T00:00:00"/>
    <n v="7"/>
    <n v="5"/>
    <n v="2025"/>
    <x v="10"/>
    <s v="Q3"/>
    <x v="3"/>
  </r>
  <r>
    <s v="O107358"/>
    <x v="724"/>
    <x v="8"/>
    <x v="3"/>
    <x v="0"/>
    <x v="1"/>
    <n v="4"/>
    <n v="851750"/>
    <d v="2026-03-23T00:00:00"/>
    <n v="3"/>
    <n v="23"/>
    <n v="2026"/>
    <x v="5"/>
    <s v="Q1"/>
    <x v="0"/>
  </r>
  <r>
    <s v="O111520"/>
    <x v="92"/>
    <x v="2"/>
    <x v="5"/>
    <x v="4"/>
    <x v="2"/>
    <n v="7"/>
    <n v="851747"/>
    <d v="2026-01-12T00:00:00"/>
    <n v="1"/>
    <n v="12"/>
    <n v="2026"/>
    <x v="6"/>
    <s v="Q1"/>
    <x v="4"/>
  </r>
  <r>
    <s v="O106844"/>
    <x v="361"/>
    <x v="9"/>
    <x v="0"/>
    <x v="2"/>
    <x v="2"/>
    <n v="2"/>
    <n v="851716"/>
    <d v="2026-02-20T00:00:00"/>
    <n v="2"/>
    <n v="20"/>
    <n v="2026"/>
    <x v="4"/>
    <s v="Q1"/>
    <x v="2"/>
  </r>
  <r>
    <s v="O107524"/>
    <x v="314"/>
    <x v="5"/>
    <x v="4"/>
    <x v="0"/>
    <x v="2"/>
    <n v="5"/>
    <n v="851307"/>
    <d v="2026-03-04T00:00:00"/>
    <n v="3"/>
    <n v="4"/>
    <n v="2026"/>
    <x v="5"/>
    <s v="Q1"/>
    <x v="0"/>
  </r>
  <r>
    <s v="O105093"/>
    <x v="76"/>
    <x v="8"/>
    <x v="5"/>
    <x v="3"/>
    <x v="3"/>
    <n v="7"/>
    <n v="850966"/>
    <d v="2025-06-11T00:00:00"/>
    <n v="6"/>
    <n v="11"/>
    <n v="2025"/>
    <x v="2"/>
    <s v="Q2"/>
    <x v="3"/>
  </r>
  <r>
    <s v="O103545"/>
    <x v="156"/>
    <x v="8"/>
    <x v="5"/>
    <x v="4"/>
    <x v="0"/>
    <n v="8"/>
    <n v="850681"/>
    <d v="2025-04-08T00:00:00"/>
    <n v="4"/>
    <n v="8"/>
    <n v="2025"/>
    <x v="11"/>
    <s v="Q2"/>
    <x v="4"/>
  </r>
  <r>
    <s v="O111557"/>
    <x v="573"/>
    <x v="8"/>
    <x v="5"/>
    <x v="2"/>
    <x v="0"/>
    <n v="6"/>
    <n v="850589"/>
    <d v="2026-04-12T00:00:00"/>
    <n v="4"/>
    <n v="12"/>
    <n v="2026"/>
    <x v="11"/>
    <s v="Q2"/>
    <x v="2"/>
  </r>
  <r>
    <s v="O108265"/>
    <x v="777"/>
    <x v="9"/>
    <x v="5"/>
    <x v="1"/>
    <x v="1"/>
    <n v="8"/>
    <n v="850191"/>
    <d v="2026-05-18T00:00:00"/>
    <n v="5"/>
    <n v="18"/>
    <n v="2026"/>
    <x v="3"/>
    <s v="Q2"/>
    <x v="1"/>
  </r>
  <r>
    <s v="O108208"/>
    <x v="667"/>
    <x v="4"/>
    <x v="0"/>
    <x v="1"/>
    <x v="3"/>
    <n v="2"/>
    <n v="849357"/>
    <d v="2026-05-14T00:00:00"/>
    <n v="5"/>
    <n v="14"/>
    <n v="2026"/>
    <x v="3"/>
    <s v="Q2"/>
    <x v="1"/>
  </r>
  <r>
    <s v="O109110"/>
    <x v="109"/>
    <x v="0"/>
    <x v="4"/>
    <x v="0"/>
    <x v="2"/>
    <n v="6"/>
    <n v="849342"/>
    <d v="2026-08-07T00:00:00"/>
    <n v="8"/>
    <n v="7"/>
    <n v="2026"/>
    <x v="8"/>
    <s v="Q3"/>
    <x v="0"/>
  </r>
  <r>
    <s v="O107516"/>
    <x v="452"/>
    <x v="10"/>
    <x v="5"/>
    <x v="3"/>
    <x v="0"/>
    <n v="6"/>
    <n v="849006"/>
    <d v="2026-02-04T00:00:00"/>
    <n v="2"/>
    <n v="4"/>
    <n v="2026"/>
    <x v="4"/>
    <s v="Q1"/>
    <x v="3"/>
  </r>
  <r>
    <s v="O101650"/>
    <x v="502"/>
    <x v="1"/>
    <x v="4"/>
    <x v="4"/>
    <x v="3"/>
    <n v="4"/>
    <n v="848688"/>
    <d v="2025-11-04T00:00:00"/>
    <n v="11"/>
    <n v="4"/>
    <n v="2025"/>
    <x v="0"/>
    <s v="Q4"/>
    <x v="4"/>
  </r>
  <r>
    <s v="O100412"/>
    <x v="100"/>
    <x v="5"/>
    <x v="3"/>
    <x v="4"/>
    <x v="1"/>
    <n v="5"/>
    <n v="848355"/>
    <d v="2025-01-25T00:00:00"/>
    <n v="1"/>
    <n v="25"/>
    <n v="2025"/>
    <x v="6"/>
    <s v="Q1"/>
    <x v="4"/>
  </r>
  <r>
    <s v="O102370"/>
    <x v="196"/>
    <x v="10"/>
    <x v="4"/>
    <x v="4"/>
    <x v="2"/>
    <n v="4"/>
    <n v="848051"/>
    <d v="2025-05-24T00:00:00"/>
    <n v="5"/>
    <n v="24"/>
    <n v="2025"/>
    <x v="3"/>
    <s v="Q2"/>
    <x v="4"/>
  </r>
  <r>
    <s v="O104363"/>
    <x v="410"/>
    <x v="1"/>
    <x v="4"/>
    <x v="1"/>
    <x v="0"/>
    <n v="6"/>
    <n v="847743"/>
    <d v="2025-09-23T00:00:00"/>
    <n v="9"/>
    <n v="23"/>
    <n v="2025"/>
    <x v="1"/>
    <s v="Q3"/>
    <x v="1"/>
  </r>
  <r>
    <s v="O105624"/>
    <x v="70"/>
    <x v="8"/>
    <x v="4"/>
    <x v="4"/>
    <x v="3"/>
    <n v="6"/>
    <n v="847612"/>
    <d v="2025-08-12T00:00:00"/>
    <n v="8"/>
    <n v="12"/>
    <n v="2025"/>
    <x v="8"/>
    <s v="Q3"/>
    <x v="4"/>
  </r>
  <r>
    <s v="O110375"/>
    <x v="782"/>
    <x v="4"/>
    <x v="3"/>
    <x v="1"/>
    <x v="3"/>
    <n v="5"/>
    <n v="847359"/>
    <d v="2026-09-23T00:00:00"/>
    <n v="9"/>
    <n v="23"/>
    <n v="2026"/>
    <x v="1"/>
    <s v="Q3"/>
    <x v="1"/>
  </r>
  <r>
    <s v="O103582"/>
    <x v="53"/>
    <x v="6"/>
    <x v="5"/>
    <x v="1"/>
    <x v="2"/>
    <n v="7"/>
    <n v="847332"/>
    <d v="2025-06-08T00:00:00"/>
    <n v="6"/>
    <n v="8"/>
    <n v="2025"/>
    <x v="2"/>
    <s v="Q2"/>
    <x v="1"/>
  </r>
  <r>
    <s v="O109275"/>
    <x v="179"/>
    <x v="8"/>
    <x v="4"/>
    <x v="1"/>
    <x v="2"/>
    <n v="4"/>
    <n v="847177"/>
    <d v="2026-07-18T00:00:00"/>
    <n v="7"/>
    <n v="18"/>
    <n v="2026"/>
    <x v="10"/>
    <s v="Q3"/>
    <x v="1"/>
  </r>
  <r>
    <s v="O102990"/>
    <x v="783"/>
    <x v="6"/>
    <x v="5"/>
    <x v="4"/>
    <x v="2"/>
    <n v="7"/>
    <n v="846849"/>
    <d v="2025-01-07T00:00:00"/>
    <n v="1"/>
    <n v="7"/>
    <n v="2025"/>
    <x v="6"/>
    <s v="Q1"/>
    <x v="4"/>
  </r>
  <r>
    <s v="O105351"/>
    <x v="417"/>
    <x v="6"/>
    <x v="4"/>
    <x v="2"/>
    <x v="1"/>
    <n v="6"/>
    <n v="846837"/>
    <d v="2025-11-22T00:00:00"/>
    <n v="11"/>
    <n v="22"/>
    <n v="2025"/>
    <x v="0"/>
    <s v="Q4"/>
    <x v="2"/>
  </r>
  <r>
    <s v="O108070"/>
    <x v="89"/>
    <x v="1"/>
    <x v="2"/>
    <x v="3"/>
    <x v="1"/>
    <n v="3"/>
    <n v="846780"/>
    <d v="2026-06-05T00:00:00"/>
    <n v="6"/>
    <n v="5"/>
    <n v="2026"/>
    <x v="2"/>
    <s v="Q2"/>
    <x v="3"/>
  </r>
  <r>
    <s v="O105743"/>
    <x v="651"/>
    <x v="8"/>
    <x v="5"/>
    <x v="4"/>
    <x v="3"/>
    <n v="6"/>
    <n v="846757"/>
    <d v="2025-12-15T00:00:00"/>
    <n v="12"/>
    <n v="15"/>
    <n v="2025"/>
    <x v="7"/>
    <s v="Q4"/>
    <x v="4"/>
  </r>
  <r>
    <s v="O104939"/>
    <x v="447"/>
    <x v="1"/>
    <x v="4"/>
    <x v="3"/>
    <x v="3"/>
    <n v="6"/>
    <n v="846737"/>
    <d v="2025-10-28T00:00:00"/>
    <n v="10"/>
    <n v="28"/>
    <n v="2025"/>
    <x v="9"/>
    <s v="Q4"/>
    <x v="3"/>
  </r>
  <r>
    <s v="O101874"/>
    <x v="334"/>
    <x v="1"/>
    <x v="5"/>
    <x v="2"/>
    <x v="1"/>
    <n v="6"/>
    <n v="846649"/>
    <d v="2025-04-24T00:00:00"/>
    <n v="4"/>
    <n v="24"/>
    <n v="2025"/>
    <x v="11"/>
    <s v="Q2"/>
    <x v="2"/>
  </r>
  <r>
    <s v="O108400"/>
    <x v="143"/>
    <x v="0"/>
    <x v="3"/>
    <x v="4"/>
    <x v="3"/>
    <n v="5"/>
    <n v="846252"/>
    <d v="2026-05-26T00:00:00"/>
    <n v="5"/>
    <n v="26"/>
    <n v="2026"/>
    <x v="3"/>
    <s v="Q2"/>
    <x v="4"/>
  </r>
  <r>
    <s v="O111541"/>
    <x v="739"/>
    <x v="6"/>
    <x v="5"/>
    <x v="4"/>
    <x v="0"/>
    <n v="7"/>
    <n v="845795"/>
    <d v="2026-03-12T00:00:00"/>
    <n v="3"/>
    <n v="12"/>
    <n v="2026"/>
    <x v="5"/>
    <s v="Q1"/>
    <x v="4"/>
  </r>
  <r>
    <s v="O107544"/>
    <x v="771"/>
    <x v="9"/>
    <x v="3"/>
    <x v="1"/>
    <x v="3"/>
    <n v="5"/>
    <n v="845607"/>
    <d v="2026-04-04T00:00:00"/>
    <n v="4"/>
    <n v="4"/>
    <n v="2026"/>
    <x v="11"/>
    <s v="Q2"/>
    <x v="1"/>
  </r>
  <r>
    <s v="O110950"/>
    <x v="292"/>
    <x v="5"/>
    <x v="3"/>
    <x v="3"/>
    <x v="0"/>
    <n v="4"/>
    <n v="845377"/>
    <d v="2026-10-28T00:00:00"/>
    <n v="10"/>
    <n v="28"/>
    <n v="2026"/>
    <x v="9"/>
    <s v="Q4"/>
    <x v="3"/>
  </r>
  <r>
    <s v="O103132"/>
    <x v="700"/>
    <x v="6"/>
    <x v="5"/>
    <x v="2"/>
    <x v="3"/>
    <n v="7"/>
    <n v="844993"/>
    <d v="2025-10-07T00:00:00"/>
    <n v="10"/>
    <n v="7"/>
    <n v="2025"/>
    <x v="9"/>
    <s v="Q4"/>
    <x v="2"/>
  </r>
  <r>
    <s v="O107368"/>
    <x v="406"/>
    <x v="10"/>
    <x v="2"/>
    <x v="4"/>
    <x v="0"/>
    <n v="3"/>
    <n v="844771"/>
    <d v="2026-03-24T00:00:00"/>
    <n v="3"/>
    <n v="24"/>
    <n v="2026"/>
    <x v="5"/>
    <s v="Q1"/>
    <x v="4"/>
  </r>
  <r>
    <s v="O105130"/>
    <x v="738"/>
    <x v="0"/>
    <x v="5"/>
    <x v="3"/>
    <x v="3"/>
    <n v="7"/>
    <n v="844478"/>
    <d v="2025-08-11T00:00:00"/>
    <n v="8"/>
    <n v="11"/>
    <n v="2025"/>
    <x v="8"/>
    <s v="Q3"/>
    <x v="3"/>
  </r>
  <r>
    <s v="O109230"/>
    <x v="682"/>
    <x v="8"/>
    <x v="4"/>
    <x v="1"/>
    <x v="0"/>
    <n v="4"/>
    <n v="844109"/>
    <d v="2026-07-15T00:00:00"/>
    <n v="7"/>
    <n v="15"/>
    <n v="2026"/>
    <x v="10"/>
    <s v="Q3"/>
    <x v="1"/>
  </r>
  <r>
    <s v="O100386"/>
    <x v="534"/>
    <x v="10"/>
    <x v="4"/>
    <x v="0"/>
    <x v="2"/>
    <n v="5"/>
    <n v="843448"/>
    <d v="2025-01-24T00:00:00"/>
    <n v="1"/>
    <n v="24"/>
    <n v="2025"/>
    <x v="6"/>
    <s v="Q1"/>
    <x v="0"/>
  </r>
  <r>
    <s v="O107195"/>
    <x v="537"/>
    <x v="3"/>
    <x v="5"/>
    <x v="4"/>
    <x v="1"/>
    <n v="8"/>
    <n v="843429"/>
    <d v="2026-03-14T00:00:00"/>
    <n v="3"/>
    <n v="14"/>
    <n v="2026"/>
    <x v="5"/>
    <s v="Q1"/>
    <x v="4"/>
  </r>
  <r>
    <s v="O108289"/>
    <x v="789"/>
    <x v="1"/>
    <x v="0"/>
    <x v="2"/>
    <x v="0"/>
    <n v="2"/>
    <n v="841806"/>
    <d v="2026-05-19T00:00:00"/>
    <n v="5"/>
    <n v="19"/>
    <n v="2026"/>
    <x v="3"/>
    <s v="Q2"/>
    <x v="2"/>
  </r>
  <r>
    <s v="O111072"/>
    <x v="349"/>
    <x v="6"/>
    <x v="3"/>
    <x v="3"/>
    <x v="0"/>
    <n v="5"/>
    <n v="841384"/>
    <d v="2026-04-11T00:00:00"/>
    <n v="4"/>
    <n v="11"/>
    <n v="2026"/>
    <x v="11"/>
    <s v="Q2"/>
    <x v="3"/>
  </r>
  <r>
    <s v="O104343"/>
    <x v="315"/>
    <x v="8"/>
    <x v="5"/>
    <x v="1"/>
    <x v="2"/>
    <n v="-1"/>
    <n v="841216"/>
    <d v="2025-09-21T00:00:00"/>
    <n v="9"/>
    <n v="21"/>
    <n v="2025"/>
    <x v="1"/>
    <s v="Q3"/>
    <x v="1"/>
  </r>
  <r>
    <s v="O110699"/>
    <x v="388"/>
    <x v="4"/>
    <x v="4"/>
    <x v="0"/>
    <x v="1"/>
    <n v="4"/>
    <n v="840992"/>
    <d v="2026-12-10T00:00:00"/>
    <n v="12"/>
    <n v="10"/>
    <n v="2026"/>
    <x v="7"/>
    <s v="Q4"/>
    <x v="0"/>
  </r>
  <r>
    <s v="O100215"/>
    <x v="74"/>
    <x v="10"/>
    <x v="4"/>
    <x v="4"/>
    <x v="2"/>
    <n v="6"/>
    <n v="840828"/>
    <d v="2025-01-14T00:00:00"/>
    <n v="1"/>
    <n v="14"/>
    <n v="2025"/>
    <x v="6"/>
    <s v="Q1"/>
    <x v="4"/>
  </r>
  <r>
    <s v="O110793"/>
    <x v="671"/>
    <x v="1"/>
    <x v="5"/>
    <x v="1"/>
    <x v="3"/>
    <n v="6"/>
    <n v="840314"/>
    <d v="2026-10-18T00:00:00"/>
    <n v="10"/>
    <n v="18"/>
    <n v="2026"/>
    <x v="9"/>
    <s v="Q4"/>
    <x v="1"/>
  </r>
  <r>
    <s v="O103796"/>
    <x v="498"/>
    <x v="6"/>
    <x v="2"/>
    <x v="1"/>
    <x v="3"/>
    <n v="3"/>
    <n v="840279"/>
    <d v="2025-08-19T00:00:00"/>
    <n v="8"/>
    <n v="19"/>
    <n v="2025"/>
    <x v="8"/>
    <s v="Q3"/>
    <x v="1"/>
  </r>
  <r>
    <s v="O109801"/>
    <x v="137"/>
    <x v="10"/>
    <x v="4"/>
    <x v="0"/>
    <x v="1"/>
    <n v="4"/>
    <n v="840233"/>
    <d v="2026-08-19T00:00:00"/>
    <n v="8"/>
    <n v="19"/>
    <n v="2026"/>
    <x v="8"/>
    <s v="Q3"/>
    <x v="0"/>
  </r>
  <r>
    <s v="O101819"/>
    <x v="611"/>
    <x v="2"/>
    <x v="2"/>
    <x v="3"/>
    <x v="3"/>
    <n v="3"/>
    <n v="839990"/>
    <d v="2025-04-21T00:00:00"/>
    <n v="4"/>
    <n v="21"/>
    <n v="2025"/>
    <x v="11"/>
    <s v="Q2"/>
    <x v="3"/>
  </r>
  <r>
    <s v="O103500"/>
    <x v="481"/>
    <x v="9"/>
    <x v="4"/>
    <x v="0"/>
    <x v="2"/>
    <n v="6"/>
    <n v="839957"/>
    <d v="2025-01-08T00:00:00"/>
    <n v="1"/>
    <n v="8"/>
    <n v="2025"/>
    <x v="6"/>
    <s v="Q1"/>
    <x v="0"/>
  </r>
  <r>
    <s v="O102561"/>
    <x v="460"/>
    <x v="8"/>
    <x v="4"/>
    <x v="1"/>
    <x v="2"/>
    <n v="6"/>
    <n v="839477"/>
    <d v="2025-05-06T00:00:00"/>
    <n v="5"/>
    <n v="6"/>
    <n v="2025"/>
    <x v="3"/>
    <s v="Q2"/>
    <x v="1"/>
  </r>
  <r>
    <s v="O102944"/>
    <x v="568"/>
    <x v="7"/>
    <x v="4"/>
    <x v="2"/>
    <x v="3"/>
    <n v="5"/>
    <n v="838914"/>
    <d v="2025-06-28T00:00:00"/>
    <n v="6"/>
    <n v="28"/>
    <n v="2025"/>
    <x v="2"/>
    <s v="Q2"/>
    <x v="2"/>
  </r>
  <r>
    <s v="O111163"/>
    <x v="310"/>
    <x v="0"/>
    <x v="5"/>
    <x v="1"/>
    <x v="3"/>
    <n v="9"/>
    <n v="838620"/>
    <d v="2026-10-11T00:00:00"/>
    <n v="10"/>
    <n v="11"/>
    <n v="2026"/>
    <x v="9"/>
    <s v="Q4"/>
    <x v="1"/>
  </r>
  <r>
    <s v="O107724"/>
    <x v="222"/>
    <x v="5"/>
    <x v="4"/>
    <x v="3"/>
    <x v="3"/>
    <n v="4"/>
    <n v="838229"/>
    <d v="2026-04-15T00:00:00"/>
    <n v="4"/>
    <n v="15"/>
    <n v="2026"/>
    <x v="11"/>
    <s v="Q2"/>
    <x v="3"/>
  </r>
  <r>
    <s v="O103396"/>
    <x v="424"/>
    <x v="2"/>
    <x v="3"/>
    <x v="2"/>
    <x v="1"/>
    <n v="5"/>
    <n v="837786"/>
    <d v="2025-07-26T00:00:00"/>
    <n v="7"/>
    <n v="26"/>
    <n v="2025"/>
    <x v="10"/>
    <s v="Q3"/>
    <x v="2"/>
  </r>
  <r>
    <s v="O107139"/>
    <x v="55"/>
    <x v="3"/>
    <x v="2"/>
    <x v="3"/>
    <x v="0"/>
    <n v="3"/>
    <n v="837747"/>
    <d v="2026-10-03T00:00:00"/>
    <n v="10"/>
    <n v="3"/>
    <n v="2026"/>
    <x v="9"/>
    <s v="Q4"/>
    <x v="3"/>
  </r>
  <r>
    <s v="O109502"/>
    <x v="288"/>
    <x v="4"/>
    <x v="4"/>
    <x v="2"/>
    <x v="2"/>
    <n v="4"/>
    <n v="837708"/>
    <d v="2026-01-08T00:00:00"/>
    <n v="1"/>
    <n v="8"/>
    <n v="2026"/>
    <x v="6"/>
    <s v="Q1"/>
    <x v="2"/>
  </r>
  <r>
    <s v="O110909"/>
    <x v="341"/>
    <x v="2"/>
    <x v="5"/>
    <x v="1"/>
    <x v="2"/>
    <n v="8"/>
    <n v="836893"/>
    <d v="2026-10-25T00:00:00"/>
    <n v="10"/>
    <n v="25"/>
    <n v="2026"/>
    <x v="9"/>
    <m/>
    <x v="1"/>
  </r>
  <r>
    <s v="O110023"/>
    <x v="687"/>
    <x v="2"/>
    <x v="5"/>
    <x v="2"/>
    <x v="2"/>
    <n v="6"/>
    <n v="836141"/>
    <d v="2026-01-09T00:00:00"/>
    <n v="1"/>
    <n v="9"/>
    <n v="2026"/>
    <x v="6"/>
    <s v="Q1"/>
    <x v="2"/>
  </r>
  <r>
    <s v="O108680"/>
    <x v="121"/>
    <x v="10"/>
    <x v="0"/>
    <x v="1"/>
    <x v="0"/>
    <n v="2"/>
    <n v="836067"/>
    <d v="2026-12-06T00:00:00"/>
    <n v="12"/>
    <n v="6"/>
    <n v="2026"/>
    <x v="7"/>
    <s v="Q4"/>
    <x v="1"/>
  </r>
  <r>
    <s v="O103407"/>
    <x v="298"/>
    <x v="3"/>
    <x v="5"/>
    <x v="3"/>
    <x v="3"/>
    <n v="7"/>
    <n v="835979"/>
    <d v="2025-07-26T00:00:00"/>
    <n v="7"/>
    <n v="26"/>
    <n v="2025"/>
    <x v="10"/>
    <s v="Q3"/>
    <x v="3"/>
  </r>
  <r>
    <s v="O103905"/>
    <x v="652"/>
    <x v="10"/>
    <x v="5"/>
    <x v="0"/>
    <x v="1"/>
    <n v="6"/>
    <n v="835895"/>
    <d v="2025-08-26T00:00:00"/>
    <n v="8"/>
    <n v="26"/>
    <n v="2025"/>
    <x v="8"/>
    <s v="Q3"/>
    <x v="0"/>
  </r>
  <r>
    <s v="O102758"/>
    <x v="197"/>
    <x v="10"/>
    <x v="5"/>
    <x v="2"/>
    <x v="3"/>
    <n v="7"/>
    <n v="835319"/>
    <d v="2025-06-17T00:00:00"/>
    <n v="6"/>
    <n v="17"/>
    <n v="2025"/>
    <x v="2"/>
    <s v="Q2"/>
    <x v="2"/>
  </r>
  <r>
    <s v="O110194"/>
    <x v="791"/>
    <x v="3"/>
    <x v="5"/>
    <x v="0"/>
    <x v="2"/>
    <n v="6"/>
    <n v="835252"/>
    <d v="2026-12-09T00:00:00"/>
    <n v="12"/>
    <n v="9"/>
    <n v="2026"/>
    <x v="7"/>
    <s v="Q4"/>
    <x v="0"/>
  </r>
  <r>
    <s v="O101762"/>
    <x v="746"/>
    <x v="9"/>
    <x v="5"/>
    <x v="1"/>
    <x v="0"/>
    <n v="6"/>
    <n v="835083"/>
    <d v="2025-04-17T00:00:00"/>
    <n v="4"/>
    <n v="17"/>
    <n v="2025"/>
    <x v="11"/>
    <s v="Q2"/>
    <x v="1"/>
  </r>
  <r>
    <s v="O108054"/>
    <x v="330"/>
    <x v="8"/>
    <x v="4"/>
    <x v="1"/>
    <x v="0"/>
    <n v="4"/>
    <n v="834951"/>
    <d v="2026-05-05T00:00:00"/>
    <n v="5"/>
    <n v="5"/>
    <n v="2026"/>
    <x v="3"/>
    <s v="Q2"/>
    <x v="1"/>
  </r>
  <r>
    <s v="O103798"/>
    <x v="496"/>
    <x v="4"/>
    <x v="0"/>
    <x v="3"/>
    <x v="3"/>
    <n v="2"/>
    <n v="834527"/>
    <d v="2025-08-19T00:00:00"/>
    <n v="8"/>
    <n v="19"/>
    <n v="2025"/>
    <x v="8"/>
    <s v="Q3"/>
    <x v="3"/>
  </r>
  <r>
    <s v="O110362"/>
    <x v="534"/>
    <x v="2"/>
    <x v="5"/>
    <x v="0"/>
    <x v="1"/>
    <n v="7"/>
    <n v="833950"/>
    <d v="2026-09-22T00:00:00"/>
    <n v="9"/>
    <n v="22"/>
    <n v="2026"/>
    <x v="1"/>
    <s v="Q3"/>
    <x v="0"/>
  </r>
  <r>
    <s v="O104584"/>
    <x v="541"/>
    <x v="9"/>
    <x v="4"/>
    <x v="4"/>
    <x v="1"/>
    <n v="5"/>
    <n v="833816"/>
    <d v="2025-06-10T00:00:00"/>
    <n v="6"/>
    <n v="10"/>
    <n v="2025"/>
    <x v="2"/>
    <s v="Q2"/>
    <x v="4"/>
  </r>
  <r>
    <s v="O111467"/>
    <x v="576"/>
    <x v="10"/>
    <x v="0"/>
    <x v="1"/>
    <x v="0"/>
    <n v="2"/>
    <n v="833729"/>
    <d v="2026-11-28T00:00:00"/>
    <n v="11"/>
    <n v="28"/>
    <n v="2026"/>
    <x v="0"/>
    <s v="Q4"/>
    <x v="1"/>
  </r>
  <r>
    <s v="O106981"/>
    <x v="313"/>
    <x v="4"/>
    <x v="0"/>
    <x v="1"/>
    <x v="1"/>
    <n v="2"/>
    <n v="833614"/>
    <d v="2026-01-03T00:00:00"/>
    <n v="1"/>
    <n v="3"/>
    <n v="2026"/>
    <x v="6"/>
    <s v="Q1"/>
    <x v="1"/>
  </r>
  <r>
    <s v="O101541"/>
    <x v="14"/>
    <x v="8"/>
    <x v="4"/>
    <x v="1"/>
    <x v="2"/>
    <n v="4"/>
    <n v="832763"/>
    <d v="2025-04-04T00:00:00"/>
    <n v="4"/>
    <n v="4"/>
    <n v="2025"/>
    <x v="11"/>
    <s v="Q2"/>
    <x v="1"/>
  </r>
  <r>
    <s v="O111920"/>
    <x v="748"/>
    <x v="0"/>
    <x v="5"/>
    <x v="4"/>
    <x v="1"/>
    <n v="6"/>
    <n v="831309"/>
    <d v="2026-12-26T00:00:00"/>
    <n v="12"/>
    <n v="26"/>
    <n v="2026"/>
    <x v="7"/>
    <s v="Q4"/>
    <x v="4"/>
  </r>
  <r>
    <s v="O111105"/>
    <x v="392"/>
    <x v="3"/>
    <x v="4"/>
    <x v="3"/>
    <x v="3"/>
    <n v="5"/>
    <n v="831171"/>
    <d v="2026-06-11T00:00:00"/>
    <n v="6"/>
    <n v="11"/>
    <n v="2026"/>
    <x v="2"/>
    <s v="Q2"/>
    <x v="3"/>
  </r>
  <r>
    <s v="O105603"/>
    <x v="168"/>
    <x v="2"/>
    <x v="0"/>
    <x v="4"/>
    <x v="0"/>
    <n v="2"/>
    <n v="830966"/>
    <d v="2025-07-12T00:00:00"/>
    <n v="7"/>
    <n v="12"/>
    <n v="2025"/>
    <x v="10"/>
    <s v="Q3"/>
    <x v="4"/>
  </r>
  <r>
    <s v="O103207"/>
    <x v="110"/>
    <x v="5"/>
    <x v="5"/>
    <x v="2"/>
    <x v="3"/>
    <n v="7"/>
    <n v="830739"/>
    <d v="2025-07-14T00:00:00"/>
    <n v="7"/>
    <n v="14"/>
    <n v="2025"/>
    <x v="10"/>
    <s v="Q3"/>
    <x v="2"/>
  </r>
  <r>
    <s v="O100461"/>
    <x v="188"/>
    <x v="4"/>
    <x v="0"/>
    <x v="0"/>
    <x v="1"/>
    <n v="2"/>
    <n v="830578"/>
    <d v="2025-01-28T00:00:00"/>
    <n v="1"/>
    <n v="28"/>
    <n v="2025"/>
    <x v="6"/>
    <s v="Q1"/>
    <x v="0"/>
  </r>
  <r>
    <s v="O106296"/>
    <x v="599"/>
    <x v="4"/>
    <x v="5"/>
    <x v="1"/>
    <x v="0"/>
    <n v="8"/>
    <n v="829931"/>
    <d v="2026-01-18T00:00:00"/>
    <n v="1"/>
    <n v="18"/>
    <n v="2026"/>
    <x v="6"/>
    <s v="Q1"/>
    <x v="1"/>
  </r>
  <r>
    <s v="O108770"/>
    <x v="495"/>
    <x v="0"/>
    <x v="0"/>
    <x v="0"/>
    <x v="1"/>
    <n v="2"/>
    <n v="829789"/>
    <d v="2026-06-17T00:00:00"/>
    <n v="6"/>
    <n v="17"/>
    <n v="2026"/>
    <x v="2"/>
    <s v="Q2"/>
    <x v="0"/>
  </r>
  <r>
    <s v="O108888"/>
    <x v="429"/>
    <x v="7"/>
    <x v="4"/>
    <x v="3"/>
    <x v="1"/>
    <n v="4"/>
    <n v="829387"/>
    <d v="2026-06-24T00:00:00"/>
    <n v="6"/>
    <n v="24"/>
    <n v="2026"/>
    <x v="2"/>
    <s v="Q2"/>
    <x v="3"/>
  </r>
  <r>
    <s v="O109265"/>
    <x v="605"/>
    <x v="3"/>
    <x v="5"/>
    <x v="3"/>
    <x v="2"/>
    <n v="6"/>
    <n v="829357"/>
    <d v="2026-07-17T00:00:00"/>
    <n v="7"/>
    <n v="17"/>
    <n v="2026"/>
    <x v="10"/>
    <s v="Q3"/>
    <x v="3"/>
  </r>
  <r>
    <s v="O110965"/>
    <x v="707"/>
    <x v="10"/>
    <x v="5"/>
    <x v="0"/>
    <x v="2"/>
    <n v="6"/>
    <n v="829183"/>
    <d v="2026-10-29T00:00:00"/>
    <n v="10"/>
    <n v="29"/>
    <n v="2026"/>
    <x v="9"/>
    <s v="Q4"/>
    <x v="0"/>
  </r>
  <r>
    <s v="O103952"/>
    <x v="59"/>
    <x v="8"/>
    <x v="5"/>
    <x v="3"/>
    <x v="4"/>
    <n v="9"/>
    <n v="829137"/>
    <d v="2025-08-29T00:00:00"/>
    <n v="8"/>
    <n v="29"/>
    <n v="2025"/>
    <x v="8"/>
    <s v="Q3"/>
    <x v="3"/>
  </r>
  <r>
    <s v="O101141"/>
    <x v="597"/>
    <x v="0"/>
    <x v="5"/>
    <x v="2"/>
    <x v="1"/>
    <n v="6"/>
    <n v="829097"/>
    <d v="2025-11-03T00:00:00"/>
    <n v="11"/>
    <n v="3"/>
    <n v="2025"/>
    <x v="0"/>
    <s v="Q4"/>
    <x v="2"/>
  </r>
  <r>
    <s v="O105637"/>
    <x v="712"/>
    <x v="10"/>
    <x v="2"/>
    <x v="0"/>
    <x v="2"/>
    <n v="3"/>
    <n v="828351"/>
    <d v="2025-09-12T00:00:00"/>
    <n v="9"/>
    <n v="12"/>
    <n v="2025"/>
    <x v="1"/>
    <s v="Q3"/>
    <x v="0"/>
  </r>
  <r>
    <s v="O109640"/>
    <x v="76"/>
    <x v="4"/>
    <x v="0"/>
    <x v="3"/>
    <x v="1"/>
    <n v="2"/>
    <n v="827800"/>
    <d v="2026-09-08T00:00:00"/>
    <n v="9"/>
    <n v="8"/>
    <n v="2026"/>
    <x v="1"/>
    <s v="Q3"/>
    <x v="3"/>
  </r>
  <r>
    <s v="O104670"/>
    <x v="88"/>
    <x v="4"/>
    <x v="4"/>
    <x v="1"/>
    <x v="1"/>
    <n v="4"/>
    <n v="827633"/>
    <d v="2025-11-10T00:00:00"/>
    <n v="11"/>
    <n v="10"/>
    <n v="2025"/>
    <x v="0"/>
    <s v="Q4"/>
    <x v="1"/>
  </r>
  <r>
    <s v="O105931"/>
    <x v="262"/>
    <x v="0"/>
    <x v="0"/>
    <x v="1"/>
    <x v="0"/>
    <n v="2"/>
    <n v="827021"/>
    <d v="2025-12-27T00:00:00"/>
    <n v="12"/>
    <n v="27"/>
    <n v="2025"/>
    <x v="7"/>
    <s v="Q4"/>
    <x v="1"/>
  </r>
  <r>
    <s v="O100193"/>
    <x v="722"/>
    <x v="3"/>
    <x v="5"/>
    <x v="4"/>
    <x v="0"/>
    <n v="6"/>
    <n v="826793"/>
    <d v="2025-12-01T00:00:00"/>
    <n v="12"/>
    <n v="1"/>
    <n v="2025"/>
    <x v="7"/>
    <s v="Q4"/>
    <x v="4"/>
  </r>
  <r>
    <s v="O106174"/>
    <x v="722"/>
    <x v="8"/>
    <x v="5"/>
    <x v="4"/>
    <x v="1"/>
    <n v="9"/>
    <n v="826722"/>
    <d v="2026-11-01T00:00:00"/>
    <n v="11"/>
    <n v="1"/>
    <n v="2026"/>
    <x v="0"/>
    <s v="Q4"/>
    <x v="4"/>
  </r>
  <r>
    <s v="O103375"/>
    <x v="404"/>
    <x v="6"/>
    <x v="5"/>
    <x v="0"/>
    <x v="2"/>
    <n v="6"/>
    <n v="826699"/>
    <d v="2025-07-24T00:00:00"/>
    <n v="7"/>
    <n v="24"/>
    <n v="2025"/>
    <x v="10"/>
    <s v="Q3"/>
    <x v="0"/>
  </r>
  <r>
    <s v="O109077"/>
    <x v="658"/>
    <x v="9"/>
    <x v="4"/>
    <x v="3"/>
    <x v="0"/>
    <n v="6"/>
    <n v="826181"/>
    <d v="2026-06-07T00:00:00"/>
    <n v="6"/>
    <n v="7"/>
    <n v="2026"/>
    <x v="2"/>
    <s v="Q2"/>
    <x v="3"/>
  </r>
  <r>
    <s v="O111379"/>
    <x v="16"/>
    <x v="6"/>
    <x v="0"/>
    <x v="3"/>
    <x v="2"/>
    <n v="-2"/>
    <n v="826111"/>
    <d v="2026-11-23T00:00:00"/>
    <n v="11"/>
    <n v="23"/>
    <n v="2026"/>
    <x v="0"/>
    <s v="Q4"/>
    <x v="3"/>
  </r>
  <r>
    <s v="O105102"/>
    <x v="171"/>
    <x v="2"/>
    <x v="2"/>
    <x v="3"/>
    <x v="1"/>
    <n v="3"/>
    <n v="825373"/>
    <d v="2025-06-11T00:00:00"/>
    <n v="6"/>
    <n v="11"/>
    <n v="2025"/>
    <x v="2"/>
    <s v="Q2"/>
    <x v="3"/>
  </r>
  <r>
    <s v="O111553"/>
    <x v="140"/>
    <x v="6"/>
    <x v="5"/>
    <x v="0"/>
    <x v="2"/>
    <n v="6"/>
    <n v="825209"/>
    <d v="2026-03-12T00:00:00"/>
    <n v="3"/>
    <n v="12"/>
    <n v="2026"/>
    <x v="5"/>
    <s v="Q1"/>
    <x v="0"/>
  </r>
  <r>
    <s v="O100944"/>
    <x v="329"/>
    <x v="5"/>
    <x v="5"/>
    <x v="0"/>
    <x v="0"/>
    <n v="6"/>
    <n v="824726"/>
    <d v="2025-02-27T00:00:00"/>
    <n v="2"/>
    <n v="27"/>
    <n v="2025"/>
    <x v="4"/>
    <s v="Q1"/>
    <x v="0"/>
  </r>
  <r>
    <s v="O104484"/>
    <x v="81"/>
    <x v="4"/>
    <x v="2"/>
    <x v="1"/>
    <x v="0"/>
    <n v="3"/>
    <n v="824647"/>
    <d v="2025-09-30T00:00:00"/>
    <n v="9"/>
    <n v="30"/>
    <n v="2025"/>
    <x v="1"/>
    <s v="Q3"/>
    <x v="1"/>
  </r>
  <r>
    <s v="O105089"/>
    <x v="183"/>
    <x v="5"/>
    <x v="2"/>
    <x v="4"/>
    <x v="2"/>
    <n v="3"/>
    <n v="824647"/>
    <d v="2025-06-11T00:00:00"/>
    <n v="6"/>
    <n v="11"/>
    <n v="2025"/>
    <x v="2"/>
    <s v="Q2"/>
    <x v="4"/>
  </r>
  <r>
    <s v="O103621"/>
    <x v="193"/>
    <x v="2"/>
    <x v="2"/>
    <x v="0"/>
    <x v="0"/>
    <n v="3"/>
    <n v="824558"/>
    <d v="2025-08-08T00:00:00"/>
    <n v="8"/>
    <n v="8"/>
    <n v="2025"/>
    <x v="8"/>
    <s v="Q3"/>
    <x v="0"/>
  </r>
  <r>
    <s v="O110612"/>
    <x v="110"/>
    <x v="9"/>
    <x v="4"/>
    <x v="3"/>
    <x v="1"/>
    <n v="5"/>
    <n v="824435"/>
    <d v="2026-07-10T00:00:00"/>
    <n v="7"/>
    <n v="10"/>
    <n v="2026"/>
    <x v="10"/>
    <s v="Q3"/>
    <x v="3"/>
  </r>
  <r>
    <s v="O108224"/>
    <x v="483"/>
    <x v="6"/>
    <x v="5"/>
    <x v="1"/>
    <x v="3"/>
    <n v="6"/>
    <n v="824101"/>
    <d v="2026-05-15T00:00:00"/>
    <n v="5"/>
    <n v="15"/>
    <n v="2026"/>
    <x v="3"/>
    <s v="Q2"/>
    <x v="1"/>
  </r>
  <r>
    <s v="O110624"/>
    <x v="714"/>
    <x v="0"/>
    <x v="5"/>
    <x v="1"/>
    <x v="1"/>
    <n v="6"/>
    <n v="824034"/>
    <d v="2026-08-10T00:00:00"/>
    <n v="8"/>
    <n v="10"/>
    <n v="2026"/>
    <x v="8"/>
    <s v="Q3"/>
    <x v="1"/>
  </r>
  <r>
    <s v="O100268"/>
    <x v="590"/>
    <x v="0"/>
    <x v="4"/>
    <x v="3"/>
    <x v="1"/>
    <n v="4"/>
    <n v="823811"/>
    <d v="2025-01-17T00:00:00"/>
    <n v="1"/>
    <n v="17"/>
    <n v="2025"/>
    <x v="6"/>
    <s v="Q1"/>
    <x v="3"/>
  </r>
  <r>
    <s v="O101393"/>
    <x v="315"/>
    <x v="10"/>
    <x v="0"/>
    <x v="0"/>
    <x v="3"/>
    <n v="2"/>
    <n v="823787"/>
    <d v="2025-03-26T00:00:00"/>
    <n v="3"/>
    <n v="26"/>
    <n v="2025"/>
    <x v="5"/>
    <s v="Q1"/>
    <x v="0"/>
  </r>
  <r>
    <s v="O111824"/>
    <x v="453"/>
    <x v="9"/>
    <x v="4"/>
    <x v="4"/>
    <x v="1"/>
    <n v="4"/>
    <n v="823649"/>
    <d v="2026-12-20T00:00:00"/>
    <n v="12"/>
    <n v="20"/>
    <n v="2026"/>
    <x v="7"/>
    <s v="Q4"/>
    <x v="4"/>
  </r>
  <r>
    <s v="O102517"/>
    <x v="278"/>
    <x v="7"/>
    <x v="0"/>
    <x v="2"/>
    <x v="3"/>
    <n v="2"/>
    <n v="823648"/>
    <d v="2025-02-06T00:00:00"/>
    <n v="2"/>
    <n v="6"/>
    <n v="2025"/>
    <x v="4"/>
    <s v="Q1"/>
    <x v="2"/>
  </r>
  <r>
    <s v="O101343"/>
    <x v="156"/>
    <x v="6"/>
    <x v="5"/>
    <x v="4"/>
    <x v="3"/>
    <n v="8"/>
    <n v="823436"/>
    <d v="2025-03-23T00:00:00"/>
    <n v="3"/>
    <n v="23"/>
    <n v="2025"/>
    <x v="5"/>
    <s v="Q1"/>
    <x v="4"/>
  </r>
  <r>
    <s v="O105714"/>
    <x v="20"/>
    <x v="6"/>
    <x v="3"/>
    <x v="2"/>
    <x v="0"/>
    <n v="3"/>
    <n v="822971"/>
    <d v="2025-12-14T00:00:00"/>
    <n v="12"/>
    <n v="14"/>
    <n v="2025"/>
    <x v="7"/>
    <s v="Q4"/>
    <x v="2"/>
  </r>
  <r>
    <s v="O111631"/>
    <x v="426"/>
    <x v="3"/>
    <x v="3"/>
    <x v="4"/>
    <x v="1"/>
    <n v="4"/>
    <n v="822901"/>
    <d v="2026-08-12T00:00:00"/>
    <n v="8"/>
    <n v="12"/>
    <n v="2026"/>
    <x v="8"/>
    <s v="Q3"/>
    <x v="4"/>
  </r>
  <r>
    <s v="O109193"/>
    <x v="364"/>
    <x v="0"/>
    <x v="3"/>
    <x v="1"/>
    <x v="0"/>
    <n v="4"/>
    <n v="822780"/>
    <d v="2026-07-13T00:00:00"/>
    <n v="7"/>
    <n v="13"/>
    <n v="2026"/>
    <x v="10"/>
    <s v="Q3"/>
    <x v="1"/>
  </r>
  <r>
    <s v="O103874"/>
    <x v="455"/>
    <x v="1"/>
    <x v="5"/>
    <x v="1"/>
    <x v="0"/>
    <n v="7"/>
    <n v="822250"/>
    <d v="2025-08-24T00:00:00"/>
    <n v="8"/>
    <n v="24"/>
    <n v="2025"/>
    <x v="8"/>
    <s v="Q3"/>
    <x v="1"/>
  </r>
  <r>
    <s v="O111130"/>
    <x v="372"/>
    <x v="8"/>
    <x v="5"/>
    <x v="1"/>
    <x v="1"/>
    <n v="8"/>
    <n v="822134"/>
    <d v="2026-11-08T00:00:00"/>
    <n v="11"/>
    <n v="8"/>
    <n v="2026"/>
    <x v="0"/>
    <s v="Q4"/>
    <x v="1"/>
  </r>
  <r>
    <s v="O111921"/>
    <x v="555"/>
    <x v="8"/>
    <x v="5"/>
    <x v="3"/>
    <x v="3"/>
    <n v="8"/>
    <n v="821727"/>
    <d v="2026-12-26T00:00:00"/>
    <n v="12"/>
    <n v="26"/>
    <n v="2026"/>
    <x v="7"/>
    <s v="Q4"/>
    <x v="3"/>
  </r>
  <r>
    <s v="O106377"/>
    <x v="674"/>
    <x v="10"/>
    <x v="4"/>
    <x v="1"/>
    <x v="0"/>
    <n v="5"/>
    <n v="821496"/>
    <d v="2026-01-23T00:00:00"/>
    <n v="1"/>
    <n v="23"/>
    <n v="2026"/>
    <x v="6"/>
    <s v="Q1"/>
    <x v="1"/>
  </r>
  <r>
    <s v="O102655"/>
    <x v="655"/>
    <x v="10"/>
    <x v="4"/>
    <x v="5"/>
    <x v="1"/>
    <n v="6"/>
    <n v="820996"/>
    <d v="2025-11-06T00:00:00"/>
    <n v="11"/>
    <n v="6"/>
    <n v="2025"/>
    <x v="0"/>
    <s v="Q4"/>
    <x v="5"/>
  </r>
  <r>
    <s v="O106244"/>
    <x v="140"/>
    <x v="4"/>
    <x v="4"/>
    <x v="3"/>
    <x v="0"/>
    <n v="6"/>
    <n v="820915"/>
    <d v="2026-01-15T00:00:00"/>
    <n v="1"/>
    <n v="15"/>
    <n v="2026"/>
    <x v="6"/>
    <s v="Q1"/>
    <x v="3"/>
  </r>
  <r>
    <s v="O108896"/>
    <x v="516"/>
    <x v="8"/>
    <x v="0"/>
    <x v="3"/>
    <x v="0"/>
    <n v="2"/>
    <n v="820785"/>
    <d v="2026-06-25T00:00:00"/>
    <n v="6"/>
    <n v="25"/>
    <n v="2026"/>
    <x v="2"/>
    <s v="Q2"/>
    <x v="3"/>
  </r>
  <r>
    <s v="O109657"/>
    <x v="98"/>
    <x v="6"/>
    <x v="3"/>
    <x v="6"/>
    <x v="3"/>
    <n v="3"/>
    <n v="820555"/>
    <d v="2026-10-08T00:00:00"/>
    <n v="10"/>
    <n v="8"/>
    <n v="2026"/>
    <x v="9"/>
    <s v="Q4"/>
    <x v="4"/>
  </r>
  <r>
    <s v="O101199"/>
    <x v="273"/>
    <x v="3"/>
    <x v="4"/>
    <x v="4"/>
    <x v="2"/>
    <n v="6"/>
    <n v="818930"/>
    <d v="2025-03-14T00:00:00"/>
    <n v="3"/>
    <n v="14"/>
    <n v="2025"/>
    <x v="5"/>
    <s v="Q1"/>
    <x v="4"/>
  </r>
  <r>
    <s v="O109849"/>
    <x v="392"/>
    <x v="5"/>
    <x v="2"/>
    <x v="3"/>
    <x v="3"/>
    <n v="3"/>
    <n v="818864"/>
    <d v="2026-08-22T00:00:00"/>
    <n v="8"/>
    <n v="22"/>
    <n v="2026"/>
    <x v="8"/>
    <s v="Q3"/>
    <x v="3"/>
  </r>
  <r>
    <s v="O111388"/>
    <x v="647"/>
    <x v="8"/>
    <x v="5"/>
    <x v="1"/>
    <x v="1"/>
    <n v="7"/>
    <n v="818784"/>
    <d v="2026-11-23T00:00:00"/>
    <n v="11"/>
    <n v="23"/>
    <n v="2026"/>
    <x v="0"/>
    <s v="Q4"/>
    <x v="1"/>
  </r>
  <r>
    <s v="O105570"/>
    <x v="427"/>
    <x v="6"/>
    <x v="3"/>
    <x v="0"/>
    <x v="0"/>
    <n v="3"/>
    <n v="818601"/>
    <d v="2025-05-12T00:00:00"/>
    <n v="5"/>
    <n v="12"/>
    <n v="2025"/>
    <x v="3"/>
    <s v="Q2"/>
    <x v="0"/>
  </r>
  <r>
    <s v="O100279"/>
    <x v="419"/>
    <x v="3"/>
    <x v="4"/>
    <x v="4"/>
    <x v="0"/>
    <n v="5"/>
    <n v="818328"/>
    <d v="2025-01-17T00:00:00"/>
    <n v="1"/>
    <n v="17"/>
    <n v="2025"/>
    <x v="6"/>
    <s v="Q1"/>
    <x v="4"/>
  </r>
  <r>
    <s v="O111814"/>
    <x v="483"/>
    <x v="3"/>
    <x v="0"/>
    <x v="1"/>
    <x v="3"/>
    <n v="2"/>
    <n v="817547"/>
    <d v="2026-12-19T00:00:00"/>
    <n v="12"/>
    <n v="19"/>
    <n v="2026"/>
    <x v="7"/>
    <s v="Q4"/>
    <x v="1"/>
  </r>
  <r>
    <s v="O107852"/>
    <x v="259"/>
    <x v="3"/>
    <x v="4"/>
    <x v="0"/>
    <x v="2"/>
    <n v="6"/>
    <n v="817286"/>
    <d v="2026-04-22T00:00:00"/>
    <n v="4"/>
    <n v="22"/>
    <n v="2026"/>
    <x v="11"/>
    <s v="Q2"/>
    <x v="0"/>
  </r>
  <r>
    <s v="O100250"/>
    <x v="179"/>
    <x v="4"/>
    <x v="5"/>
    <x v="4"/>
    <x v="2"/>
    <n v="7"/>
    <n v="817273"/>
    <d v="2025-01-16T00:00:00"/>
    <n v="1"/>
    <n v="16"/>
    <n v="2025"/>
    <x v="6"/>
    <s v="Q1"/>
    <x v="4"/>
  </r>
  <r>
    <s v="O104878"/>
    <x v="494"/>
    <x v="4"/>
    <x v="4"/>
    <x v="3"/>
    <x v="3"/>
    <n v="4"/>
    <n v="816412"/>
    <d v="2025-10-24T00:00:00"/>
    <n v="10"/>
    <n v="24"/>
    <n v="2025"/>
    <x v="9"/>
    <s v="Q4"/>
    <x v="3"/>
  </r>
  <r>
    <s v="O100087"/>
    <x v="636"/>
    <x v="5"/>
    <x v="4"/>
    <x v="0"/>
    <x v="3"/>
    <n v="5"/>
    <n v="815969"/>
    <d v="2025-06-01T00:00:00"/>
    <n v="6"/>
    <n v="1"/>
    <n v="2025"/>
    <x v="2"/>
    <s v="Q2"/>
    <x v="0"/>
  </r>
  <r>
    <s v="O104150"/>
    <x v="747"/>
    <x v="2"/>
    <x v="4"/>
    <x v="1"/>
    <x v="1"/>
    <n v="6"/>
    <n v="815969"/>
    <d v="2025-10-09T00:00:00"/>
    <n v="10"/>
    <n v="9"/>
    <n v="2025"/>
    <x v="9"/>
    <m/>
    <x v="1"/>
  </r>
  <r>
    <s v="O103425"/>
    <x v="434"/>
    <x v="8"/>
    <x v="5"/>
    <x v="3"/>
    <x v="1"/>
    <n v="9"/>
    <n v="815822"/>
    <d v="2025-07-28T00:00:00"/>
    <n v="7"/>
    <n v="28"/>
    <n v="2025"/>
    <x v="10"/>
    <s v="Q3"/>
    <x v="3"/>
  </r>
  <r>
    <s v="O102321"/>
    <x v="677"/>
    <x v="5"/>
    <x v="5"/>
    <x v="1"/>
    <x v="0"/>
    <n v="6"/>
    <n v="815598"/>
    <d v="2025-05-21T00:00:00"/>
    <n v="5"/>
    <n v="21"/>
    <n v="2025"/>
    <x v="3"/>
    <s v="Q2"/>
    <x v="1"/>
  </r>
  <r>
    <s v="O102807"/>
    <x v="185"/>
    <x v="6"/>
    <x v="4"/>
    <x v="4"/>
    <x v="3"/>
    <n v="5"/>
    <n v="815363"/>
    <d v="2025-06-20T00:00:00"/>
    <n v="6"/>
    <n v="20"/>
    <n v="2025"/>
    <x v="2"/>
    <s v="Q2"/>
    <x v="4"/>
  </r>
  <r>
    <s v="O106485"/>
    <x v="547"/>
    <x v="8"/>
    <x v="0"/>
    <x v="0"/>
    <x v="2"/>
    <n v="2"/>
    <n v="815204"/>
    <d v="2026-01-29T00:00:00"/>
    <n v="1"/>
    <n v="29"/>
    <n v="2026"/>
    <x v="6"/>
    <s v="Q1"/>
    <x v="0"/>
  </r>
  <r>
    <s v="O101690"/>
    <x v="170"/>
    <x v="4"/>
    <x v="4"/>
    <x v="3"/>
    <x v="2"/>
    <n v="5"/>
    <n v="814749"/>
    <d v="2025-04-13T00:00:00"/>
    <n v="4"/>
    <n v="13"/>
    <n v="2025"/>
    <x v="11"/>
    <s v="Q2"/>
    <x v="3"/>
  </r>
  <r>
    <s v="O104877"/>
    <x v="454"/>
    <x v="2"/>
    <x v="2"/>
    <x v="3"/>
    <x v="0"/>
    <n v="3"/>
    <n v="814611"/>
    <d v="2025-10-24T00:00:00"/>
    <n v="10"/>
    <n v="24"/>
    <n v="2025"/>
    <x v="9"/>
    <s v="Q4"/>
    <x v="3"/>
  </r>
  <r>
    <s v="O109836"/>
    <x v="19"/>
    <x v="3"/>
    <x v="0"/>
    <x v="2"/>
    <x v="3"/>
    <n v="2"/>
    <n v="814538"/>
    <d v="2026-08-21T00:00:00"/>
    <n v="8"/>
    <n v="21"/>
    <n v="2026"/>
    <x v="8"/>
    <s v="Q3"/>
    <x v="2"/>
  </r>
  <r>
    <s v="O106259"/>
    <x v="593"/>
    <x v="4"/>
    <x v="5"/>
    <x v="4"/>
    <x v="2"/>
    <n v="7"/>
    <n v="814372"/>
    <d v="2026-01-16T00:00:00"/>
    <n v="1"/>
    <n v="16"/>
    <n v="2026"/>
    <x v="6"/>
    <s v="Q1"/>
    <x v="4"/>
  </r>
  <r>
    <s v="O101631"/>
    <x v="452"/>
    <x v="5"/>
    <x v="4"/>
    <x v="4"/>
    <x v="0"/>
    <n v="6"/>
    <n v="814171"/>
    <d v="2025-10-04T00:00:00"/>
    <n v="10"/>
    <n v="4"/>
    <n v="2025"/>
    <x v="9"/>
    <s v="Q4"/>
    <x v="4"/>
  </r>
  <r>
    <s v="O104191"/>
    <x v="92"/>
    <x v="10"/>
    <x v="4"/>
    <x v="3"/>
    <x v="2"/>
    <n v="4"/>
    <n v="814167"/>
    <d v="2025-12-09T00:00:00"/>
    <n v="12"/>
    <n v="9"/>
    <n v="2025"/>
    <x v="7"/>
    <s v="Q4"/>
    <x v="3"/>
  </r>
  <r>
    <s v="O104640"/>
    <x v="740"/>
    <x v="6"/>
    <x v="5"/>
    <x v="4"/>
    <x v="3"/>
    <n v="8"/>
    <n v="814154"/>
    <d v="2025-09-10T00:00:00"/>
    <n v="9"/>
    <n v="10"/>
    <n v="2025"/>
    <x v="1"/>
    <s v="Q3"/>
    <x v="4"/>
  </r>
  <r>
    <s v="O109330"/>
    <x v="795"/>
    <x v="9"/>
    <x v="4"/>
    <x v="3"/>
    <x v="1"/>
    <n v="6"/>
    <n v="813981"/>
    <d v="2026-07-21T00:00:00"/>
    <n v="7"/>
    <n v="21"/>
    <n v="2026"/>
    <x v="10"/>
    <s v="Q3"/>
    <x v="3"/>
  </r>
  <r>
    <s v="O109104"/>
    <x v="392"/>
    <x v="4"/>
    <x v="4"/>
    <x v="4"/>
    <x v="1"/>
    <n v="4"/>
    <n v="813831"/>
    <d v="2026-08-07T00:00:00"/>
    <n v="8"/>
    <n v="7"/>
    <n v="2026"/>
    <x v="8"/>
    <s v="Q3"/>
    <x v="4"/>
  </r>
  <r>
    <s v="O111461"/>
    <x v="223"/>
    <x v="1"/>
    <x v="0"/>
    <x v="3"/>
    <x v="2"/>
    <n v="2"/>
    <n v="813215"/>
    <d v="2026-11-28T00:00:00"/>
    <n v="11"/>
    <n v="28"/>
    <n v="2026"/>
    <x v="0"/>
    <s v="Q4"/>
    <x v="3"/>
  </r>
  <r>
    <s v="O104051"/>
    <x v="484"/>
    <x v="1"/>
    <x v="3"/>
    <x v="0"/>
    <x v="3"/>
    <n v="4"/>
    <n v="813160"/>
    <d v="2025-04-09T00:00:00"/>
    <n v="4"/>
    <n v="9"/>
    <n v="2025"/>
    <x v="11"/>
    <s v="Q2"/>
    <x v="0"/>
  </r>
  <r>
    <s v="O104969"/>
    <x v="3"/>
    <x v="1"/>
    <x v="3"/>
    <x v="1"/>
    <x v="3"/>
    <n v="4"/>
    <n v="812997"/>
    <d v="2025-10-29T00:00:00"/>
    <n v="10"/>
    <n v="29"/>
    <n v="2025"/>
    <x v="9"/>
    <s v="Q4"/>
    <x v="1"/>
  </r>
  <r>
    <s v="O111157"/>
    <x v="621"/>
    <x v="5"/>
    <x v="3"/>
    <x v="1"/>
    <x v="2"/>
    <n v="3"/>
    <n v="812719"/>
    <d v="2026-09-11T00:00:00"/>
    <n v="9"/>
    <n v="11"/>
    <n v="2026"/>
    <x v="1"/>
    <s v="Q3"/>
    <x v="1"/>
  </r>
  <r>
    <s v="O106642"/>
    <x v="591"/>
    <x v="1"/>
    <x v="4"/>
    <x v="1"/>
    <x v="2"/>
    <n v="4"/>
    <n v="812182"/>
    <d v="2026-08-02T00:00:00"/>
    <n v="8"/>
    <n v="2"/>
    <n v="2026"/>
    <x v="8"/>
    <s v="Q3"/>
    <x v="1"/>
  </r>
  <r>
    <s v="O108518"/>
    <x v="243"/>
    <x v="0"/>
    <x v="3"/>
    <x v="4"/>
    <x v="2"/>
    <n v="4"/>
    <n v="810934"/>
    <d v="2026-02-06T00:00:00"/>
    <n v="2"/>
    <n v="6"/>
    <n v="2026"/>
    <x v="4"/>
    <s v="Q1"/>
    <x v="4"/>
  </r>
  <r>
    <s v="O106265"/>
    <x v="570"/>
    <x v="8"/>
    <x v="5"/>
    <x v="2"/>
    <x v="2"/>
    <n v="6"/>
    <n v="809945"/>
    <d v="2026-01-16T00:00:00"/>
    <n v="1"/>
    <n v="16"/>
    <n v="2026"/>
    <x v="6"/>
    <s v="Q1"/>
    <x v="2"/>
  </r>
  <r>
    <s v="O106459"/>
    <x v="712"/>
    <x v="0"/>
    <x v="0"/>
    <x v="2"/>
    <x v="0"/>
    <n v="2"/>
    <n v="809932"/>
    <d v="2026-01-28T00:00:00"/>
    <n v="1"/>
    <n v="28"/>
    <n v="2026"/>
    <x v="6"/>
    <s v="Q1"/>
    <x v="2"/>
  </r>
  <r>
    <s v="O108900"/>
    <x v="638"/>
    <x v="2"/>
    <x v="3"/>
    <x v="1"/>
    <x v="3"/>
    <n v="3"/>
    <n v="809387"/>
    <d v="2026-06-25T00:00:00"/>
    <n v="6"/>
    <n v="25"/>
    <n v="2026"/>
    <x v="2"/>
    <s v="Q2"/>
    <x v="1"/>
  </r>
  <r>
    <s v="O108267"/>
    <x v="487"/>
    <x v="6"/>
    <x v="2"/>
    <x v="0"/>
    <x v="1"/>
    <n v="3"/>
    <n v="809325"/>
    <d v="2026-05-18T00:00:00"/>
    <n v="5"/>
    <n v="18"/>
    <n v="2026"/>
    <x v="3"/>
    <s v="Q2"/>
    <x v="0"/>
  </r>
  <r>
    <s v="O110388"/>
    <x v="704"/>
    <x v="1"/>
    <x v="3"/>
    <x v="5"/>
    <x v="2"/>
    <n v="3"/>
    <n v="809298"/>
    <d v="2026-09-24T00:00:00"/>
    <n v="9"/>
    <n v="24"/>
    <n v="2026"/>
    <x v="1"/>
    <s v="Q3"/>
    <x v="5"/>
  </r>
  <r>
    <s v="O105746"/>
    <x v="773"/>
    <x v="5"/>
    <x v="4"/>
    <x v="1"/>
    <x v="3"/>
    <n v="5"/>
    <n v="808923"/>
    <d v="2025-12-16T00:00:00"/>
    <n v="12"/>
    <n v="16"/>
    <n v="2025"/>
    <x v="7"/>
    <s v="Q4"/>
    <x v="1"/>
  </r>
  <r>
    <s v="O111528"/>
    <x v="238"/>
    <x v="3"/>
    <x v="5"/>
    <x v="0"/>
    <x v="3"/>
    <n v="6"/>
    <n v="808773"/>
    <d v="2026-02-12T00:00:00"/>
    <n v="2"/>
    <n v="12"/>
    <n v="2026"/>
    <x v="4"/>
    <s v="Q1"/>
    <x v="0"/>
  </r>
  <r>
    <s v="O111747"/>
    <x v="177"/>
    <x v="8"/>
    <x v="0"/>
    <x v="4"/>
    <x v="3"/>
    <n v="2"/>
    <n v="807920"/>
    <d v="2026-12-15T00:00:00"/>
    <n v="12"/>
    <n v="15"/>
    <n v="2026"/>
    <x v="7"/>
    <s v="Q4"/>
    <x v="4"/>
  </r>
  <r>
    <s v="O104081"/>
    <x v="596"/>
    <x v="5"/>
    <x v="4"/>
    <x v="2"/>
    <x v="2"/>
    <n v="4"/>
    <n v="807753"/>
    <d v="2025-05-09T00:00:00"/>
    <n v="5"/>
    <n v="9"/>
    <n v="2025"/>
    <x v="3"/>
    <m/>
    <x v="2"/>
  </r>
  <r>
    <s v="O110198"/>
    <x v="747"/>
    <x v="0"/>
    <x v="4"/>
    <x v="3"/>
    <x v="1"/>
    <n v="4"/>
    <n v="807559"/>
    <d v="2026-12-09T00:00:00"/>
    <n v="12"/>
    <n v="9"/>
    <n v="2026"/>
    <x v="7"/>
    <m/>
    <x v="3"/>
  </r>
  <r>
    <s v="O105990"/>
    <x v="80"/>
    <x v="10"/>
    <x v="5"/>
    <x v="1"/>
    <x v="0"/>
    <n v="8"/>
    <n v="807498"/>
    <d v="2025-12-30T00:00:00"/>
    <n v="12"/>
    <n v="30"/>
    <n v="2025"/>
    <x v="7"/>
    <s v="Q4"/>
    <x v="1"/>
  </r>
  <r>
    <s v="O111583"/>
    <x v="284"/>
    <x v="4"/>
    <x v="5"/>
    <x v="0"/>
    <x v="2"/>
    <n v="7"/>
    <n v="807263"/>
    <d v="2026-05-12T00:00:00"/>
    <n v="5"/>
    <n v="12"/>
    <n v="2026"/>
    <x v="3"/>
    <s v="Q2"/>
    <x v="0"/>
  </r>
  <r>
    <s v="O102996"/>
    <x v="299"/>
    <x v="4"/>
    <x v="5"/>
    <x v="4"/>
    <x v="3"/>
    <n v="8"/>
    <n v="806998"/>
    <d v="2025-01-07T00:00:00"/>
    <n v="1"/>
    <n v="7"/>
    <n v="2025"/>
    <x v="6"/>
    <s v="Q1"/>
    <x v="4"/>
  </r>
  <r>
    <s v="O104068"/>
    <x v="148"/>
    <x v="10"/>
    <x v="3"/>
    <x v="3"/>
    <x v="2"/>
    <n v="4"/>
    <n v="806723"/>
    <d v="2025-05-09T00:00:00"/>
    <n v="5"/>
    <n v="9"/>
    <n v="2025"/>
    <x v="3"/>
    <s v="Q2"/>
    <x v="3"/>
  </r>
  <r>
    <s v="O103713"/>
    <x v="420"/>
    <x v="1"/>
    <x v="4"/>
    <x v="3"/>
    <x v="3"/>
    <n v="5"/>
    <n v="805877"/>
    <d v="2025-08-14T00:00:00"/>
    <n v="8"/>
    <n v="14"/>
    <n v="2025"/>
    <x v="8"/>
    <s v="Q3"/>
    <x v="3"/>
  </r>
  <r>
    <s v="O110228"/>
    <x v="37"/>
    <x v="5"/>
    <x v="4"/>
    <x v="1"/>
    <x v="2"/>
    <n v="5"/>
    <n v="805260"/>
    <d v="2026-09-14T00:00:00"/>
    <n v="9"/>
    <n v="14"/>
    <n v="2026"/>
    <x v="1"/>
    <s v="Q3"/>
    <x v="1"/>
  </r>
  <r>
    <s v="O103099"/>
    <x v="432"/>
    <x v="9"/>
    <x v="0"/>
    <x v="0"/>
    <x v="0"/>
    <n v="2"/>
    <n v="805100"/>
    <d v="2025-08-07T00:00:00"/>
    <n v="8"/>
    <n v="7"/>
    <n v="2025"/>
    <x v="8"/>
    <s v="Q3"/>
    <x v="0"/>
  </r>
  <r>
    <s v="O100272"/>
    <x v="406"/>
    <x v="5"/>
    <x v="5"/>
    <x v="3"/>
    <x v="0"/>
    <n v="7"/>
    <n v="805065"/>
    <d v="2025-01-17T00:00:00"/>
    <n v="1"/>
    <n v="17"/>
    <n v="2025"/>
    <x v="6"/>
    <s v="Q1"/>
    <x v="3"/>
  </r>
  <r>
    <s v="O110848"/>
    <x v="267"/>
    <x v="10"/>
    <x v="5"/>
    <x v="0"/>
    <x v="0"/>
    <n v="6"/>
    <n v="804824"/>
    <d v="2026-10-22T00:00:00"/>
    <n v="10"/>
    <n v="22"/>
    <n v="2026"/>
    <x v="9"/>
    <s v="Q4"/>
    <x v="0"/>
  </r>
  <r>
    <s v="O101481"/>
    <x v="476"/>
    <x v="8"/>
    <x v="5"/>
    <x v="1"/>
    <x v="3"/>
    <n v="6"/>
    <n v="804641"/>
    <d v="2025-03-31T00:00:00"/>
    <n v="3"/>
    <n v="31"/>
    <n v="2025"/>
    <x v="5"/>
    <s v="Q1"/>
    <x v="1"/>
  </r>
  <r>
    <s v="O108790"/>
    <x v="146"/>
    <x v="2"/>
    <x v="2"/>
    <x v="2"/>
    <x v="1"/>
    <n v="3"/>
    <n v="804557"/>
    <d v="2026-06-18T00:00:00"/>
    <n v="6"/>
    <n v="18"/>
    <n v="2026"/>
    <x v="2"/>
    <s v="Q2"/>
    <x v="2"/>
  </r>
  <r>
    <s v="O101045"/>
    <x v="171"/>
    <x v="9"/>
    <x v="5"/>
    <x v="1"/>
    <x v="0"/>
    <n v="8"/>
    <n v="804351"/>
    <d v="2025-05-03T00:00:00"/>
    <n v="5"/>
    <n v="3"/>
    <n v="2025"/>
    <x v="3"/>
    <s v="Q2"/>
    <x v="1"/>
  </r>
  <r>
    <s v="O105445"/>
    <x v="104"/>
    <x v="6"/>
    <x v="0"/>
    <x v="2"/>
    <x v="1"/>
    <n v="2"/>
    <n v="804224"/>
    <d v="2025-11-27T00:00:00"/>
    <n v="11"/>
    <n v="27"/>
    <n v="2025"/>
    <x v="0"/>
    <s v="Q4"/>
    <x v="2"/>
  </r>
  <r>
    <s v="O107838"/>
    <x v="580"/>
    <x v="1"/>
    <x v="4"/>
    <x v="1"/>
    <x v="0"/>
    <n v="5"/>
    <n v="804172"/>
    <d v="2026-04-22T00:00:00"/>
    <n v="4"/>
    <n v="22"/>
    <n v="2026"/>
    <x v="11"/>
    <s v="Q2"/>
    <x v="1"/>
  </r>
  <r>
    <s v="O103775"/>
    <x v="698"/>
    <x v="5"/>
    <x v="2"/>
    <x v="3"/>
    <x v="3"/>
    <n v="3"/>
    <n v="803717"/>
    <d v="2025-08-18T00:00:00"/>
    <n v="8"/>
    <n v="18"/>
    <n v="2025"/>
    <x v="8"/>
    <s v="Q3"/>
    <x v="3"/>
  </r>
  <r>
    <s v="O111170"/>
    <x v="673"/>
    <x v="0"/>
    <x v="0"/>
    <x v="0"/>
    <x v="0"/>
    <n v="2"/>
    <n v="803648"/>
    <d v="2026-10-11T00:00:00"/>
    <n v="10"/>
    <n v="11"/>
    <n v="2026"/>
    <x v="9"/>
    <s v="Q4"/>
    <x v="0"/>
  </r>
  <r>
    <s v="O109331"/>
    <x v="660"/>
    <x v="1"/>
    <x v="4"/>
    <x v="3"/>
    <x v="3"/>
    <n v="5"/>
    <n v="803520"/>
    <d v="2026-07-21T00:00:00"/>
    <n v="7"/>
    <n v="21"/>
    <n v="2026"/>
    <x v="10"/>
    <m/>
    <x v="3"/>
  </r>
  <r>
    <s v="O101871"/>
    <x v="713"/>
    <x v="9"/>
    <x v="5"/>
    <x v="1"/>
    <x v="3"/>
    <n v="6"/>
    <n v="803491"/>
    <d v="2025-04-24T00:00:00"/>
    <n v="4"/>
    <n v="24"/>
    <n v="2025"/>
    <x v="11"/>
    <s v="Q2"/>
    <x v="1"/>
  </r>
  <r>
    <s v="O102951"/>
    <x v="105"/>
    <x v="1"/>
    <x v="5"/>
    <x v="3"/>
    <x v="1"/>
    <n v="6"/>
    <n v="803407"/>
    <d v="2025-06-29T00:00:00"/>
    <n v="6"/>
    <n v="29"/>
    <n v="2025"/>
    <x v="2"/>
    <s v="Q2"/>
    <x v="3"/>
  </r>
  <r>
    <s v="O108532"/>
    <x v="248"/>
    <x v="8"/>
    <x v="0"/>
    <x v="4"/>
    <x v="2"/>
    <n v="2"/>
    <n v="803263"/>
    <d v="2026-03-06T00:00:00"/>
    <n v="3"/>
    <n v="6"/>
    <n v="2026"/>
    <x v="5"/>
    <s v="Q1"/>
    <x v="4"/>
  </r>
  <r>
    <s v="O106432"/>
    <x v="421"/>
    <x v="8"/>
    <x v="3"/>
    <x v="4"/>
    <x v="3"/>
    <n v="3"/>
    <n v="803235"/>
    <d v="2026-01-26T00:00:00"/>
    <n v="1"/>
    <n v="26"/>
    <n v="2026"/>
    <x v="6"/>
    <s v="Q1"/>
    <x v="4"/>
  </r>
  <r>
    <s v="O103173"/>
    <x v="459"/>
    <x v="4"/>
    <x v="0"/>
    <x v="2"/>
    <x v="0"/>
    <n v="2"/>
    <n v="803042"/>
    <d v="2025-12-07T00:00:00"/>
    <n v="12"/>
    <n v="7"/>
    <n v="2025"/>
    <x v="7"/>
    <s v="Q4"/>
    <x v="2"/>
  </r>
  <r>
    <s v="O102789"/>
    <x v="458"/>
    <x v="0"/>
    <x v="3"/>
    <x v="0"/>
    <x v="2"/>
    <n v="3"/>
    <n v="802843"/>
    <d v="2025-06-19T00:00:00"/>
    <n v="6"/>
    <n v="19"/>
    <n v="2025"/>
    <x v="2"/>
    <s v="Q2"/>
    <x v="0"/>
  </r>
  <r>
    <s v="O105535"/>
    <x v="201"/>
    <x v="6"/>
    <x v="0"/>
    <x v="4"/>
    <x v="0"/>
    <n v="2"/>
    <n v="802779"/>
    <d v="2025-03-12T00:00:00"/>
    <n v="3"/>
    <n v="12"/>
    <n v="2025"/>
    <x v="5"/>
    <s v="Q1"/>
    <x v="4"/>
  </r>
  <r>
    <s v="O108032"/>
    <x v="53"/>
    <x v="8"/>
    <x v="2"/>
    <x v="1"/>
    <x v="2"/>
    <n v="3"/>
    <n v="802717"/>
    <d v="2026-03-05T00:00:00"/>
    <n v="3"/>
    <n v="5"/>
    <n v="2026"/>
    <x v="5"/>
    <s v="Q1"/>
    <x v="1"/>
  </r>
  <r>
    <s v="O108402"/>
    <x v="108"/>
    <x v="3"/>
    <x v="3"/>
    <x v="2"/>
    <x v="1"/>
    <n v="3"/>
    <n v="802693"/>
    <d v="2026-05-26T00:00:00"/>
    <n v="5"/>
    <n v="26"/>
    <n v="2026"/>
    <x v="3"/>
    <s v="Q2"/>
    <x v="2"/>
  </r>
  <r>
    <s v="O108090"/>
    <x v="586"/>
    <x v="6"/>
    <x v="5"/>
    <x v="1"/>
    <x v="0"/>
    <n v="8"/>
    <n v="802649"/>
    <d v="2026-07-05T00:00:00"/>
    <n v="7"/>
    <n v="5"/>
    <n v="2026"/>
    <x v="10"/>
    <s v="Q3"/>
    <x v="1"/>
  </r>
  <r>
    <s v="O107723"/>
    <x v="187"/>
    <x v="3"/>
    <x v="0"/>
    <x v="0"/>
    <x v="1"/>
    <n v="2"/>
    <n v="802418"/>
    <d v="2026-04-15T00:00:00"/>
    <n v="4"/>
    <n v="15"/>
    <n v="2026"/>
    <x v="11"/>
    <s v="Q2"/>
    <x v="0"/>
  </r>
  <r>
    <s v="O102233"/>
    <x v="771"/>
    <x v="8"/>
    <x v="5"/>
    <x v="1"/>
    <x v="3"/>
    <n v="8"/>
    <n v="802369"/>
    <d v="2025-05-16T00:00:00"/>
    <n v="5"/>
    <n v="16"/>
    <n v="2025"/>
    <x v="3"/>
    <s v="Q2"/>
    <x v="1"/>
  </r>
  <r>
    <s v="O104288"/>
    <x v="467"/>
    <x v="4"/>
    <x v="2"/>
    <x v="0"/>
    <x v="1"/>
    <n v="3"/>
    <n v="802305"/>
    <d v="2025-09-18T00:00:00"/>
    <n v="9"/>
    <n v="18"/>
    <n v="2025"/>
    <x v="1"/>
    <m/>
    <x v="0"/>
  </r>
  <r>
    <s v="O105573"/>
    <x v="43"/>
    <x v="4"/>
    <x v="5"/>
    <x v="1"/>
    <x v="1"/>
    <n v="8"/>
    <n v="802238"/>
    <d v="2025-05-12T00:00:00"/>
    <n v="5"/>
    <n v="12"/>
    <n v="2025"/>
    <x v="3"/>
    <s v="Q2"/>
    <x v="1"/>
  </r>
  <r>
    <s v="O104435"/>
    <x v="536"/>
    <x v="3"/>
    <x v="0"/>
    <x v="4"/>
    <x v="0"/>
    <n v="2"/>
    <n v="802162"/>
    <d v="2025-09-27T00:00:00"/>
    <n v="9"/>
    <n v="27"/>
    <n v="2025"/>
    <x v="1"/>
    <s v="Q3"/>
    <x v="4"/>
  </r>
  <r>
    <s v="O102580"/>
    <x v="426"/>
    <x v="1"/>
    <x v="2"/>
    <x v="3"/>
    <x v="1"/>
    <n v="3"/>
    <n v="801721"/>
    <d v="2025-06-06T00:00:00"/>
    <n v="6"/>
    <n v="6"/>
    <n v="2025"/>
    <x v="2"/>
    <s v="Q2"/>
    <x v="3"/>
  </r>
  <r>
    <s v="O108792"/>
    <x v="504"/>
    <x v="1"/>
    <x v="0"/>
    <x v="2"/>
    <x v="3"/>
    <n v="2"/>
    <n v="801315"/>
    <d v="2026-06-19T00:00:00"/>
    <n v="6"/>
    <n v="19"/>
    <n v="2026"/>
    <x v="2"/>
    <s v="Q2"/>
    <x v="2"/>
  </r>
  <r>
    <s v="O103752"/>
    <x v="276"/>
    <x v="0"/>
    <x v="5"/>
    <x v="1"/>
    <x v="3"/>
    <n v="8"/>
    <n v="801023"/>
    <d v="2025-08-16T00:00:00"/>
    <n v="8"/>
    <n v="16"/>
    <n v="2025"/>
    <x v="8"/>
    <s v="Q3"/>
    <x v="1"/>
  </r>
  <r>
    <s v="O110933"/>
    <x v="238"/>
    <x v="5"/>
    <x v="0"/>
    <x v="1"/>
    <x v="2"/>
    <n v="2"/>
    <n v="800879"/>
    <d v="2026-10-27T00:00:00"/>
    <n v="10"/>
    <n v="27"/>
    <n v="2026"/>
    <x v="9"/>
    <s v="Q4"/>
    <x v="1"/>
  </r>
  <r>
    <s v="O103239"/>
    <x v="593"/>
    <x v="8"/>
    <x v="2"/>
    <x v="0"/>
    <x v="3"/>
    <n v="3"/>
    <n v="800589"/>
    <d v="2025-07-16T00:00:00"/>
    <n v="7"/>
    <n v="16"/>
    <n v="2025"/>
    <x v="10"/>
    <s v="Q3"/>
    <x v="0"/>
  </r>
  <r>
    <s v="O103783"/>
    <x v="145"/>
    <x v="2"/>
    <x v="0"/>
    <x v="1"/>
    <x v="1"/>
    <n v="2"/>
    <n v="799919"/>
    <d v="2025-08-18T00:00:00"/>
    <n v="8"/>
    <n v="18"/>
    <n v="2025"/>
    <x v="8"/>
    <m/>
    <x v="1"/>
  </r>
  <r>
    <s v="O108049"/>
    <x v="555"/>
    <x v="6"/>
    <x v="5"/>
    <x v="4"/>
    <x v="1"/>
    <n v="6"/>
    <n v="799748"/>
    <d v="2026-04-05T00:00:00"/>
    <n v="4"/>
    <n v="5"/>
    <n v="2026"/>
    <x v="11"/>
    <s v="Q2"/>
    <x v="4"/>
  </r>
  <r>
    <s v="O105087"/>
    <x v="700"/>
    <x v="1"/>
    <x v="4"/>
    <x v="1"/>
    <x v="3"/>
    <n v="4"/>
    <n v="799297"/>
    <d v="2025-06-11T00:00:00"/>
    <n v="6"/>
    <n v="11"/>
    <n v="2025"/>
    <x v="2"/>
    <s v="Q2"/>
    <x v="1"/>
  </r>
  <r>
    <s v="O105260"/>
    <x v="666"/>
    <x v="6"/>
    <x v="5"/>
    <x v="1"/>
    <x v="1"/>
    <n v="7"/>
    <n v="799110"/>
    <d v="2025-11-16T00:00:00"/>
    <n v="11"/>
    <n v="16"/>
    <n v="2025"/>
    <x v="0"/>
    <m/>
    <x v="1"/>
  </r>
  <r>
    <s v="O100569"/>
    <x v="578"/>
    <x v="4"/>
    <x v="5"/>
    <x v="0"/>
    <x v="2"/>
    <n v="6"/>
    <n v="798825"/>
    <d v="2025-04-02T00:00:00"/>
    <n v="4"/>
    <n v="2"/>
    <n v="2025"/>
    <x v="11"/>
    <s v="Q2"/>
    <x v="0"/>
  </r>
  <r>
    <s v="O103614"/>
    <x v="64"/>
    <x v="6"/>
    <x v="4"/>
    <x v="1"/>
    <x v="2"/>
    <n v="4"/>
    <n v="798459"/>
    <d v="2025-08-08T00:00:00"/>
    <n v="8"/>
    <n v="8"/>
    <n v="2025"/>
    <x v="8"/>
    <s v="Q3"/>
    <x v="1"/>
  </r>
  <r>
    <s v="O101565"/>
    <x v="553"/>
    <x v="4"/>
    <x v="5"/>
    <x v="3"/>
    <x v="1"/>
    <n v="8"/>
    <n v="798202"/>
    <d v="2025-06-04T00:00:00"/>
    <n v="6"/>
    <n v="4"/>
    <n v="2025"/>
    <x v="2"/>
    <s v="Q2"/>
    <x v="3"/>
  </r>
  <r>
    <s v="O108847"/>
    <x v="484"/>
    <x v="8"/>
    <x v="3"/>
    <x v="0"/>
    <x v="0"/>
    <n v="4"/>
    <n v="797873"/>
    <d v="2026-06-22T00:00:00"/>
    <n v="6"/>
    <n v="22"/>
    <n v="2026"/>
    <x v="2"/>
    <s v="Q2"/>
    <x v="0"/>
  </r>
  <r>
    <s v="O104727"/>
    <x v="619"/>
    <x v="5"/>
    <x v="3"/>
    <x v="2"/>
    <x v="1"/>
    <n v="3"/>
    <n v="797322"/>
    <d v="2025-10-15T00:00:00"/>
    <n v="10"/>
    <n v="15"/>
    <n v="2025"/>
    <x v="9"/>
    <s v="Q4"/>
    <x v="2"/>
  </r>
  <r>
    <s v="O109158"/>
    <x v="285"/>
    <x v="1"/>
    <x v="2"/>
    <x v="2"/>
    <x v="1"/>
    <n v="3"/>
    <n v="797139"/>
    <d v="2026-11-07T00:00:00"/>
    <n v="11"/>
    <n v="7"/>
    <n v="2026"/>
    <x v="0"/>
    <s v="Q4"/>
    <x v="2"/>
  </r>
  <r>
    <s v="O106193"/>
    <x v="775"/>
    <x v="3"/>
    <x v="4"/>
    <x v="3"/>
    <x v="1"/>
    <n v="5"/>
    <n v="795076"/>
    <d v="2026-12-01T00:00:00"/>
    <n v="12"/>
    <n v="1"/>
    <n v="2026"/>
    <x v="7"/>
    <s v="Q4"/>
    <x v="3"/>
  </r>
  <r>
    <s v="O102091"/>
    <x v="415"/>
    <x v="10"/>
    <x v="4"/>
    <x v="3"/>
    <x v="1"/>
    <n v="4"/>
    <n v="794261"/>
    <d v="2025-07-05T00:00:00"/>
    <n v="7"/>
    <n v="5"/>
    <n v="2025"/>
    <x v="10"/>
    <s v="Q3"/>
    <x v="3"/>
  </r>
  <r>
    <s v="O106532"/>
    <x v="221"/>
    <x v="8"/>
    <x v="5"/>
    <x v="1"/>
    <x v="3"/>
    <n v="6"/>
    <n v="793926"/>
    <d v="2026-01-02T00:00:00"/>
    <n v="1"/>
    <n v="2"/>
    <n v="2026"/>
    <x v="6"/>
    <s v="Q1"/>
    <x v="1"/>
  </r>
  <r>
    <s v="O107634"/>
    <x v="252"/>
    <x v="2"/>
    <x v="3"/>
    <x v="1"/>
    <x v="0"/>
    <n v="3"/>
    <n v="793284"/>
    <d v="2026-09-04T00:00:00"/>
    <n v="9"/>
    <n v="4"/>
    <n v="2026"/>
    <x v="1"/>
    <s v="Q3"/>
    <x v="1"/>
  </r>
  <r>
    <s v="O105427"/>
    <x v="650"/>
    <x v="2"/>
    <x v="3"/>
    <x v="2"/>
    <x v="0"/>
    <n v="4"/>
    <n v="793224"/>
    <d v="2025-11-26T00:00:00"/>
    <n v="11"/>
    <n v="26"/>
    <n v="2025"/>
    <x v="0"/>
    <s v="Q4"/>
    <x v="2"/>
  </r>
  <r>
    <s v="O107506"/>
    <x v="434"/>
    <x v="5"/>
    <x v="3"/>
    <x v="2"/>
    <x v="1"/>
    <n v="4"/>
    <n v="792993"/>
    <d v="2026-01-04T00:00:00"/>
    <n v="1"/>
    <n v="4"/>
    <n v="2026"/>
    <x v="6"/>
    <s v="Q1"/>
    <x v="2"/>
  </r>
  <r>
    <s v="O101642"/>
    <x v="428"/>
    <x v="8"/>
    <x v="5"/>
    <x v="0"/>
    <x v="3"/>
    <n v="6"/>
    <n v="792691"/>
    <d v="2025-10-04T00:00:00"/>
    <n v="10"/>
    <n v="4"/>
    <n v="2025"/>
    <x v="9"/>
    <s v="Q4"/>
    <x v="0"/>
  </r>
  <r>
    <s v="O109105"/>
    <x v="129"/>
    <x v="4"/>
    <x v="0"/>
    <x v="0"/>
    <x v="1"/>
    <n v="2"/>
    <n v="792617"/>
    <d v="2026-08-07T00:00:00"/>
    <n v="8"/>
    <n v="7"/>
    <n v="2026"/>
    <x v="8"/>
    <s v="Q3"/>
    <x v="0"/>
  </r>
  <r>
    <s v="O104268"/>
    <x v="307"/>
    <x v="10"/>
    <x v="0"/>
    <x v="1"/>
    <x v="2"/>
    <n v="2"/>
    <n v="792224"/>
    <d v="2025-09-17T00:00:00"/>
    <n v="9"/>
    <n v="17"/>
    <n v="2025"/>
    <x v="1"/>
    <s v="Q3"/>
    <x v="1"/>
  </r>
  <r>
    <s v="O100089"/>
    <x v="661"/>
    <x v="8"/>
    <x v="5"/>
    <x v="2"/>
    <x v="1"/>
    <n v="7"/>
    <n v="792158"/>
    <d v="2025-06-01T00:00:00"/>
    <n v="6"/>
    <n v="1"/>
    <n v="2025"/>
    <x v="2"/>
    <s v="Q2"/>
    <x v="2"/>
  </r>
  <r>
    <s v="O102952"/>
    <x v="395"/>
    <x v="0"/>
    <x v="4"/>
    <x v="4"/>
    <x v="1"/>
    <n v="4"/>
    <n v="791471"/>
    <d v="2025-06-29T00:00:00"/>
    <n v="6"/>
    <n v="29"/>
    <n v="2025"/>
    <x v="2"/>
    <s v="Q2"/>
    <x v="4"/>
  </r>
  <r>
    <s v="O106599"/>
    <x v="672"/>
    <x v="3"/>
    <x v="3"/>
    <x v="2"/>
    <x v="2"/>
    <n v="4"/>
    <n v="791466"/>
    <d v="2026-05-02T00:00:00"/>
    <n v="5"/>
    <n v="2"/>
    <n v="2026"/>
    <x v="3"/>
    <s v="Q2"/>
    <x v="2"/>
  </r>
  <r>
    <s v="O104638"/>
    <x v="618"/>
    <x v="9"/>
    <x v="2"/>
    <x v="3"/>
    <x v="3"/>
    <n v="3"/>
    <n v="791264"/>
    <d v="2025-09-10T00:00:00"/>
    <n v="9"/>
    <n v="10"/>
    <n v="2025"/>
    <x v="1"/>
    <s v="Q3"/>
    <x v="3"/>
  </r>
  <r>
    <s v="O109868"/>
    <x v="787"/>
    <x v="4"/>
    <x v="0"/>
    <x v="1"/>
    <x v="0"/>
    <n v="2"/>
    <n v="790465"/>
    <d v="2026-08-23T00:00:00"/>
    <n v="8"/>
    <n v="23"/>
    <n v="2026"/>
    <x v="8"/>
    <s v="Q3"/>
    <x v="1"/>
  </r>
  <r>
    <s v="O111611"/>
    <x v="117"/>
    <x v="9"/>
    <x v="5"/>
    <x v="0"/>
    <x v="0"/>
    <n v="6"/>
    <n v="790263"/>
    <d v="2026-07-12T00:00:00"/>
    <n v="7"/>
    <n v="12"/>
    <n v="2026"/>
    <x v="10"/>
    <s v="Q3"/>
    <x v="0"/>
  </r>
  <r>
    <s v="O104301"/>
    <x v="100"/>
    <x v="8"/>
    <x v="0"/>
    <x v="2"/>
    <x v="1"/>
    <n v="2"/>
    <n v="790011"/>
    <d v="2025-09-19T00:00:00"/>
    <n v="9"/>
    <n v="19"/>
    <n v="2025"/>
    <x v="1"/>
    <s v="Q3"/>
    <x v="2"/>
  </r>
  <r>
    <s v="O106222"/>
    <x v="345"/>
    <x v="9"/>
    <x v="4"/>
    <x v="4"/>
    <x v="2"/>
    <n v="4"/>
    <n v="789853"/>
    <d v="2026-01-13T00:00:00"/>
    <n v="1"/>
    <n v="13"/>
    <n v="2026"/>
    <x v="6"/>
    <s v="Q1"/>
    <x v="4"/>
  </r>
  <r>
    <s v="O104603"/>
    <x v="121"/>
    <x v="2"/>
    <x v="5"/>
    <x v="0"/>
    <x v="3"/>
    <n v="7"/>
    <n v="789405"/>
    <d v="2025-07-10T00:00:00"/>
    <n v="7"/>
    <n v="10"/>
    <n v="2025"/>
    <x v="10"/>
    <s v="Q3"/>
    <x v="0"/>
  </r>
  <r>
    <s v="O104120"/>
    <x v="113"/>
    <x v="4"/>
    <x v="4"/>
    <x v="3"/>
    <x v="2"/>
    <n v="4"/>
    <n v="789197"/>
    <d v="2025-08-09T00:00:00"/>
    <n v="8"/>
    <n v="9"/>
    <n v="2025"/>
    <x v="8"/>
    <s v="Q3"/>
    <x v="3"/>
  </r>
  <r>
    <s v="O100400"/>
    <x v="355"/>
    <x v="6"/>
    <x v="4"/>
    <x v="3"/>
    <x v="0"/>
    <n v="4"/>
    <n v="789015"/>
    <d v="2025-01-25T00:00:00"/>
    <n v="1"/>
    <n v="25"/>
    <n v="2025"/>
    <x v="6"/>
    <s v="Q1"/>
    <x v="3"/>
  </r>
  <r>
    <s v="O102120"/>
    <x v="671"/>
    <x v="10"/>
    <x v="5"/>
    <x v="4"/>
    <x v="0"/>
    <n v="8"/>
    <n v="788831"/>
    <d v="2025-09-05T00:00:00"/>
    <n v="9"/>
    <n v="5"/>
    <n v="2025"/>
    <x v="1"/>
    <s v="Q3"/>
    <x v="4"/>
  </r>
  <r>
    <s v="O103642"/>
    <x v="266"/>
    <x v="6"/>
    <x v="5"/>
    <x v="2"/>
    <x v="1"/>
    <n v="6"/>
    <n v="788499"/>
    <d v="2025-10-08T00:00:00"/>
    <n v="10"/>
    <n v="8"/>
    <n v="2025"/>
    <x v="9"/>
    <s v="Q4"/>
    <x v="2"/>
  </r>
  <r>
    <s v="O108162"/>
    <x v="458"/>
    <x v="2"/>
    <x v="0"/>
    <x v="0"/>
    <x v="0"/>
    <n v="2"/>
    <n v="788304"/>
    <d v="2026-11-05T00:00:00"/>
    <n v="11"/>
    <n v="5"/>
    <n v="2026"/>
    <x v="0"/>
    <s v="Q4"/>
    <x v="0"/>
  </r>
  <r>
    <s v="O109926"/>
    <x v="307"/>
    <x v="2"/>
    <x v="0"/>
    <x v="2"/>
    <x v="1"/>
    <n v="2"/>
    <n v="788020"/>
    <d v="2026-08-26T00:00:00"/>
    <n v="8"/>
    <n v="26"/>
    <n v="2026"/>
    <x v="8"/>
    <s v="Q3"/>
    <x v="2"/>
  </r>
  <r>
    <s v="O107349"/>
    <x v="568"/>
    <x v="2"/>
    <x v="4"/>
    <x v="3"/>
    <x v="2"/>
    <n v="4"/>
    <n v="787635"/>
    <d v="2026-03-23T00:00:00"/>
    <n v="3"/>
    <n v="23"/>
    <n v="2026"/>
    <x v="5"/>
    <s v="Q1"/>
    <x v="3"/>
  </r>
  <r>
    <s v="O110647"/>
    <x v="608"/>
    <x v="8"/>
    <x v="5"/>
    <x v="4"/>
    <x v="3"/>
    <n v="7"/>
    <n v="787608"/>
    <d v="2026-09-10T00:00:00"/>
    <n v="9"/>
    <n v="10"/>
    <n v="2026"/>
    <x v="1"/>
    <s v="Q3"/>
    <x v="4"/>
  </r>
  <r>
    <s v="O105152"/>
    <x v="470"/>
    <x v="9"/>
    <x v="0"/>
    <x v="1"/>
    <x v="3"/>
    <n v="2"/>
    <n v="787170"/>
    <d v="2025-09-11T00:00:00"/>
    <n v="9"/>
    <n v="11"/>
    <n v="2025"/>
    <x v="1"/>
    <s v="Q3"/>
    <x v="1"/>
  </r>
  <r>
    <s v="O107514"/>
    <x v="288"/>
    <x v="2"/>
    <x v="0"/>
    <x v="3"/>
    <x v="0"/>
    <n v="2"/>
    <n v="786979"/>
    <d v="2026-02-04T00:00:00"/>
    <n v="2"/>
    <n v="4"/>
    <n v="2026"/>
    <x v="4"/>
    <s v="Q1"/>
    <x v="3"/>
  </r>
  <r>
    <s v="O104309"/>
    <x v="592"/>
    <x v="2"/>
    <x v="5"/>
    <x v="4"/>
    <x v="2"/>
    <n v="8"/>
    <n v="786815"/>
    <d v="2025-09-19T00:00:00"/>
    <n v="9"/>
    <n v="19"/>
    <n v="2025"/>
    <x v="1"/>
    <s v="Q3"/>
    <x v="4"/>
  </r>
  <r>
    <s v="O108168"/>
    <x v="780"/>
    <x v="4"/>
    <x v="2"/>
    <x v="2"/>
    <x v="1"/>
    <n v="3"/>
    <n v="786594"/>
    <d v="2026-12-05T00:00:00"/>
    <n v="12"/>
    <n v="5"/>
    <n v="2026"/>
    <x v="7"/>
    <s v="Q4"/>
    <x v="2"/>
  </r>
  <r>
    <s v="O107263"/>
    <x v="183"/>
    <x v="5"/>
    <x v="2"/>
    <x v="0"/>
    <x v="2"/>
    <n v="3"/>
    <n v="786388"/>
    <d v="2026-03-18T00:00:00"/>
    <n v="3"/>
    <n v="18"/>
    <n v="2026"/>
    <x v="5"/>
    <s v="Q1"/>
    <x v="0"/>
  </r>
  <r>
    <s v="O102979"/>
    <x v="452"/>
    <x v="6"/>
    <x v="4"/>
    <x v="2"/>
    <x v="3"/>
    <n v="5"/>
    <n v="785657"/>
    <d v="2025-06-30T00:00:00"/>
    <n v="6"/>
    <n v="30"/>
    <n v="2025"/>
    <x v="2"/>
    <s v="Q2"/>
    <x v="2"/>
  </r>
  <r>
    <s v="O106758"/>
    <x v="651"/>
    <x v="4"/>
    <x v="2"/>
    <x v="0"/>
    <x v="3"/>
    <n v="3"/>
    <n v="784765"/>
    <d v="2026-02-15T00:00:00"/>
    <n v="2"/>
    <n v="15"/>
    <n v="2026"/>
    <x v="4"/>
    <s v="Q1"/>
    <x v="0"/>
  </r>
  <r>
    <s v="O108764"/>
    <x v="137"/>
    <x v="4"/>
    <x v="5"/>
    <x v="0"/>
    <x v="0"/>
    <n v="6"/>
    <n v="784536"/>
    <d v="2026-06-17T00:00:00"/>
    <n v="6"/>
    <n v="17"/>
    <n v="2026"/>
    <x v="2"/>
    <s v="Q2"/>
    <x v="0"/>
  </r>
  <r>
    <s v="O100360"/>
    <x v="208"/>
    <x v="3"/>
    <x v="2"/>
    <x v="3"/>
    <x v="3"/>
    <n v="3"/>
    <n v="784457"/>
    <d v="2025-01-22T00:00:00"/>
    <n v="1"/>
    <n v="22"/>
    <n v="2025"/>
    <x v="6"/>
    <s v="Q1"/>
    <x v="3"/>
  </r>
  <r>
    <s v="O103990"/>
    <x v="649"/>
    <x v="8"/>
    <x v="5"/>
    <x v="0"/>
    <x v="2"/>
    <n v="7"/>
    <n v="784393"/>
    <d v="2025-08-31T00:00:00"/>
    <n v="8"/>
    <n v="31"/>
    <n v="2025"/>
    <x v="8"/>
    <s v="Q3"/>
    <x v="0"/>
  </r>
  <r>
    <s v="O106699"/>
    <x v="416"/>
    <x v="8"/>
    <x v="4"/>
    <x v="2"/>
    <x v="1"/>
    <n v="4"/>
    <n v="782714"/>
    <d v="2026-11-02T00:00:00"/>
    <n v="11"/>
    <n v="2"/>
    <n v="2026"/>
    <x v="0"/>
    <s v="Q4"/>
    <x v="2"/>
  </r>
  <r>
    <s v="O109754"/>
    <x v="105"/>
    <x v="5"/>
    <x v="4"/>
    <x v="3"/>
    <x v="0"/>
    <n v="4"/>
    <n v="782574"/>
    <d v="2026-08-16T00:00:00"/>
    <n v="8"/>
    <n v="16"/>
    <n v="2026"/>
    <x v="8"/>
    <s v="Q3"/>
    <x v="3"/>
  </r>
  <r>
    <s v="O106221"/>
    <x v="712"/>
    <x v="5"/>
    <x v="4"/>
    <x v="1"/>
    <x v="0"/>
    <n v="4"/>
    <n v="782184"/>
    <d v="2026-01-13T00:00:00"/>
    <n v="1"/>
    <n v="13"/>
    <n v="2026"/>
    <x v="6"/>
    <s v="Q1"/>
    <x v="1"/>
  </r>
  <r>
    <s v="O110151"/>
    <x v="323"/>
    <x v="6"/>
    <x v="5"/>
    <x v="2"/>
    <x v="1"/>
    <n v="7"/>
    <n v="780385"/>
    <d v="2026-09-09T00:00:00"/>
    <n v="9"/>
    <n v="9"/>
    <n v="2026"/>
    <x v="1"/>
    <s v="Q3"/>
    <x v="2"/>
  </r>
  <r>
    <s v="O101943"/>
    <x v="54"/>
    <x v="2"/>
    <x v="4"/>
    <x v="4"/>
    <x v="1"/>
    <n v="5"/>
    <n v="780240"/>
    <d v="2025-04-28T00:00:00"/>
    <n v="4"/>
    <n v="28"/>
    <n v="2025"/>
    <x v="11"/>
    <s v="Q2"/>
    <x v="4"/>
  </r>
  <r>
    <s v="O108378"/>
    <x v="197"/>
    <x v="4"/>
    <x v="0"/>
    <x v="1"/>
    <x v="0"/>
    <n v="2"/>
    <n v="780200"/>
    <d v="2026-05-24T00:00:00"/>
    <n v="5"/>
    <n v="24"/>
    <n v="2026"/>
    <x v="3"/>
    <s v="Q2"/>
    <x v="1"/>
  </r>
  <r>
    <s v="O107097"/>
    <x v="15"/>
    <x v="0"/>
    <x v="5"/>
    <x v="1"/>
    <x v="2"/>
    <n v="7"/>
    <n v="780127"/>
    <d v="2026-08-03T00:00:00"/>
    <n v="8"/>
    <n v="3"/>
    <n v="2026"/>
    <x v="8"/>
    <s v="Q3"/>
    <x v="1"/>
  </r>
  <r>
    <s v="O108101"/>
    <x v="169"/>
    <x v="5"/>
    <x v="5"/>
    <x v="0"/>
    <x v="0"/>
    <n v="7"/>
    <n v="779920"/>
    <d v="2026-08-05T00:00:00"/>
    <n v="8"/>
    <n v="5"/>
    <n v="2026"/>
    <x v="8"/>
    <m/>
    <x v="0"/>
  </r>
  <r>
    <s v="O100335"/>
    <x v="500"/>
    <x v="2"/>
    <x v="0"/>
    <x v="3"/>
    <x v="1"/>
    <n v="2"/>
    <n v="778987"/>
    <d v="2025-01-21T00:00:00"/>
    <n v="1"/>
    <n v="21"/>
    <n v="2025"/>
    <x v="6"/>
    <s v="Q1"/>
    <x v="3"/>
  </r>
  <r>
    <s v="O104238"/>
    <x v="7"/>
    <x v="10"/>
    <x v="4"/>
    <x v="3"/>
    <x v="3"/>
    <n v="5"/>
    <n v="778721"/>
    <d v="2025-09-15T00:00:00"/>
    <n v="9"/>
    <n v="15"/>
    <n v="2025"/>
    <x v="1"/>
    <s v="Q3"/>
    <x v="3"/>
  </r>
  <r>
    <s v="O101816"/>
    <x v="184"/>
    <x v="1"/>
    <x v="3"/>
    <x v="1"/>
    <x v="1"/>
    <n v="3"/>
    <n v="778162"/>
    <d v="2025-04-21T00:00:00"/>
    <n v="4"/>
    <n v="21"/>
    <n v="2025"/>
    <x v="11"/>
    <s v="Q2"/>
    <x v="1"/>
  </r>
  <r>
    <s v="O109775"/>
    <x v="366"/>
    <x v="0"/>
    <x v="4"/>
    <x v="3"/>
    <x v="2"/>
    <n v="4"/>
    <n v="777955"/>
    <d v="2026-08-17T00:00:00"/>
    <n v="8"/>
    <n v="17"/>
    <n v="2026"/>
    <x v="8"/>
    <s v="Q3"/>
    <x v="3"/>
  </r>
  <r>
    <s v="O100309"/>
    <x v="31"/>
    <x v="10"/>
    <x v="4"/>
    <x v="4"/>
    <x v="3"/>
    <n v="4"/>
    <n v="777819"/>
    <d v="2025-01-19T00:00:00"/>
    <n v="1"/>
    <n v="19"/>
    <n v="2025"/>
    <x v="6"/>
    <s v="Q1"/>
    <x v="4"/>
  </r>
  <r>
    <s v="O111315"/>
    <x v="549"/>
    <x v="0"/>
    <x v="3"/>
    <x v="4"/>
    <x v="1"/>
    <n v="4"/>
    <n v="777714"/>
    <d v="2026-11-19T00:00:00"/>
    <n v="11"/>
    <n v="19"/>
    <n v="2026"/>
    <x v="0"/>
    <s v="Q4"/>
    <x v="4"/>
  </r>
  <r>
    <s v="O111907"/>
    <x v="445"/>
    <x v="3"/>
    <x v="4"/>
    <x v="4"/>
    <x v="3"/>
    <n v="5"/>
    <n v="777395"/>
    <d v="2026-12-25T00:00:00"/>
    <n v="12"/>
    <n v="25"/>
    <n v="2026"/>
    <x v="7"/>
    <s v="Q4"/>
    <x v="4"/>
  </r>
  <r>
    <s v="O103737"/>
    <x v="794"/>
    <x v="1"/>
    <x v="2"/>
    <x v="2"/>
    <x v="0"/>
    <n v="3"/>
    <n v="777109"/>
    <d v="2025-08-15T00:00:00"/>
    <n v="8"/>
    <n v="15"/>
    <n v="2025"/>
    <x v="8"/>
    <s v="Q3"/>
    <x v="2"/>
  </r>
  <r>
    <s v="O109500"/>
    <x v="384"/>
    <x v="7"/>
    <x v="0"/>
    <x v="3"/>
    <x v="0"/>
    <n v="-2"/>
    <n v="777053"/>
    <d v="2026-01-08T00:00:00"/>
    <n v="1"/>
    <n v="8"/>
    <n v="2026"/>
    <x v="6"/>
    <s v="Q1"/>
    <x v="3"/>
  </r>
  <r>
    <s v="O104330"/>
    <x v="753"/>
    <x v="5"/>
    <x v="5"/>
    <x v="4"/>
    <x v="0"/>
    <n v="8"/>
    <n v="776979"/>
    <d v="2025-09-21T00:00:00"/>
    <n v="9"/>
    <n v="21"/>
    <n v="2025"/>
    <x v="1"/>
    <s v="Q3"/>
    <x v="4"/>
  </r>
  <r>
    <s v="O102443"/>
    <x v="325"/>
    <x v="9"/>
    <x v="4"/>
    <x v="3"/>
    <x v="1"/>
    <n v="4"/>
    <n v="776937"/>
    <d v="2025-05-29T00:00:00"/>
    <n v="5"/>
    <n v="29"/>
    <n v="2025"/>
    <x v="3"/>
    <s v="Q2"/>
    <x v="3"/>
  </r>
  <r>
    <s v="O101533"/>
    <x v="217"/>
    <x v="8"/>
    <x v="4"/>
    <x v="0"/>
    <x v="1"/>
    <n v="4"/>
    <n v="776865"/>
    <d v="2025-04-04T00:00:00"/>
    <n v="4"/>
    <n v="4"/>
    <n v="2025"/>
    <x v="11"/>
    <s v="Q2"/>
    <x v="0"/>
  </r>
  <r>
    <s v="O106757"/>
    <x v="280"/>
    <x v="10"/>
    <x v="5"/>
    <x v="2"/>
    <x v="1"/>
    <n v="7"/>
    <n v="776594"/>
    <d v="2026-02-15T00:00:00"/>
    <n v="2"/>
    <n v="15"/>
    <n v="2026"/>
    <x v="4"/>
    <s v="Q1"/>
    <x v="2"/>
  </r>
  <r>
    <s v="O106749"/>
    <x v="768"/>
    <x v="4"/>
    <x v="3"/>
    <x v="1"/>
    <x v="2"/>
    <n v="3"/>
    <n v="776593"/>
    <d v="2026-02-14T00:00:00"/>
    <n v="2"/>
    <n v="14"/>
    <n v="2026"/>
    <x v="4"/>
    <s v="Q1"/>
    <x v="1"/>
  </r>
  <r>
    <s v="O102678"/>
    <x v="80"/>
    <x v="5"/>
    <x v="0"/>
    <x v="2"/>
    <x v="1"/>
    <n v="2"/>
    <n v="776510"/>
    <d v="2025-12-06T00:00:00"/>
    <n v="12"/>
    <n v="6"/>
    <n v="2025"/>
    <x v="7"/>
    <s v="Q4"/>
    <x v="2"/>
  </r>
  <r>
    <s v="O109624"/>
    <x v="607"/>
    <x v="6"/>
    <x v="4"/>
    <x v="0"/>
    <x v="2"/>
    <n v="4"/>
    <n v="776409"/>
    <d v="2026-08-08T00:00:00"/>
    <n v="8"/>
    <n v="8"/>
    <n v="2026"/>
    <x v="8"/>
    <s v="Q3"/>
    <x v="0"/>
  </r>
  <r>
    <s v="O108911"/>
    <x v="467"/>
    <x v="9"/>
    <x v="4"/>
    <x v="2"/>
    <x v="2"/>
    <n v="4"/>
    <n v="776189"/>
    <d v="2026-06-26T00:00:00"/>
    <n v="6"/>
    <n v="26"/>
    <n v="2026"/>
    <x v="2"/>
    <m/>
    <x v="2"/>
  </r>
  <r>
    <s v="O102187"/>
    <x v="785"/>
    <x v="2"/>
    <x v="5"/>
    <x v="1"/>
    <x v="2"/>
    <n v="6"/>
    <n v="776139"/>
    <d v="2025-05-13T00:00:00"/>
    <n v="5"/>
    <n v="13"/>
    <n v="2025"/>
    <x v="3"/>
    <s v="Q2"/>
    <x v="1"/>
  </r>
  <r>
    <s v="O105146"/>
    <x v="464"/>
    <x v="10"/>
    <x v="5"/>
    <x v="0"/>
    <x v="1"/>
    <n v="8"/>
    <n v="775999"/>
    <d v="2025-09-11T00:00:00"/>
    <n v="9"/>
    <n v="11"/>
    <n v="2025"/>
    <x v="1"/>
    <s v="Q3"/>
    <x v="0"/>
  </r>
  <r>
    <s v="O103757"/>
    <x v="614"/>
    <x v="3"/>
    <x v="0"/>
    <x v="2"/>
    <x v="2"/>
    <n v="2"/>
    <n v="775951"/>
    <d v="2025-08-17T00:00:00"/>
    <n v="8"/>
    <n v="17"/>
    <n v="2025"/>
    <x v="8"/>
    <s v="Q3"/>
    <x v="2"/>
  </r>
  <r>
    <s v="O102682"/>
    <x v="535"/>
    <x v="1"/>
    <x v="5"/>
    <x v="3"/>
    <x v="1"/>
    <n v="7"/>
    <n v="775867"/>
    <d v="2025-12-06T00:00:00"/>
    <n v="12"/>
    <n v="6"/>
    <n v="2025"/>
    <x v="7"/>
    <s v="Q4"/>
    <x v="3"/>
  </r>
  <r>
    <s v="O103837"/>
    <x v="50"/>
    <x v="0"/>
    <x v="3"/>
    <x v="2"/>
    <x v="2"/>
    <n v="3"/>
    <n v="775314"/>
    <d v="2025-08-22T00:00:00"/>
    <n v="8"/>
    <n v="22"/>
    <n v="2025"/>
    <x v="8"/>
    <s v="Q3"/>
    <x v="2"/>
  </r>
  <r>
    <s v="O102444"/>
    <x v="696"/>
    <x v="4"/>
    <x v="5"/>
    <x v="1"/>
    <x v="0"/>
    <n v="6"/>
    <n v="775283"/>
    <d v="2025-05-29T00:00:00"/>
    <n v="5"/>
    <n v="29"/>
    <n v="2025"/>
    <x v="3"/>
    <s v="Q2"/>
    <x v="1"/>
  </r>
  <r>
    <s v="O111186"/>
    <x v="500"/>
    <x v="1"/>
    <x v="3"/>
    <x v="1"/>
    <x v="0"/>
    <n v="3"/>
    <n v="774843"/>
    <d v="2026-11-11T00:00:00"/>
    <n v="11"/>
    <n v="11"/>
    <n v="2026"/>
    <x v="0"/>
    <s v="Q4"/>
    <x v="1"/>
  </r>
  <r>
    <s v="O108739"/>
    <x v="269"/>
    <x v="1"/>
    <x v="0"/>
    <x v="3"/>
    <x v="0"/>
    <n v="2"/>
    <n v="774674"/>
    <d v="2026-06-15T00:00:00"/>
    <n v="6"/>
    <n v="15"/>
    <n v="2026"/>
    <x v="2"/>
    <s v="Q2"/>
    <x v="3"/>
  </r>
  <r>
    <s v="O103258"/>
    <x v="212"/>
    <x v="6"/>
    <x v="0"/>
    <x v="3"/>
    <x v="1"/>
    <n v="2"/>
    <n v="774607"/>
    <d v="2025-07-17T00:00:00"/>
    <n v="7"/>
    <n v="17"/>
    <n v="2025"/>
    <x v="10"/>
    <s v="Q3"/>
    <x v="3"/>
  </r>
  <r>
    <s v="O103177"/>
    <x v="294"/>
    <x v="5"/>
    <x v="2"/>
    <x v="1"/>
    <x v="1"/>
    <n v="3"/>
    <n v="773597"/>
    <d v="2025-12-07T00:00:00"/>
    <n v="12"/>
    <n v="7"/>
    <n v="2025"/>
    <x v="7"/>
    <s v="Q4"/>
    <x v="1"/>
  </r>
  <r>
    <s v="O107164"/>
    <x v="672"/>
    <x v="8"/>
    <x v="4"/>
    <x v="2"/>
    <x v="0"/>
    <n v="4"/>
    <n v="773569"/>
    <d v="2026-12-03T00:00:00"/>
    <n v="12"/>
    <n v="3"/>
    <n v="2026"/>
    <x v="7"/>
    <s v="Q4"/>
    <x v="2"/>
  </r>
  <r>
    <s v="O105284"/>
    <x v="42"/>
    <x v="9"/>
    <x v="5"/>
    <x v="2"/>
    <x v="3"/>
    <n v="8"/>
    <n v="773405"/>
    <d v="2025-11-17T00:00:00"/>
    <n v="11"/>
    <n v="17"/>
    <n v="2025"/>
    <x v="0"/>
    <s v="Q4"/>
    <x v="2"/>
  </r>
  <r>
    <s v="O107847"/>
    <x v="431"/>
    <x v="2"/>
    <x v="5"/>
    <x v="3"/>
    <x v="3"/>
    <n v="8"/>
    <n v="773151"/>
    <d v="2026-04-22T00:00:00"/>
    <n v="4"/>
    <n v="22"/>
    <n v="2026"/>
    <x v="11"/>
    <s v="Q2"/>
    <x v="3"/>
  </r>
  <r>
    <s v="O106909"/>
    <x v="538"/>
    <x v="0"/>
    <x v="5"/>
    <x v="1"/>
    <x v="0"/>
    <n v="8"/>
    <n v="772809"/>
    <d v="2026-02-24T00:00:00"/>
    <n v="2"/>
    <n v="24"/>
    <n v="2026"/>
    <x v="4"/>
    <m/>
    <x v="1"/>
  </r>
  <r>
    <s v="O106621"/>
    <x v="646"/>
    <x v="10"/>
    <x v="0"/>
    <x v="2"/>
    <x v="2"/>
    <n v="2"/>
    <n v="772322"/>
    <d v="2026-07-02T00:00:00"/>
    <n v="7"/>
    <n v="2"/>
    <n v="2026"/>
    <x v="10"/>
    <s v="Q3"/>
    <x v="2"/>
  </r>
  <r>
    <s v="O111044"/>
    <x v="160"/>
    <x v="9"/>
    <x v="4"/>
    <x v="0"/>
    <x v="1"/>
    <n v="5"/>
    <n v="772194"/>
    <d v="2026-02-11T00:00:00"/>
    <n v="2"/>
    <n v="11"/>
    <n v="2026"/>
    <x v="4"/>
    <s v="Q1"/>
    <x v="0"/>
  </r>
  <r>
    <s v="O103268"/>
    <x v="456"/>
    <x v="5"/>
    <x v="2"/>
    <x v="1"/>
    <x v="0"/>
    <n v="3"/>
    <n v="771945"/>
    <d v="2025-07-18T00:00:00"/>
    <n v="7"/>
    <n v="18"/>
    <n v="2025"/>
    <x v="10"/>
    <s v="Q3"/>
    <x v="1"/>
  </r>
  <r>
    <s v="O100595"/>
    <x v="169"/>
    <x v="6"/>
    <x v="5"/>
    <x v="1"/>
    <x v="2"/>
    <n v="8"/>
    <n v="771836"/>
    <d v="2025-06-02T00:00:00"/>
    <n v="6"/>
    <n v="2"/>
    <n v="2025"/>
    <x v="2"/>
    <m/>
    <x v="1"/>
  </r>
  <r>
    <s v="O111744"/>
    <x v="426"/>
    <x v="5"/>
    <x v="3"/>
    <x v="4"/>
    <x v="2"/>
    <n v="4"/>
    <n v="771375"/>
    <d v="2026-12-15T00:00:00"/>
    <n v="12"/>
    <n v="15"/>
    <n v="2026"/>
    <x v="7"/>
    <s v="Q4"/>
    <x v="4"/>
  </r>
  <r>
    <s v="O104650"/>
    <x v="799"/>
    <x v="2"/>
    <x v="0"/>
    <x v="2"/>
    <x v="1"/>
    <n v="2"/>
    <n v="771074"/>
    <d v="2025-10-10T00:00:00"/>
    <n v="10"/>
    <n v="10"/>
    <n v="2025"/>
    <x v="9"/>
    <s v="Q4"/>
    <x v="2"/>
  </r>
  <r>
    <s v="O106360"/>
    <x v="273"/>
    <x v="2"/>
    <x v="2"/>
    <x v="4"/>
    <x v="3"/>
    <n v="3"/>
    <n v="770687"/>
    <d v="2026-01-22T00:00:00"/>
    <n v="1"/>
    <n v="22"/>
    <n v="2026"/>
    <x v="6"/>
    <s v="Q1"/>
    <x v="4"/>
  </r>
  <r>
    <s v="O100420"/>
    <x v="33"/>
    <x v="8"/>
    <x v="4"/>
    <x v="4"/>
    <x v="3"/>
    <n v="5"/>
    <n v="770560"/>
    <d v="2025-01-26T00:00:00"/>
    <n v="1"/>
    <n v="26"/>
    <n v="2025"/>
    <x v="6"/>
    <s v="Q1"/>
    <x v="4"/>
  </r>
  <r>
    <s v="O107379"/>
    <x v="267"/>
    <x v="3"/>
    <x v="2"/>
    <x v="4"/>
    <x v="0"/>
    <n v="3"/>
    <n v="769496"/>
    <d v="2026-03-25T00:00:00"/>
    <n v="3"/>
    <n v="25"/>
    <n v="2026"/>
    <x v="5"/>
    <s v="Q1"/>
    <x v="4"/>
  </r>
  <r>
    <s v="O107835"/>
    <x v="66"/>
    <x v="5"/>
    <x v="0"/>
    <x v="2"/>
    <x v="1"/>
    <n v="2"/>
    <n v="768985"/>
    <d v="2026-04-21T00:00:00"/>
    <n v="4"/>
    <n v="21"/>
    <n v="2026"/>
    <x v="11"/>
    <s v="Q2"/>
    <x v="2"/>
  </r>
  <r>
    <s v="O105792"/>
    <x v="209"/>
    <x v="10"/>
    <x v="2"/>
    <x v="1"/>
    <x v="0"/>
    <n v="3"/>
    <n v="768905"/>
    <d v="2025-12-18T00:00:00"/>
    <n v="12"/>
    <n v="18"/>
    <n v="2025"/>
    <x v="7"/>
    <s v="Q4"/>
    <x v="1"/>
  </r>
  <r>
    <s v="O105929"/>
    <x v="327"/>
    <x v="0"/>
    <x v="2"/>
    <x v="4"/>
    <x v="3"/>
    <n v="3"/>
    <n v="768877"/>
    <d v="2025-12-27T00:00:00"/>
    <n v="12"/>
    <n v="27"/>
    <n v="2025"/>
    <x v="7"/>
    <s v="Q4"/>
    <x v="4"/>
  </r>
  <r>
    <s v="O108450"/>
    <x v="229"/>
    <x v="5"/>
    <x v="4"/>
    <x v="2"/>
    <x v="3"/>
    <n v="4"/>
    <n v="768872"/>
    <d v="2026-05-29T00:00:00"/>
    <n v="5"/>
    <n v="29"/>
    <n v="2026"/>
    <x v="3"/>
    <s v="Q2"/>
    <x v="2"/>
  </r>
  <r>
    <s v="O110838"/>
    <x v="748"/>
    <x v="8"/>
    <x v="5"/>
    <x v="1"/>
    <x v="3"/>
    <n v="8"/>
    <n v="768795"/>
    <d v="2026-10-21T00:00:00"/>
    <n v="10"/>
    <n v="21"/>
    <n v="2026"/>
    <x v="9"/>
    <s v="Q4"/>
    <x v="1"/>
  </r>
  <r>
    <s v="O110865"/>
    <x v="362"/>
    <x v="3"/>
    <x v="0"/>
    <x v="1"/>
    <x v="3"/>
    <n v="2"/>
    <n v="768155"/>
    <d v="2026-10-23T00:00:00"/>
    <n v="10"/>
    <n v="23"/>
    <n v="2026"/>
    <x v="9"/>
    <s v="Q4"/>
    <x v="1"/>
  </r>
  <r>
    <s v="O105749"/>
    <x v="29"/>
    <x v="8"/>
    <x v="3"/>
    <x v="0"/>
    <x v="2"/>
    <n v="4"/>
    <n v="767953"/>
    <d v="2025-12-16T00:00:00"/>
    <n v="12"/>
    <n v="16"/>
    <n v="2025"/>
    <x v="7"/>
    <s v="Q4"/>
    <x v="0"/>
  </r>
  <r>
    <s v="O111899"/>
    <x v="331"/>
    <x v="1"/>
    <x v="4"/>
    <x v="4"/>
    <x v="1"/>
    <n v="4"/>
    <n v="767939"/>
    <d v="2026-12-24T00:00:00"/>
    <n v="12"/>
    <n v="24"/>
    <n v="2026"/>
    <x v="7"/>
    <s v="Q4"/>
    <x v="4"/>
  </r>
  <r>
    <s v="O104880"/>
    <x v="626"/>
    <x v="10"/>
    <x v="5"/>
    <x v="1"/>
    <x v="1"/>
    <n v="7"/>
    <n v="767658"/>
    <d v="2025-10-24T00:00:00"/>
    <n v="10"/>
    <n v="24"/>
    <n v="2025"/>
    <x v="9"/>
    <s v="Q4"/>
    <x v="1"/>
  </r>
  <r>
    <s v="O101707"/>
    <x v="425"/>
    <x v="0"/>
    <x v="2"/>
    <x v="1"/>
    <x v="0"/>
    <n v="3"/>
    <n v="767616"/>
    <d v="2025-04-14T00:00:00"/>
    <n v="4"/>
    <n v="14"/>
    <n v="2025"/>
    <x v="11"/>
    <s v="Q2"/>
    <x v="1"/>
  </r>
  <r>
    <s v="O105548"/>
    <x v="316"/>
    <x v="0"/>
    <x v="0"/>
    <x v="2"/>
    <x v="2"/>
    <n v="2"/>
    <n v="767284"/>
    <d v="2025-04-12T00:00:00"/>
    <n v="4"/>
    <n v="12"/>
    <n v="2025"/>
    <x v="11"/>
    <s v="Q2"/>
    <x v="2"/>
  </r>
  <r>
    <s v="O105252"/>
    <x v="58"/>
    <x v="8"/>
    <x v="3"/>
    <x v="1"/>
    <x v="1"/>
    <n v="3"/>
    <n v="767188"/>
    <d v="2025-11-16T00:00:00"/>
    <n v="11"/>
    <n v="16"/>
    <n v="2025"/>
    <x v="0"/>
    <s v="Q4"/>
    <x v="1"/>
  </r>
  <r>
    <s v="O105005"/>
    <x v="620"/>
    <x v="5"/>
    <x v="5"/>
    <x v="3"/>
    <x v="4"/>
    <n v="6"/>
    <n v="767101"/>
    <d v="2025-01-11T00:00:00"/>
    <n v="1"/>
    <n v="11"/>
    <n v="2025"/>
    <x v="6"/>
    <s v="Q1"/>
    <x v="3"/>
  </r>
  <r>
    <s v="O106779"/>
    <x v="691"/>
    <x v="6"/>
    <x v="3"/>
    <x v="4"/>
    <x v="0"/>
    <n v="4"/>
    <n v="766951"/>
    <d v="2026-02-16T00:00:00"/>
    <n v="2"/>
    <n v="16"/>
    <n v="2026"/>
    <x v="4"/>
    <m/>
    <x v="4"/>
  </r>
  <r>
    <s v="O109746"/>
    <x v="108"/>
    <x v="10"/>
    <x v="2"/>
    <x v="2"/>
    <x v="2"/>
    <n v="3"/>
    <n v="766807"/>
    <d v="2026-08-16T00:00:00"/>
    <n v="8"/>
    <n v="16"/>
    <n v="2026"/>
    <x v="8"/>
    <s v="Q3"/>
    <x v="2"/>
  </r>
  <r>
    <s v="O107922"/>
    <x v="337"/>
    <x v="0"/>
    <x v="4"/>
    <x v="2"/>
    <x v="3"/>
    <n v="4"/>
    <n v="765584"/>
    <d v="2026-04-27T00:00:00"/>
    <n v="4"/>
    <n v="27"/>
    <n v="2026"/>
    <x v="11"/>
    <s v="Q2"/>
    <x v="2"/>
  </r>
  <r>
    <s v="O100808"/>
    <x v="638"/>
    <x v="2"/>
    <x v="3"/>
    <x v="2"/>
    <x v="2"/>
    <n v="4"/>
    <n v="764901"/>
    <d v="2025-02-19T00:00:00"/>
    <n v="2"/>
    <n v="19"/>
    <n v="2025"/>
    <x v="4"/>
    <s v="Q1"/>
    <x v="2"/>
  </r>
  <r>
    <s v="O104816"/>
    <x v="595"/>
    <x v="8"/>
    <x v="3"/>
    <x v="0"/>
    <x v="1"/>
    <n v="4"/>
    <n v="764774"/>
    <d v="2025-10-20T00:00:00"/>
    <n v="10"/>
    <n v="20"/>
    <n v="2025"/>
    <x v="9"/>
    <s v="Q4"/>
    <x v="0"/>
  </r>
  <r>
    <s v="O107122"/>
    <x v="227"/>
    <x v="2"/>
    <x v="0"/>
    <x v="1"/>
    <x v="0"/>
    <n v="2"/>
    <n v="764644"/>
    <d v="2026-09-03T00:00:00"/>
    <n v="9"/>
    <n v="3"/>
    <n v="2026"/>
    <x v="1"/>
    <s v="Q3"/>
    <x v="1"/>
  </r>
  <r>
    <s v="O101323"/>
    <x v="146"/>
    <x v="8"/>
    <x v="5"/>
    <x v="1"/>
    <x v="2"/>
    <n v="7"/>
    <n v="764197"/>
    <d v="2025-03-22T00:00:00"/>
    <n v="3"/>
    <n v="22"/>
    <n v="2025"/>
    <x v="5"/>
    <s v="Q1"/>
    <x v="1"/>
  </r>
  <r>
    <s v="O105247"/>
    <x v="258"/>
    <x v="2"/>
    <x v="4"/>
    <x v="4"/>
    <x v="1"/>
    <n v="5"/>
    <n v="764115"/>
    <d v="2025-11-15T00:00:00"/>
    <n v="11"/>
    <n v="15"/>
    <n v="2025"/>
    <x v="0"/>
    <m/>
    <x v="4"/>
  </r>
  <r>
    <s v="O100738"/>
    <x v="724"/>
    <x v="2"/>
    <x v="5"/>
    <x v="1"/>
    <x v="2"/>
    <n v="6"/>
    <n v="762813"/>
    <d v="2025-02-14T00:00:00"/>
    <n v="2"/>
    <n v="14"/>
    <n v="2025"/>
    <x v="4"/>
    <s v="Q1"/>
    <x v="1"/>
  </r>
  <r>
    <s v="O101629"/>
    <x v="299"/>
    <x v="9"/>
    <x v="0"/>
    <x v="2"/>
    <x v="2"/>
    <n v="2"/>
    <n v="762276"/>
    <d v="2025-09-04T00:00:00"/>
    <n v="9"/>
    <n v="4"/>
    <n v="2025"/>
    <x v="1"/>
    <s v="Q3"/>
    <x v="2"/>
  </r>
  <r>
    <s v="O106672"/>
    <x v="386"/>
    <x v="5"/>
    <x v="4"/>
    <x v="1"/>
    <x v="2"/>
    <n v="4"/>
    <n v="761676"/>
    <d v="2026-10-02T00:00:00"/>
    <n v="10"/>
    <n v="2"/>
    <n v="2026"/>
    <x v="9"/>
    <s v="Q4"/>
    <x v="1"/>
  </r>
  <r>
    <s v="O111792"/>
    <x v="637"/>
    <x v="1"/>
    <x v="0"/>
    <x v="1"/>
    <x v="0"/>
    <n v="2"/>
    <n v="761446"/>
    <d v="2026-12-18T00:00:00"/>
    <n v="12"/>
    <n v="18"/>
    <n v="2026"/>
    <x v="7"/>
    <s v="Q4"/>
    <x v="1"/>
  </r>
  <r>
    <s v="O104657"/>
    <x v="754"/>
    <x v="1"/>
    <x v="5"/>
    <x v="3"/>
    <x v="2"/>
    <n v="7"/>
    <n v="761352"/>
    <d v="2025-10-10T00:00:00"/>
    <n v="10"/>
    <n v="10"/>
    <n v="2025"/>
    <x v="9"/>
    <s v="Q4"/>
    <x v="3"/>
  </r>
  <r>
    <s v="O102468"/>
    <x v="334"/>
    <x v="5"/>
    <x v="0"/>
    <x v="1"/>
    <x v="3"/>
    <n v="2"/>
    <n v="760739"/>
    <d v="2025-05-30T00:00:00"/>
    <n v="5"/>
    <n v="30"/>
    <n v="2025"/>
    <x v="3"/>
    <s v="Q2"/>
    <x v="1"/>
  </r>
  <r>
    <s v="O107374"/>
    <x v="549"/>
    <x v="5"/>
    <x v="2"/>
    <x v="1"/>
    <x v="1"/>
    <n v="3"/>
    <n v="760595"/>
    <d v="2026-03-24T00:00:00"/>
    <n v="3"/>
    <n v="24"/>
    <n v="2026"/>
    <x v="5"/>
    <s v="Q1"/>
    <x v="1"/>
  </r>
  <r>
    <s v="O102695"/>
    <x v="192"/>
    <x v="5"/>
    <x v="3"/>
    <x v="1"/>
    <x v="2"/>
    <n v="3"/>
    <n v="760530"/>
    <d v="2025-06-13T00:00:00"/>
    <n v="6"/>
    <n v="13"/>
    <n v="2025"/>
    <x v="2"/>
    <s v="Q2"/>
    <x v="1"/>
  </r>
  <r>
    <s v="O110190"/>
    <x v="178"/>
    <x v="0"/>
    <x v="0"/>
    <x v="1"/>
    <x v="3"/>
    <n v="2"/>
    <n v="759851"/>
    <d v="2026-12-09T00:00:00"/>
    <n v="12"/>
    <n v="9"/>
    <n v="2026"/>
    <x v="7"/>
    <s v="Q4"/>
    <x v="1"/>
  </r>
  <r>
    <s v="O105770"/>
    <x v="475"/>
    <x v="3"/>
    <x v="3"/>
    <x v="2"/>
    <x v="0"/>
    <n v="4"/>
    <n v="759344"/>
    <d v="2025-12-17T00:00:00"/>
    <n v="12"/>
    <n v="17"/>
    <n v="2025"/>
    <x v="7"/>
    <s v="Q4"/>
    <x v="2"/>
  </r>
  <r>
    <s v="O106379"/>
    <x v="213"/>
    <x v="10"/>
    <x v="3"/>
    <x v="3"/>
    <x v="0"/>
    <n v="3"/>
    <n v="758307"/>
    <d v="2026-01-23T00:00:00"/>
    <n v="1"/>
    <n v="23"/>
    <n v="2026"/>
    <x v="6"/>
    <m/>
    <x v="3"/>
  </r>
  <r>
    <s v="O102616"/>
    <x v="708"/>
    <x v="5"/>
    <x v="0"/>
    <x v="2"/>
    <x v="2"/>
    <n v="2"/>
    <n v="757190"/>
    <d v="2025-08-06T00:00:00"/>
    <n v="8"/>
    <n v="6"/>
    <n v="2025"/>
    <x v="8"/>
    <s v="Q3"/>
    <x v="2"/>
  </r>
  <r>
    <s v="O105891"/>
    <x v="545"/>
    <x v="2"/>
    <x v="4"/>
    <x v="4"/>
    <x v="0"/>
    <n v="5"/>
    <n v="757177"/>
    <d v="2025-12-24T00:00:00"/>
    <n v="12"/>
    <n v="24"/>
    <n v="2025"/>
    <x v="7"/>
    <s v="Q4"/>
    <x v="4"/>
  </r>
  <r>
    <s v="O110235"/>
    <x v="227"/>
    <x v="1"/>
    <x v="4"/>
    <x v="0"/>
    <x v="0"/>
    <n v="5"/>
    <n v="755944"/>
    <d v="2026-09-14T00:00:00"/>
    <n v="9"/>
    <n v="14"/>
    <n v="2026"/>
    <x v="1"/>
    <s v="Q3"/>
    <x v="0"/>
  </r>
  <r>
    <s v="O107489"/>
    <x v="190"/>
    <x v="2"/>
    <x v="2"/>
    <x v="3"/>
    <x v="1"/>
    <n v="3"/>
    <n v="755413"/>
    <d v="2026-03-31T00:00:00"/>
    <n v="3"/>
    <n v="31"/>
    <n v="2026"/>
    <x v="5"/>
    <s v="Q1"/>
    <x v="3"/>
  </r>
  <r>
    <s v="O106926"/>
    <x v="236"/>
    <x v="4"/>
    <x v="0"/>
    <x v="1"/>
    <x v="2"/>
    <n v="2"/>
    <n v="755251"/>
    <d v="2026-02-25T00:00:00"/>
    <n v="2"/>
    <n v="25"/>
    <n v="2026"/>
    <x v="4"/>
    <s v="Q1"/>
    <x v="1"/>
  </r>
  <r>
    <s v="O106327"/>
    <x v="309"/>
    <x v="4"/>
    <x v="3"/>
    <x v="2"/>
    <x v="2"/>
    <n v="3"/>
    <n v="755151"/>
    <d v="2026-01-20T00:00:00"/>
    <n v="1"/>
    <n v="20"/>
    <n v="2026"/>
    <x v="6"/>
    <m/>
    <x v="2"/>
  </r>
  <r>
    <s v="O109765"/>
    <x v="49"/>
    <x v="1"/>
    <x v="5"/>
    <x v="1"/>
    <x v="0"/>
    <n v="8"/>
    <n v="754496"/>
    <d v="2026-08-17T00:00:00"/>
    <n v="8"/>
    <n v="17"/>
    <n v="2026"/>
    <x v="8"/>
    <s v="Q3"/>
    <x v="1"/>
  </r>
  <r>
    <s v="O102188"/>
    <x v="424"/>
    <x v="1"/>
    <x v="4"/>
    <x v="3"/>
    <x v="0"/>
    <n v="4"/>
    <n v="754339"/>
    <d v="2025-05-13T00:00:00"/>
    <n v="5"/>
    <n v="13"/>
    <n v="2025"/>
    <x v="3"/>
    <s v="Q2"/>
    <x v="3"/>
  </r>
  <r>
    <s v="O102554"/>
    <x v="500"/>
    <x v="5"/>
    <x v="3"/>
    <x v="4"/>
    <x v="2"/>
    <n v="3"/>
    <n v="754078"/>
    <d v="2025-05-06T00:00:00"/>
    <n v="5"/>
    <n v="6"/>
    <n v="2025"/>
    <x v="3"/>
    <s v="Q2"/>
    <x v="4"/>
  </r>
  <r>
    <s v="O104185"/>
    <x v="718"/>
    <x v="4"/>
    <x v="0"/>
    <x v="4"/>
    <x v="1"/>
    <n v="2"/>
    <n v="753983"/>
    <d v="2025-12-09T00:00:00"/>
    <n v="12"/>
    <n v="9"/>
    <n v="2025"/>
    <x v="7"/>
    <s v="Q4"/>
    <x v="4"/>
  </r>
  <r>
    <s v="O103204"/>
    <x v="701"/>
    <x v="9"/>
    <x v="5"/>
    <x v="2"/>
    <x v="0"/>
    <n v="7"/>
    <n v="753868"/>
    <d v="2025-07-14T00:00:00"/>
    <n v="7"/>
    <n v="14"/>
    <n v="2025"/>
    <x v="10"/>
    <s v="Q3"/>
    <x v="2"/>
  </r>
  <r>
    <s v="O108038"/>
    <x v="178"/>
    <x v="4"/>
    <x v="5"/>
    <x v="2"/>
    <x v="2"/>
    <n v="6"/>
    <n v="753207"/>
    <d v="2026-04-05T00:00:00"/>
    <n v="4"/>
    <n v="5"/>
    <n v="2026"/>
    <x v="11"/>
    <s v="Q2"/>
    <x v="2"/>
  </r>
  <r>
    <s v="O110558"/>
    <x v="341"/>
    <x v="9"/>
    <x v="5"/>
    <x v="3"/>
    <x v="3"/>
    <n v="7"/>
    <n v="752697"/>
    <d v="2026-04-10T00:00:00"/>
    <n v="4"/>
    <n v="10"/>
    <n v="2026"/>
    <x v="11"/>
    <m/>
    <x v="3"/>
  </r>
  <r>
    <s v="O103738"/>
    <x v="257"/>
    <x v="5"/>
    <x v="4"/>
    <x v="3"/>
    <x v="3"/>
    <n v="5"/>
    <n v="751544"/>
    <d v="2025-08-16T00:00:00"/>
    <n v="8"/>
    <n v="16"/>
    <n v="2025"/>
    <x v="8"/>
    <s v="Q3"/>
    <x v="3"/>
  </r>
  <r>
    <s v="O104646"/>
    <x v="588"/>
    <x v="4"/>
    <x v="4"/>
    <x v="3"/>
    <x v="2"/>
    <n v="4"/>
    <n v="751521"/>
    <d v="2025-10-10T00:00:00"/>
    <n v="10"/>
    <n v="10"/>
    <n v="2025"/>
    <x v="9"/>
    <s v="Q4"/>
    <x v="3"/>
  </r>
  <r>
    <s v="O105616"/>
    <x v="25"/>
    <x v="10"/>
    <x v="5"/>
    <x v="1"/>
    <x v="3"/>
    <n v="6"/>
    <n v="751369"/>
    <d v="2025-08-12T00:00:00"/>
    <n v="8"/>
    <n v="12"/>
    <n v="2025"/>
    <x v="8"/>
    <s v="Q3"/>
    <x v="1"/>
  </r>
  <r>
    <s v="O103741"/>
    <x v="707"/>
    <x v="0"/>
    <x v="5"/>
    <x v="4"/>
    <x v="0"/>
    <n v="8"/>
    <n v="751177"/>
    <d v="2025-08-16T00:00:00"/>
    <n v="8"/>
    <n v="16"/>
    <n v="2025"/>
    <x v="8"/>
    <s v="Q3"/>
    <x v="4"/>
  </r>
  <r>
    <s v="O109466"/>
    <x v="410"/>
    <x v="5"/>
    <x v="3"/>
    <x v="2"/>
    <x v="0"/>
    <n v="4"/>
    <n v="750957"/>
    <d v="2026-07-30T00:00:00"/>
    <n v="7"/>
    <n v="30"/>
    <n v="2026"/>
    <x v="10"/>
    <s v="Q3"/>
    <x v="2"/>
  </r>
  <r>
    <s v="O104519"/>
    <x v="698"/>
    <x v="6"/>
    <x v="0"/>
    <x v="4"/>
    <x v="0"/>
    <n v="2"/>
    <n v="749963"/>
    <d v="2025-02-10T00:00:00"/>
    <n v="2"/>
    <n v="10"/>
    <n v="2025"/>
    <x v="4"/>
    <s v="Q1"/>
    <x v="4"/>
  </r>
  <r>
    <s v="O102276"/>
    <x v="314"/>
    <x v="2"/>
    <x v="2"/>
    <x v="1"/>
    <x v="3"/>
    <n v="2"/>
    <n v="749859"/>
    <d v="2025-05-19T00:00:00"/>
    <n v="5"/>
    <n v="19"/>
    <n v="2025"/>
    <x v="3"/>
    <s v="Q2"/>
    <x v="1"/>
  </r>
  <r>
    <s v="O107359"/>
    <x v="365"/>
    <x v="8"/>
    <x v="0"/>
    <x v="3"/>
    <x v="0"/>
    <n v="2"/>
    <n v="749132"/>
    <d v="2026-03-24T00:00:00"/>
    <n v="3"/>
    <n v="24"/>
    <n v="2026"/>
    <x v="5"/>
    <s v="Q1"/>
    <x v="3"/>
  </r>
  <r>
    <s v="O111253"/>
    <x v="65"/>
    <x v="5"/>
    <x v="5"/>
    <x v="4"/>
    <x v="1"/>
    <n v="5"/>
    <n v="748886"/>
    <d v="2026-11-15T00:00:00"/>
    <n v="11"/>
    <n v="15"/>
    <n v="2026"/>
    <x v="0"/>
    <s v="Q4"/>
    <x v="4"/>
  </r>
  <r>
    <s v="O106287"/>
    <x v="434"/>
    <x v="5"/>
    <x v="5"/>
    <x v="4"/>
    <x v="2"/>
    <n v="6"/>
    <n v="748755"/>
    <d v="2026-01-17T00:00:00"/>
    <n v="1"/>
    <n v="17"/>
    <n v="2026"/>
    <x v="6"/>
    <s v="Q1"/>
    <x v="4"/>
  </r>
  <r>
    <s v="O100786"/>
    <x v="747"/>
    <x v="1"/>
    <x v="5"/>
    <x v="4"/>
    <x v="1"/>
    <n v="5"/>
    <n v="748609"/>
    <d v="2025-02-17T00:00:00"/>
    <n v="2"/>
    <n v="17"/>
    <n v="2025"/>
    <x v="4"/>
    <m/>
    <x v="4"/>
  </r>
  <r>
    <s v="O102626"/>
    <x v="698"/>
    <x v="5"/>
    <x v="3"/>
    <x v="4"/>
    <x v="1"/>
    <n v="3"/>
    <n v="748570"/>
    <d v="2025-09-06T00:00:00"/>
    <n v="9"/>
    <n v="6"/>
    <n v="2025"/>
    <x v="1"/>
    <s v="Q3"/>
    <x v="4"/>
  </r>
  <r>
    <s v="O110012"/>
    <x v="114"/>
    <x v="5"/>
    <x v="4"/>
    <x v="0"/>
    <x v="1"/>
    <n v="4"/>
    <n v="747729"/>
    <d v="2026-01-09T00:00:00"/>
    <n v="1"/>
    <n v="9"/>
    <n v="2026"/>
    <x v="6"/>
    <s v="Q1"/>
    <x v="0"/>
  </r>
  <r>
    <s v="O108575"/>
    <x v="76"/>
    <x v="5"/>
    <x v="5"/>
    <x v="4"/>
    <x v="3"/>
    <n v="5"/>
    <n v="747450"/>
    <d v="2026-05-06T00:00:00"/>
    <n v="5"/>
    <n v="6"/>
    <n v="2026"/>
    <x v="3"/>
    <s v="Q2"/>
    <x v="4"/>
  </r>
  <r>
    <s v="O101453"/>
    <x v="119"/>
    <x v="9"/>
    <x v="5"/>
    <x v="0"/>
    <x v="2"/>
    <n v="7"/>
    <n v="747195"/>
    <d v="2025-03-30T00:00:00"/>
    <n v="3"/>
    <n v="30"/>
    <n v="2025"/>
    <x v="5"/>
    <s v="Q1"/>
    <x v="0"/>
  </r>
  <r>
    <s v="O104851"/>
    <x v="82"/>
    <x v="10"/>
    <x v="3"/>
    <x v="4"/>
    <x v="2"/>
    <n v="3"/>
    <n v="746686"/>
    <d v="2025-10-22T00:00:00"/>
    <n v="10"/>
    <n v="22"/>
    <n v="2025"/>
    <x v="9"/>
    <s v="Q4"/>
    <x v="4"/>
  </r>
  <r>
    <s v="O105423"/>
    <x v="484"/>
    <x v="3"/>
    <x v="3"/>
    <x v="1"/>
    <x v="3"/>
    <n v="3"/>
    <n v="746045"/>
    <d v="2025-11-26T00:00:00"/>
    <n v="11"/>
    <n v="26"/>
    <n v="2025"/>
    <x v="0"/>
    <s v="Q4"/>
    <x v="1"/>
  </r>
  <r>
    <s v="O110307"/>
    <x v="257"/>
    <x v="5"/>
    <x v="5"/>
    <x v="3"/>
    <x v="2"/>
    <n v="6"/>
    <n v="745970"/>
    <d v="2026-09-19T00:00:00"/>
    <n v="9"/>
    <n v="19"/>
    <n v="2026"/>
    <x v="1"/>
    <s v="Q3"/>
    <x v="3"/>
  </r>
  <r>
    <s v="O105149"/>
    <x v="135"/>
    <x v="3"/>
    <x v="2"/>
    <x v="3"/>
    <x v="3"/>
    <n v="2"/>
    <n v="745864"/>
    <d v="2025-09-11T00:00:00"/>
    <n v="9"/>
    <n v="11"/>
    <n v="2025"/>
    <x v="1"/>
    <s v="Q3"/>
    <x v="3"/>
  </r>
  <r>
    <s v="O109817"/>
    <x v="668"/>
    <x v="9"/>
    <x v="2"/>
    <x v="2"/>
    <x v="0"/>
    <n v="2"/>
    <n v="745071"/>
    <d v="2026-08-20T00:00:00"/>
    <n v="8"/>
    <n v="20"/>
    <n v="2026"/>
    <x v="8"/>
    <s v="Q3"/>
    <x v="2"/>
  </r>
  <r>
    <s v="O105492"/>
    <x v="484"/>
    <x v="6"/>
    <x v="4"/>
    <x v="1"/>
    <x v="3"/>
    <n v="4"/>
    <n v="744592"/>
    <d v="2025-11-30T00:00:00"/>
    <n v="11"/>
    <n v="30"/>
    <n v="2025"/>
    <x v="0"/>
    <s v="Q4"/>
    <x v="1"/>
  </r>
  <r>
    <s v="O104293"/>
    <x v="529"/>
    <x v="10"/>
    <x v="2"/>
    <x v="0"/>
    <x v="3"/>
    <n v="2"/>
    <n v="744486"/>
    <d v="2025-09-18T00:00:00"/>
    <n v="9"/>
    <n v="18"/>
    <n v="2025"/>
    <x v="1"/>
    <s v="Q3"/>
    <x v="0"/>
  </r>
  <r>
    <s v="O111050"/>
    <x v="35"/>
    <x v="6"/>
    <x v="0"/>
    <x v="1"/>
    <x v="2"/>
    <n v="2"/>
    <n v="744341"/>
    <d v="2026-03-11T00:00:00"/>
    <n v="3"/>
    <n v="11"/>
    <n v="2026"/>
    <x v="5"/>
    <s v="Q1"/>
    <x v="1"/>
  </r>
  <r>
    <s v="O100950"/>
    <x v="452"/>
    <x v="3"/>
    <x v="2"/>
    <x v="4"/>
    <x v="2"/>
    <n v="3"/>
    <n v="744038"/>
    <d v="2025-02-27T00:00:00"/>
    <n v="2"/>
    <n v="27"/>
    <n v="2025"/>
    <x v="4"/>
    <s v="Q1"/>
    <x v="4"/>
  </r>
  <r>
    <s v="O102382"/>
    <x v="373"/>
    <x v="10"/>
    <x v="5"/>
    <x v="3"/>
    <x v="3"/>
    <n v="6"/>
    <n v="743881"/>
    <d v="2025-05-25T00:00:00"/>
    <n v="5"/>
    <n v="25"/>
    <n v="2025"/>
    <x v="3"/>
    <s v="Q2"/>
    <x v="3"/>
  </r>
  <r>
    <s v="O111018"/>
    <x v="276"/>
    <x v="2"/>
    <x v="3"/>
    <x v="2"/>
    <x v="2"/>
    <n v="4"/>
    <n v="743712"/>
    <d v="2026-01-11T00:00:00"/>
    <n v="1"/>
    <n v="11"/>
    <n v="2026"/>
    <x v="6"/>
    <s v="Q1"/>
    <x v="2"/>
  </r>
  <r>
    <s v="O100413"/>
    <x v="195"/>
    <x v="6"/>
    <x v="3"/>
    <x v="4"/>
    <x v="3"/>
    <n v="3"/>
    <n v="743532"/>
    <d v="2025-01-26T00:00:00"/>
    <n v="1"/>
    <n v="26"/>
    <n v="2025"/>
    <x v="6"/>
    <s v="Q1"/>
    <x v="4"/>
  </r>
  <r>
    <s v="O109200"/>
    <x v="72"/>
    <x v="2"/>
    <x v="2"/>
    <x v="1"/>
    <x v="0"/>
    <n v="3"/>
    <n v="743442"/>
    <d v="2026-07-13T00:00:00"/>
    <n v="7"/>
    <n v="13"/>
    <n v="2026"/>
    <x v="10"/>
    <s v="Q3"/>
    <x v="1"/>
  </r>
  <r>
    <s v="O104471"/>
    <x v="79"/>
    <x v="1"/>
    <x v="5"/>
    <x v="1"/>
    <x v="1"/>
    <n v="8"/>
    <n v="743379"/>
    <d v="2025-09-29T00:00:00"/>
    <n v="9"/>
    <n v="29"/>
    <n v="2025"/>
    <x v="1"/>
    <s v="Q3"/>
    <x v="1"/>
  </r>
  <r>
    <s v="O101608"/>
    <x v="624"/>
    <x v="6"/>
    <x v="4"/>
    <x v="0"/>
    <x v="3"/>
    <n v="5"/>
    <n v="743325"/>
    <d v="2025-08-04T00:00:00"/>
    <n v="8"/>
    <n v="4"/>
    <n v="2025"/>
    <x v="8"/>
    <s v="Q3"/>
    <x v="0"/>
  </r>
  <r>
    <s v="O111580"/>
    <x v="661"/>
    <x v="1"/>
    <x v="5"/>
    <x v="0"/>
    <x v="1"/>
    <n v="6"/>
    <n v="742804"/>
    <d v="2026-05-12T00:00:00"/>
    <n v="5"/>
    <n v="12"/>
    <n v="2026"/>
    <x v="3"/>
    <s v="Q2"/>
    <x v="0"/>
  </r>
  <r>
    <s v="O103893"/>
    <x v="627"/>
    <x v="9"/>
    <x v="2"/>
    <x v="3"/>
    <x v="3"/>
    <n v="2"/>
    <n v="742711"/>
    <d v="2025-08-25T00:00:00"/>
    <n v="8"/>
    <n v="25"/>
    <n v="2025"/>
    <x v="8"/>
    <s v="Q3"/>
    <x v="3"/>
  </r>
  <r>
    <s v="O111138"/>
    <x v="19"/>
    <x v="1"/>
    <x v="5"/>
    <x v="0"/>
    <x v="2"/>
    <n v="5"/>
    <n v="742452"/>
    <d v="2026-08-11T00:00:00"/>
    <n v="8"/>
    <n v="11"/>
    <n v="2026"/>
    <x v="8"/>
    <s v="Q3"/>
    <x v="0"/>
  </r>
  <r>
    <s v="O107970"/>
    <x v="304"/>
    <x v="9"/>
    <x v="5"/>
    <x v="1"/>
    <x v="0"/>
    <n v="6"/>
    <n v="742272"/>
    <d v="2026-04-30T00:00:00"/>
    <n v="4"/>
    <n v="30"/>
    <n v="2026"/>
    <x v="11"/>
    <s v="Q2"/>
    <x v="1"/>
  </r>
  <r>
    <s v="O109826"/>
    <x v="490"/>
    <x v="10"/>
    <x v="4"/>
    <x v="1"/>
    <x v="0"/>
    <n v="4"/>
    <n v="742235"/>
    <d v="2026-08-20T00:00:00"/>
    <n v="8"/>
    <n v="20"/>
    <n v="2026"/>
    <x v="8"/>
    <s v="Q3"/>
    <x v="1"/>
  </r>
  <r>
    <s v="O109165"/>
    <x v="119"/>
    <x v="2"/>
    <x v="3"/>
    <x v="1"/>
    <x v="2"/>
    <n v="3"/>
    <n v="742171"/>
    <d v="2026-11-07T00:00:00"/>
    <n v="11"/>
    <n v="7"/>
    <n v="2026"/>
    <x v="0"/>
    <s v="Q4"/>
    <x v="1"/>
  </r>
  <r>
    <s v="O104292"/>
    <x v="182"/>
    <x v="6"/>
    <x v="0"/>
    <x v="1"/>
    <x v="0"/>
    <n v="2"/>
    <n v="741412"/>
    <d v="2025-09-18T00:00:00"/>
    <n v="9"/>
    <n v="18"/>
    <n v="2025"/>
    <x v="1"/>
    <s v="Q3"/>
    <x v="1"/>
  </r>
  <r>
    <s v="O106955"/>
    <x v="412"/>
    <x v="8"/>
    <x v="5"/>
    <x v="3"/>
    <x v="1"/>
    <n v="5"/>
    <n v="741162"/>
    <d v="2026-02-27T00:00:00"/>
    <n v="2"/>
    <n v="27"/>
    <n v="2026"/>
    <x v="4"/>
    <s v="Q1"/>
    <x v="3"/>
  </r>
  <r>
    <s v="O105736"/>
    <x v="667"/>
    <x v="0"/>
    <x v="2"/>
    <x v="1"/>
    <x v="1"/>
    <n v="3"/>
    <n v="741141"/>
    <d v="2025-12-15T00:00:00"/>
    <n v="12"/>
    <n v="15"/>
    <n v="2025"/>
    <x v="7"/>
    <s v="Q4"/>
    <x v="1"/>
  </r>
  <r>
    <s v="O110847"/>
    <x v="296"/>
    <x v="3"/>
    <x v="2"/>
    <x v="0"/>
    <x v="2"/>
    <n v="2"/>
    <n v="741111"/>
    <d v="2026-10-21T00:00:00"/>
    <n v="10"/>
    <n v="21"/>
    <n v="2026"/>
    <x v="9"/>
    <s v="Q4"/>
    <x v="0"/>
  </r>
  <r>
    <s v="O111466"/>
    <x v="315"/>
    <x v="5"/>
    <x v="0"/>
    <x v="3"/>
    <x v="2"/>
    <n v="2"/>
    <n v="741099"/>
    <d v="2026-11-28T00:00:00"/>
    <n v="11"/>
    <n v="28"/>
    <n v="2026"/>
    <x v="0"/>
    <s v="Q4"/>
    <x v="3"/>
  </r>
  <r>
    <s v="O110992"/>
    <x v="322"/>
    <x v="8"/>
    <x v="2"/>
    <x v="4"/>
    <x v="0"/>
    <n v="3"/>
    <n v="740588"/>
    <d v="2026-10-30T00:00:00"/>
    <n v="10"/>
    <n v="30"/>
    <n v="2026"/>
    <x v="9"/>
    <s v="Q4"/>
    <x v="4"/>
  </r>
  <r>
    <s v="O102018"/>
    <x v="763"/>
    <x v="8"/>
    <x v="5"/>
    <x v="3"/>
    <x v="1"/>
    <n v="8"/>
    <n v="740438"/>
    <d v="2025-03-05T00:00:00"/>
    <n v="3"/>
    <n v="5"/>
    <n v="2025"/>
    <x v="5"/>
    <s v="Q1"/>
    <x v="3"/>
  </r>
  <r>
    <s v="O101517"/>
    <x v="669"/>
    <x v="3"/>
    <x v="2"/>
    <x v="4"/>
    <x v="0"/>
    <n v="2"/>
    <n v="740432"/>
    <d v="2025-03-04T00:00:00"/>
    <n v="3"/>
    <n v="4"/>
    <n v="2025"/>
    <x v="5"/>
    <s v="Q1"/>
    <x v="4"/>
  </r>
  <r>
    <s v="O111002"/>
    <x v="137"/>
    <x v="0"/>
    <x v="0"/>
    <x v="3"/>
    <x v="1"/>
    <n v="2"/>
    <n v="739979"/>
    <d v="2026-10-31T00:00:00"/>
    <n v="10"/>
    <n v="31"/>
    <n v="2026"/>
    <x v="9"/>
    <s v="Q4"/>
    <x v="3"/>
  </r>
  <r>
    <s v="O109161"/>
    <x v="680"/>
    <x v="6"/>
    <x v="5"/>
    <x v="10"/>
    <x v="3"/>
    <n v="5"/>
    <n v="739951"/>
    <d v="2026-11-07T00:00:00"/>
    <n v="11"/>
    <n v="7"/>
    <n v="2026"/>
    <x v="0"/>
    <s v="Q4"/>
    <x v="1"/>
  </r>
  <r>
    <s v="O100253"/>
    <x v="578"/>
    <x v="1"/>
    <x v="5"/>
    <x v="0"/>
    <x v="1"/>
    <n v="8"/>
    <n v="739860"/>
    <d v="2025-01-16T00:00:00"/>
    <n v="1"/>
    <n v="16"/>
    <n v="2025"/>
    <x v="6"/>
    <s v="Q1"/>
    <x v="0"/>
  </r>
  <r>
    <s v="O101921"/>
    <x v="87"/>
    <x v="10"/>
    <x v="4"/>
    <x v="3"/>
    <x v="3"/>
    <n v="4"/>
    <n v="739806"/>
    <d v="2025-04-27T00:00:00"/>
    <n v="4"/>
    <n v="27"/>
    <n v="2025"/>
    <x v="11"/>
    <s v="Q2"/>
    <x v="3"/>
  </r>
  <r>
    <s v="O103570"/>
    <x v="618"/>
    <x v="9"/>
    <x v="5"/>
    <x v="1"/>
    <x v="1"/>
    <n v="5"/>
    <n v="739637"/>
    <d v="2025-05-08T00:00:00"/>
    <n v="5"/>
    <n v="8"/>
    <n v="2025"/>
    <x v="3"/>
    <s v="Q2"/>
    <x v="1"/>
  </r>
  <r>
    <s v="O109414"/>
    <x v="632"/>
    <x v="9"/>
    <x v="0"/>
    <x v="2"/>
    <x v="3"/>
    <n v="2"/>
    <n v="739625"/>
    <d v="2026-07-26T00:00:00"/>
    <n v="7"/>
    <n v="26"/>
    <n v="2026"/>
    <x v="10"/>
    <s v="Q3"/>
    <x v="2"/>
  </r>
  <r>
    <s v="O102333"/>
    <x v="575"/>
    <x v="0"/>
    <x v="2"/>
    <x v="1"/>
    <x v="2"/>
    <n v="3"/>
    <n v="739151"/>
    <d v="2025-05-22T00:00:00"/>
    <n v="5"/>
    <n v="22"/>
    <n v="2025"/>
    <x v="3"/>
    <s v="Q2"/>
    <x v="1"/>
  </r>
  <r>
    <s v="O107784"/>
    <x v="632"/>
    <x v="2"/>
    <x v="0"/>
    <x v="2"/>
    <x v="0"/>
    <n v="2"/>
    <n v="739099"/>
    <d v="2026-04-18T00:00:00"/>
    <n v="4"/>
    <n v="18"/>
    <n v="2026"/>
    <x v="11"/>
    <s v="Q2"/>
    <x v="2"/>
  </r>
  <r>
    <s v="O107082"/>
    <x v="183"/>
    <x v="4"/>
    <x v="4"/>
    <x v="3"/>
    <x v="0"/>
    <n v="4"/>
    <n v="738952"/>
    <d v="2026-07-03T00:00:00"/>
    <n v="7"/>
    <n v="3"/>
    <n v="2026"/>
    <x v="10"/>
    <s v="Q3"/>
    <x v="3"/>
  </r>
  <r>
    <s v="O105887"/>
    <x v="660"/>
    <x v="2"/>
    <x v="2"/>
    <x v="0"/>
    <x v="1"/>
    <n v="3"/>
    <n v="738598"/>
    <s v="2026-13-05"/>
    <s v=""/>
    <s v=""/>
    <s v=""/>
    <x v="12"/>
    <s v="24/01/2025"/>
    <x v="0"/>
  </r>
  <r>
    <s v="O110526"/>
    <x v="610"/>
    <x v="8"/>
    <x v="4"/>
    <x v="1"/>
    <x v="2"/>
    <n v="4"/>
    <n v="738418"/>
    <d v="2026-02-10T00:00:00"/>
    <n v="2"/>
    <n v="10"/>
    <n v="2026"/>
    <x v="4"/>
    <s v="Q1"/>
    <x v="1"/>
  </r>
  <r>
    <s v="O111889"/>
    <x v="190"/>
    <x v="9"/>
    <x v="2"/>
    <x v="4"/>
    <x v="1"/>
    <n v="2"/>
    <n v="737871"/>
    <d v="2026-12-24T00:00:00"/>
    <n v="12"/>
    <n v="24"/>
    <n v="2026"/>
    <x v="7"/>
    <s v="Q4"/>
    <x v="4"/>
  </r>
  <r>
    <s v="O105486"/>
    <x v="699"/>
    <x v="6"/>
    <x v="3"/>
    <x v="2"/>
    <x v="0"/>
    <n v="3"/>
    <n v="737866"/>
    <d v="2025-11-30T00:00:00"/>
    <n v="11"/>
    <n v="30"/>
    <n v="2025"/>
    <x v="0"/>
    <s v="Q4"/>
    <x v="2"/>
  </r>
  <r>
    <s v="O102773"/>
    <x v="739"/>
    <x v="5"/>
    <x v="4"/>
    <x v="0"/>
    <x v="0"/>
    <n v="5"/>
    <n v="737860"/>
    <d v="2025-06-18T00:00:00"/>
    <n v="6"/>
    <n v="18"/>
    <n v="2025"/>
    <x v="2"/>
    <s v="Q2"/>
    <x v="0"/>
  </r>
  <r>
    <s v="O105571"/>
    <x v="496"/>
    <x v="5"/>
    <x v="3"/>
    <x v="0"/>
    <x v="2"/>
    <n v="4"/>
    <n v="737734"/>
    <d v="2025-05-12T00:00:00"/>
    <n v="5"/>
    <n v="12"/>
    <n v="2025"/>
    <x v="3"/>
    <s v="Q2"/>
    <x v="0"/>
  </r>
  <r>
    <s v="O107759"/>
    <x v="345"/>
    <x v="6"/>
    <x v="5"/>
    <x v="2"/>
    <x v="3"/>
    <n v="7"/>
    <n v="737722"/>
    <d v="2026-04-17T00:00:00"/>
    <n v="4"/>
    <n v="17"/>
    <n v="2026"/>
    <x v="11"/>
    <s v="Q2"/>
    <x v="2"/>
  </r>
  <r>
    <s v="O100907"/>
    <x v="491"/>
    <x v="0"/>
    <x v="5"/>
    <x v="3"/>
    <x v="2"/>
    <n v="6"/>
    <n v="737503"/>
    <d v="2025-02-25T00:00:00"/>
    <n v="2"/>
    <n v="25"/>
    <n v="2025"/>
    <x v="4"/>
    <m/>
    <x v="3"/>
  </r>
  <r>
    <s v="O106431"/>
    <x v="720"/>
    <x v="8"/>
    <x v="4"/>
    <x v="3"/>
    <x v="0"/>
    <n v="4"/>
    <n v="737383"/>
    <d v="2026-01-26T00:00:00"/>
    <n v="1"/>
    <n v="26"/>
    <n v="2026"/>
    <x v="6"/>
    <s v="Q1"/>
    <x v="3"/>
  </r>
  <r>
    <s v="O104115"/>
    <x v="525"/>
    <x v="2"/>
    <x v="2"/>
    <x v="3"/>
    <x v="0"/>
    <n v="2"/>
    <n v="737150"/>
    <d v="2025-07-09T00:00:00"/>
    <n v="7"/>
    <n v="9"/>
    <n v="2025"/>
    <x v="10"/>
    <s v="Q3"/>
    <x v="3"/>
  </r>
  <r>
    <s v="O111604"/>
    <x v="771"/>
    <x v="10"/>
    <x v="4"/>
    <x v="1"/>
    <x v="1"/>
    <n v="5"/>
    <n v="736810"/>
    <d v="2026-06-12T00:00:00"/>
    <n v="6"/>
    <n v="12"/>
    <n v="2026"/>
    <x v="2"/>
    <s v="Q2"/>
    <x v="1"/>
  </r>
  <r>
    <s v="O106553"/>
    <x v="86"/>
    <x v="6"/>
    <x v="2"/>
    <x v="1"/>
    <x v="1"/>
    <n v="2"/>
    <n v="736729"/>
    <d v="2026-03-02T00:00:00"/>
    <n v="3"/>
    <n v="2"/>
    <n v="2026"/>
    <x v="5"/>
    <s v="Q1"/>
    <x v="1"/>
  </r>
  <r>
    <s v="O107022"/>
    <x v="694"/>
    <x v="1"/>
    <x v="5"/>
    <x v="4"/>
    <x v="2"/>
    <n v="8"/>
    <n v="736668"/>
    <d v="2026-03-03T00:00:00"/>
    <n v="3"/>
    <n v="3"/>
    <n v="2026"/>
    <x v="5"/>
    <s v="Q1"/>
    <x v="4"/>
  </r>
  <r>
    <s v="O104883"/>
    <x v="292"/>
    <x v="8"/>
    <x v="4"/>
    <x v="1"/>
    <x v="2"/>
    <n v="5"/>
    <n v="736242"/>
    <d v="2025-10-24T00:00:00"/>
    <n v="10"/>
    <n v="24"/>
    <n v="2025"/>
    <x v="9"/>
    <s v="Q4"/>
    <x v="1"/>
  </r>
  <r>
    <s v="O107606"/>
    <x v="70"/>
    <x v="10"/>
    <x v="2"/>
    <x v="2"/>
    <x v="2"/>
    <n v="3"/>
    <n v="736125"/>
    <d v="2026-08-04T00:00:00"/>
    <n v="8"/>
    <n v="4"/>
    <n v="2026"/>
    <x v="8"/>
    <s v="Q3"/>
    <x v="2"/>
  </r>
  <r>
    <s v="O103473"/>
    <x v="764"/>
    <x v="10"/>
    <x v="2"/>
    <x v="0"/>
    <x v="1"/>
    <n v="2"/>
    <n v="736119"/>
    <d v="2025-07-30T00:00:00"/>
    <n v="7"/>
    <n v="30"/>
    <n v="2025"/>
    <x v="10"/>
    <s v="Q3"/>
    <x v="0"/>
  </r>
  <r>
    <s v="O103498"/>
    <x v="693"/>
    <x v="5"/>
    <x v="5"/>
    <x v="3"/>
    <x v="1"/>
    <n v="8"/>
    <n v="736118"/>
    <d v="2025-01-08T00:00:00"/>
    <n v="1"/>
    <n v="8"/>
    <n v="2025"/>
    <x v="6"/>
    <s v="Q1"/>
    <x v="3"/>
  </r>
  <r>
    <s v="O105341"/>
    <x v="276"/>
    <x v="9"/>
    <x v="5"/>
    <x v="1"/>
    <x v="0"/>
    <n v="5"/>
    <n v="736088"/>
    <d v="2025-11-21T00:00:00"/>
    <n v="11"/>
    <n v="21"/>
    <n v="2025"/>
    <x v="0"/>
    <s v="Q4"/>
    <x v="1"/>
  </r>
  <r>
    <s v="O105869"/>
    <x v="398"/>
    <x v="5"/>
    <x v="5"/>
    <x v="2"/>
    <x v="3"/>
    <n v="6"/>
    <n v="736045"/>
    <d v="2025-12-23T00:00:00"/>
    <n v="12"/>
    <n v="23"/>
    <n v="2025"/>
    <x v="7"/>
    <s v="Q4"/>
    <x v="2"/>
  </r>
  <r>
    <s v="O108496"/>
    <x v="612"/>
    <x v="3"/>
    <x v="3"/>
    <x v="3"/>
    <x v="2"/>
    <n v="3"/>
    <n v="735391"/>
    <d v="2026-01-06T00:00:00"/>
    <n v="1"/>
    <n v="6"/>
    <n v="2026"/>
    <x v="6"/>
    <s v="Q1"/>
    <x v="3"/>
  </r>
  <r>
    <s v="O110784"/>
    <x v="117"/>
    <x v="5"/>
    <x v="4"/>
    <x v="0"/>
    <x v="1"/>
    <n v="4"/>
    <n v="735337"/>
    <d v="2026-10-18T00:00:00"/>
    <n v="10"/>
    <n v="18"/>
    <n v="2026"/>
    <x v="9"/>
    <s v="Q4"/>
    <x v="0"/>
  </r>
  <r>
    <s v="O103097"/>
    <x v="453"/>
    <x v="6"/>
    <x v="3"/>
    <x v="2"/>
    <x v="3"/>
    <n v="4"/>
    <n v="735288"/>
    <d v="2025-08-07T00:00:00"/>
    <n v="8"/>
    <n v="7"/>
    <n v="2025"/>
    <x v="8"/>
    <s v="Q3"/>
    <x v="2"/>
  </r>
  <r>
    <s v="O101178"/>
    <x v="165"/>
    <x v="10"/>
    <x v="0"/>
    <x v="0"/>
    <x v="3"/>
    <n v="2"/>
    <n v="734365"/>
    <d v="2025-03-13T00:00:00"/>
    <n v="3"/>
    <n v="13"/>
    <n v="2025"/>
    <x v="5"/>
    <s v="Q1"/>
    <x v="0"/>
  </r>
  <r>
    <s v="O108015"/>
    <x v="377"/>
    <x v="3"/>
    <x v="2"/>
    <x v="0"/>
    <x v="0"/>
    <n v="3"/>
    <n v="734039"/>
    <d v="2026-02-05T00:00:00"/>
    <n v="2"/>
    <n v="5"/>
    <n v="2026"/>
    <x v="4"/>
    <s v="Q1"/>
    <x v="0"/>
  </r>
  <r>
    <s v="O105874"/>
    <x v="519"/>
    <x v="3"/>
    <x v="5"/>
    <x v="3"/>
    <x v="3"/>
    <n v="5"/>
    <n v="734029"/>
    <d v="2025-12-23T00:00:00"/>
    <n v="12"/>
    <n v="23"/>
    <n v="2025"/>
    <x v="7"/>
    <s v="Q4"/>
    <x v="3"/>
  </r>
  <r>
    <s v="O109723"/>
    <x v="483"/>
    <x v="1"/>
    <x v="4"/>
    <x v="2"/>
    <x v="3"/>
    <n v="5"/>
    <n v="733493"/>
    <d v="2026-08-14T00:00:00"/>
    <n v="8"/>
    <n v="14"/>
    <n v="2026"/>
    <x v="8"/>
    <s v="Q3"/>
    <x v="2"/>
  </r>
  <r>
    <s v="O102693"/>
    <x v="766"/>
    <x v="3"/>
    <x v="0"/>
    <x v="0"/>
    <x v="2"/>
    <n v="2"/>
    <n v="733469"/>
    <d v="2025-06-13T00:00:00"/>
    <n v="6"/>
    <n v="13"/>
    <n v="2025"/>
    <x v="2"/>
    <s v="Q2"/>
    <x v="0"/>
  </r>
  <r>
    <s v="O104135"/>
    <x v="481"/>
    <x v="4"/>
    <x v="2"/>
    <x v="0"/>
    <x v="2"/>
    <n v="2"/>
    <n v="733257"/>
    <d v="2025-09-09T00:00:00"/>
    <n v="9"/>
    <n v="9"/>
    <n v="2025"/>
    <x v="1"/>
    <s v="Q3"/>
    <x v="0"/>
  </r>
  <r>
    <s v="O104222"/>
    <x v="155"/>
    <x v="5"/>
    <x v="2"/>
    <x v="1"/>
    <x v="3"/>
    <n v="2"/>
    <n v="733170"/>
    <d v="2025-09-14T00:00:00"/>
    <n v="9"/>
    <n v="14"/>
    <n v="2025"/>
    <x v="1"/>
    <s v="Q3"/>
    <x v="1"/>
  </r>
  <r>
    <s v="O108858"/>
    <x v="203"/>
    <x v="0"/>
    <x v="0"/>
    <x v="3"/>
    <x v="0"/>
    <n v="2"/>
    <n v="733152"/>
    <d v="2026-06-23T00:00:00"/>
    <n v="6"/>
    <n v="23"/>
    <n v="2026"/>
    <x v="2"/>
    <s v="Q2"/>
    <x v="3"/>
  </r>
  <r>
    <s v="O101167"/>
    <x v="378"/>
    <x v="6"/>
    <x v="5"/>
    <x v="1"/>
    <x v="0"/>
    <n v="7"/>
    <n v="733062"/>
    <d v="2025-12-03T00:00:00"/>
    <n v="12"/>
    <n v="3"/>
    <n v="2025"/>
    <x v="7"/>
    <m/>
    <x v="1"/>
  </r>
  <r>
    <s v="O102955"/>
    <x v="183"/>
    <x v="4"/>
    <x v="3"/>
    <x v="4"/>
    <x v="1"/>
    <n v="3"/>
    <n v="732999"/>
    <d v="2025-06-29T00:00:00"/>
    <n v="6"/>
    <n v="29"/>
    <n v="2025"/>
    <x v="2"/>
    <s v="Q2"/>
    <x v="4"/>
  </r>
  <r>
    <s v="O100055"/>
    <x v="183"/>
    <x v="9"/>
    <x v="2"/>
    <x v="4"/>
    <x v="1"/>
    <n v="2"/>
    <n v="732846"/>
    <d v="2025-04-01T00:00:00"/>
    <n v="4"/>
    <n v="1"/>
    <n v="2025"/>
    <x v="11"/>
    <s v="Q2"/>
    <x v="4"/>
  </r>
  <r>
    <s v="O110406"/>
    <x v="742"/>
    <x v="1"/>
    <x v="0"/>
    <x v="0"/>
    <x v="1"/>
    <n v="2"/>
    <n v="732585"/>
    <d v="2026-09-25T00:00:00"/>
    <n v="9"/>
    <n v="25"/>
    <n v="2026"/>
    <x v="1"/>
    <s v="Q3"/>
    <x v="0"/>
  </r>
  <r>
    <s v="O110678"/>
    <x v="697"/>
    <x v="8"/>
    <x v="2"/>
    <x v="3"/>
    <x v="0"/>
    <n v="2"/>
    <n v="732361"/>
    <d v="2026-11-10T00:00:00"/>
    <n v="11"/>
    <n v="10"/>
    <n v="2026"/>
    <x v="0"/>
    <s v="Q4"/>
    <x v="3"/>
  </r>
  <r>
    <s v="O107190"/>
    <x v="302"/>
    <x v="10"/>
    <x v="2"/>
    <x v="3"/>
    <x v="2"/>
    <n v="2"/>
    <n v="732345"/>
    <d v="2026-03-13T00:00:00"/>
    <n v="3"/>
    <n v="13"/>
    <n v="2026"/>
    <x v="5"/>
    <s v="Q1"/>
    <x v="3"/>
  </r>
  <r>
    <s v="O111380"/>
    <x v="73"/>
    <x v="10"/>
    <x v="0"/>
    <x v="3"/>
    <x v="1"/>
    <n v="2"/>
    <n v="732135"/>
    <d v="2026-11-23T00:00:00"/>
    <n v="11"/>
    <n v="23"/>
    <n v="2026"/>
    <x v="0"/>
    <s v="Q4"/>
    <x v="3"/>
  </r>
  <r>
    <s v="O110118"/>
    <x v="406"/>
    <x v="10"/>
    <x v="2"/>
    <x v="0"/>
    <x v="0"/>
    <n v="3"/>
    <n v="732070"/>
    <d v="2026-07-09T00:00:00"/>
    <n v="7"/>
    <n v="9"/>
    <n v="2026"/>
    <x v="10"/>
    <s v="Q3"/>
    <x v="0"/>
  </r>
  <r>
    <s v="O101786"/>
    <x v="79"/>
    <x v="8"/>
    <x v="5"/>
    <x v="4"/>
    <x v="2"/>
    <n v="6"/>
    <n v="731755"/>
    <d v="2025-04-19T00:00:00"/>
    <n v="4"/>
    <n v="19"/>
    <n v="2025"/>
    <x v="11"/>
    <s v="Q2"/>
    <x v="4"/>
  </r>
  <r>
    <s v="O104753"/>
    <x v="158"/>
    <x v="0"/>
    <x v="2"/>
    <x v="1"/>
    <x v="1"/>
    <n v="3"/>
    <n v="731640"/>
    <d v="2025-10-16T00:00:00"/>
    <n v="10"/>
    <n v="16"/>
    <n v="2025"/>
    <x v="9"/>
    <s v="Q4"/>
    <x v="1"/>
  </r>
  <r>
    <s v="O105877"/>
    <x v="774"/>
    <x v="6"/>
    <x v="5"/>
    <x v="4"/>
    <x v="0"/>
    <n v="7"/>
    <n v="731255"/>
    <d v="2025-12-23T00:00:00"/>
    <n v="12"/>
    <n v="23"/>
    <n v="2025"/>
    <x v="7"/>
    <s v="Q4"/>
    <x v="4"/>
  </r>
  <r>
    <s v="O109931"/>
    <x v="550"/>
    <x v="5"/>
    <x v="5"/>
    <x v="1"/>
    <x v="0"/>
    <n v="8"/>
    <n v="731184"/>
    <d v="2026-08-27T00:00:00"/>
    <n v="8"/>
    <n v="27"/>
    <n v="2026"/>
    <x v="8"/>
    <s v="Q3"/>
    <x v="1"/>
  </r>
  <r>
    <s v="O109800"/>
    <x v="140"/>
    <x v="2"/>
    <x v="3"/>
    <x v="0"/>
    <x v="0"/>
    <n v="4"/>
    <n v="730930"/>
    <d v="2026-08-19T00:00:00"/>
    <n v="8"/>
    <n v="19"/>
    <n v="2026"/>
    <x v="8"/>
    <s v="Q3"/>
    <x v="0"/>
  </r>
  <r>
    <s v="O105870"/>
    <x v="401"/>
    <x v="3"/>
    <x v="2"/>
    <x v="1"/>
    <x v="3"/>
    <n v="2"/>
    <n v="730789"/>
    <d v="2025-12-23T00:00:00"/>
    <n v="12"/>
    <n v="23"/>
    <n v="2025"/>
    <x v="7"/>
    <s v="Q4"/>
    <x v="1"/>
  </r>
  <r>
    <s v="O102784"/>
    <x v="88"/>
    <x v="8"/>
    <x v="4"/>
    <x v="1"/>
    <x v="0"/>
    <n v="4"/>
    <n v="730538"/>
    <d v="2025-06-19T00:00:00"/>
    <n v="6"/>
    <n v="19"/>
    <n v="2025"/>
    <x v="2"/>
    <s v="Q2"/>
    <x v="1"/>
  </r>
  <r>
    <s v="O100202"/>
    <x v="62"/>
    <x v="8"/>
    <x v="0"/>
    <x v="3"/>
    <x v="2"/>
    <n v="2"/>
    <n v="730511"/>
    <d v="2025-01-13T00:00:00"/>
    <n v="1"/>
    <n v="13"/>
    <n v="2025"/>
    <x v="6"/>
    <s v="Q1"/>
    <x v="3"/>
  </r>
  <r>
    <s v="O103948"/>
    <x v="595"/>
    <x v="6"/>
    <x v="2"/>
    <x v="0"/>
    <x v="0"/>
    <n v="3"/>
    <n v="730099"/>
    <d v="2025-08-28T00:00:00"/>
    <n v="8"/>
    <n v="28"/>
    <n v="2025"/>
    <x v="8"/>
    <s v="Q3"/>
    <x v="0"/>
  </r>
  <r>
    <s v="O102718"/>
    <x v="696"/>
    <x v="3"/>
    <x v="3"/>
    <x v="3"/>
    <x v="2"/>
    <n v="3"/>
    <n v="729958"/>
    <d v="2025-06-15T00:00:00"/>
    <n v="6"/>
    <n v="15"/>
    <n v="2025"/>
    <x v="2"/>
    <s v="Q2"/>
    <x v="3"/>
  </r>
  <r>
    <s v="O104523"/>
    <x v="53"/>
    <x v="10"/>
    <x v="5"/>
    <x v="2"/>
    <x v="3"/>
    <n v="6"/>
    <n v="729828"/>
    <d v="2025-02-10T00:00:00"/>
    <n v="2"/>
    <n v="10"/>
    <n v="2025"/>
    <x v="4"/>
    <s v="Q1"/>
    <x v="2"/>
  </r>
  <r>
    <s v="O103430"/>
    <x v="211"/>
    <x v="5"/>
    <x v="2"/>
    <x v="4"/>
    <x v="2"/>
    <n v="3"/>
    <n v="729615"/>
    <d v="2025-07-28T00:00:00"/>
    <n v="7"/>
    <n v="28"/>
    <n v="2025"/>
    <x v="10"/>
    <s v="Q3"/>
    <x v="4"/>
  </r>
  <r>
    <s v="O111916"/>
    <x v="770"/>
    <x v="4"/>
    <x v="3"/>
    <x v="1"/>
    <x v="1"/>
    <n v="3"/>
    <n v="728901"/>
    <d v="2026-12-25T00:00:00"/>
    <n v="12"/>
    <n v="25"/>
    <n v="2026"/>
    <x v="7"/>
    <s v="Q4"/>
    <x v="1"/>
  </r>
  <r>
    <s v="O100552"/>
    <x v="523"/>
    <x v="0"/>
    <x v="5"/>
    <x v="1"/>
    <x v="0"/>
    <n v="7"/>
    <n v="728755"/>
    <d v="2025-03-02T00:00:00"/>
    <n v="3"/>
    <n v="2"/>
    <n v="2025"/>
    <x v="5"/>
    <s v="Q1"/>
    <x v="1"/>
  </r>
  <r>
    <s v="O110709"/>
    <x v="267"/>
    <x v="6"/>
    <x v="2"/>
    <x v="2"/>
    <x v="2"/>
    <n v="3"/>
    <n v="728325"/>
    <d v="2026-10-13T00:00:00"/>
    <n v="10"/>
    <n v="13"/>
    <n v="2026"/>
    <x v="9"/>
    <s v="Q4"/>
    <x v="2"/>
  </r>
  <r>
    <s v="O100844"/>
    <x v="743"/>
    <x v="0"/>
    <x v="3"/>
    <x v="1"/>
    <x v="0"/>
    <n v="3"/>
    <n v="727725"/>
    <d v="2025-02-21T00:00:00"/>
    <n v="2"/>
    <n v="21"/>
    <n v="2025"/>
    <x v="4"/>
    <s v="Q1"/>
    <x v="1"/>
  </r>
  <r>
    <s v="O107371"/>
    <x v="228"/>
    <x v="1"/>
    <x v="2"/>
    <x v="1"/>
    <x v="0"/>
    <n v="2"/>
    <n v="727167"/>
    <d v="2026-03-24T00:00:00"/>
    <n v="3"/>
    <n v="24"/>
    <n v="2026"/>
    <x v="5"/>
    <s v="Q1"/>
    <x v="1"/>
  </r>
  <r>
    <s v="O103116"/>
    <x v="159"/>
    <x v="3"/>
    <x v="5"/>
    <x v="2"/>
    <x v="0"/>
    <n v="7"/>
    <n v="727090"/>
    <d v="2025-09-07T00:00:00"/>
    <n v="9"/>
    <n v="7"/>
    <n v="2025"/>
    <x v="1"/>
    <s v="Q3"/>
    <x v="2"/>
  </r>
  <r>
    <s v="O103875"/>
    <x v="603"/>
    <x v="10"/>
    <x v="0"/>
    <x v="4"/>
    <x v="2"/>
    <n v="2"/>
    <n v="727006"/>
    <d v="2025-08-24T00:00:00"/>
    <n v="8"/>
    <n v="24"/>
    <n v="2025"/>
    <x v="8"/>
    <s v="Q3"/>
    <x v="4"/>
  </r>
  <r>
    <s v="O105804"/>
    <x v="397"/>
    <x v="2"/>
    <x v="5"/>
    <x v="3"/>
    <x v="1"/>
    <n v="8"/>
    <n v="725909"/>
    <d v="2025-12-19T00:00:00"/>
    <n v="12"/>
    <n v="19"/>
    <n v="2025"/>
    <x v="7"/>
    <s v="Q4"/>
    <x v="3"/>
  </r>
  <r>
    <s v="O108531"/>
    <x v="165"/>
    <x v="8"/>
    <x v="5"/>
    <x v="1"/>
    <x v="3"/>
    <n v="7"/>
    <n v="725512"/>
    <d v="2026-03-06T00:00:00"/>
    <n v="3"/>
    <n v="6"/>
    <n v="2026"/>
    <x v="5"/>
    <s v="Q1"/>
    <x v="1"/>
  </r>
  <r>
    <s v="O111752"/>
    <x v="232"/>
    <x v="9"/>
    <x v="5"/>
    <x v="3"/>
    <x v="3"/>
    <n v="8"/>
    <n v="725267"/>
    <d v="2026-12-15T00:00:00"/>
    <n v="12"/>
    <n v="15"/>
    <n v="2026"/>
    <x v="7"/>
    <s v="Q4"/>
    <x v="3"/>
  </r>
  <r>
    <s v="O111040"/>
    <x v="75"/>
    <x v="7"/>
    <x v="4"/>
    <x v="1"/>
    <x v="3"/>
    <n v="5"/>
    <n v="725102"/>
    <d v="2026-02-11T00:00:00"/>
    <n v="2"/>
    <n v="11"/>
    <n v="2026"/>
    <x v="4"/>
    <m/>
    <x v="1"/>
  </r>
  <r>
    <s v="O103802"/>
    <x v="346"/>
    <x v="2"/>
    <x v="3"/>
    <x v="0"/>
    <x v="1"/>
    <n v="3"/>
    <n v="724906"/>
    <d v="2025-08-19T00:00:00"/>
    <n v="8"/>
    <n v="19"/>
    <n v="2025"/>
    <x v="8"/>
    <m/>
    <x v="0"/>
  </r>
  <r>
    <s v="O104893"/>
    <x v="346"/>
    <x v="6"/>
    <x v="2"/>
    <x v="0"/>
    <x v="0"/>
    <n v="3"/>
    <n v="724747"/>
    <d v="2025-10-25T00:00:00"/>
    <n v="10"/>
    <n v="25"/>
    <n v="2025"/>
    <x v="9"/>
    <m/>
    <x v="0"/>
  </r>
  <r>
    <s v="O109235"/>
    <x v="17"/>
    <x v="0"/>
    <x v="4"/>
    <x v="4"/>
    <x v="1"/>
    <n v="4"/>
    <n v="724683"/>
    <d v="2026-07-16T00:00:00"/>
    <n v="7"/>
    <n v="16"/>
    <n v="2026"/>
    <x v="10"/>
    <s v="Q3"/>
    <x v="4"/>
  </r>
  <r>
    <s v="O101578"/>
    <x v="225"/>
    <x v="8"/>
    <x v="2"/>
    <x v="0"/>
    <x v="2"/>
    <n v="3"/>
    <n v="724296"/>
    <d v="2025-06-04T00:00:00"/>
    <n v="6"/>
    <n v="4"/>
    <n v="2025"/>
    <x v="2"/>
    <s v="Q2"/>
    <x v="0"/>
  </r>
  <r>
    <s v="O101028"/>
    <x v="394"/>
    <x v="8"/>
    <x v="5"/>
    <x v="0"/>
    <x v="0"/>
    <n v="7"/>
    <n v="724209"/>
    <d v="2025-04-03T00:00:00"/>
    <n v="4"/>
    <n v="3"/>
    <n v="2025"/>
    <x v="11"/>
    <s v="Q2"/>
    <x v="0"/>
  </r>
  <r>
    <s v="O102275"/>
    <x v="132"/>
    <x v="3"/>
    <x v="3"/>
    <x v="2"/>
    <x v="2"/>
    <n v="4"/>
    <n v="724003"/>
    <d v="2025-05-19T00:00:00"/>
    <n v="5"/>
    <n v="19"/>
    <n v="2025"/>
    <x v="3"/>
    <s v="Q2"/>
    <x v="2"/>
  </r>
  <r>
    <s v="O110889"/>
    <x v="122"/>
    <x v="6"/>
    <x v="5"/>
    <x v="4"/>
    <x v="3"/>
    <n v="8"/>
    <n v="723943"/>
    <d v="2026-10-24T00:00:00"/>
    <n v="10"/>
    <n v="24"/>
    <n v="2026"/>
    <x v="9"/>
    <s v="Q4"/>
    <x v="4"/>
  </r>
  <r>
    <s v="O101027"/>
    <x v="313"/>
    <x v="0"/>
    <x v="5"/>
    <x v="1"/>
    <x v="0"/>
    <n v="8"/>
    <n v="723654"/>
    <d v="2025-04-03T00:00:00"/>
    <n v="4"/>
    <n v="3"/>
    <n v="2025"/>
    <x v="11"/>
    <s v="Q2"/>
    <x v="1"/>
  </r>
  <r>
    <s v="O111516"/>
    <x v="723"/>
    <x v="2"/>
    <x v="2"/>
    <x v="0"/>
    <x v="1"/>
    <n v="2"/>
    <n v="722702"/>
    <d v="2026-01-12T00:00:00"/>
    <n v="1"/>
    <n v="12"/>
    <n v="2026"/>
    <x v="6"/>
    <s v="Q1"/>
    <x v="0"/>
  </r>
  <r>
    <s v="O109735"/>
    <x v="531"/>
    <x v="0"/>
    <x v="4"/>
    <x v="2"/>
    <x v="3"/>
    <n v="4"/>
    <n v="722419"/>
    <d v="2026-08-15T00:00:00"/>
    <n v="8"/>
    <n v="15"/>
    <n v="2026"/>
    <x v="8"/>
    <s v="Q3"/>
    <x v="2"/>
  </r>
  <r>
    <s v="O105848"/>
    <x v="759"/>
    <x v="8"/>
    <x v="4"/>
    <x v="1"/>
    <x v="0"/>
    <n v="4"/>
    <n v="722076"/>
    <d v="2025-12-22T00:00:00"/>
    <n v="12"/>
    <n v="22"/>
    <n v="2025"/>
    <x v="7"/>
    <s v="Q4"/>
    <x v="1"/>
  </r>
  <r>
    <s v="O111029"/>
    <x v="581"/>
    <x v="4"/>
    <x v="5"/>
    <x v="3"/>
    <x v="0"/>
    <n v="6"/>
    <n v="722010"/>
    <d v="2026-02-11T00:00:00"/>
    <n v="2"/>
    <n v="11"/>
    <n v="2026"/>
    <x v="4"/>
    <s v="Q1"/>
    <x v="3"/>
  </r>
  <r>
    <s v="O100772"/>
    <x v="167"/>
    <x v="0"/>
    <x v="5"/>
    <x v="0"/>
    <x v="0"/>
    <n v="8"/>
    <n v="721386"/>
    <d v="2025-02-16T00:00:00"/>
    <n v="2"/>
    <n v="16"/>
    <n v="2025"/>
    <x v="4"/>
    <s v="Q1"/>
    <x v="0"/>
  </r>
  <r>
    <s v="O111204"/>
    <x v="246"/>
    <x v="0"/>
    <x v="4"/>
    <x v="4"/>
    <x v="3"/>
    <n v="5"/>
    <n v="721306"/>
    <d v="2026-12-11T00:00:00"/>
    <n v="12"/>
    <n v="11"/>
    <n v="2026"/>
    <x v="7"/>
    <s v="Q4"/>
    <x v="4"/>
  </r>
  <r>
    <s v="O109316"/>
    <x v="114"/>
    <x v="6"/>
    <x v="0"/>
    <x v="1"/>
    <x v="3"/>
    <n v="2"/>
    <n v="721240"/>
    <d v="2026-07-20T00:00:00"/>
    <n v="7"/>
    <n v="20"/>
    <n v="2026"/>
    <x v="10"/>
    <s v="Q3"/>
    <x v="1"/>
  </r>
  <r>
    <s v="O111373"/>
    <x v="28"/>
    <x v="4"/>
    <x v="4"/>
    <x v="0"/>
    <x v="0"/>
    <n v="5"/>
    <n v="721121"/>
    <d v="2026-11-22T00:00:00"/>
    <n v="11"/>
    <n v="22"/>
    <n v="2026"/>
    <x v="0"/>
    <s v="Q4"/>
    <x v="0"/>
  </r>
  <r>
    <s v="O108350"/>
    <x v="153"/>
    <x v="8"/>
    <x v="2"/>
    <x v="0"/>
    <x v="0"/>
    <n v="2"/>
    <n v="720886"/>
    <d v="2026-05-23T00:00:00"/>
    <n v="5"/>
    <n v="23"/>
    <n v="2026"/>
    <x v="3"/>
    <s v="Q2"/>
    <x v="0"/>
  </r>
  <r>
    <s v="O102160"/>
    <x v="273"/>
    <x v="4"/>
    <x v="4"/>
    <x v="3"/>
    <x v="0"/>
    <n v="4"/>
    <n v="720819"/>
    <d v="2025-12-05T00:00:00"/>
    <n v="12"/>
    <n v="5"/>
    <n v="2025"/>
    <x v="7"/>
    <s v="Q4"/>
    <x v="3"/>
  </r>
  <r>
    <s v="O110132"/>
    <x v="133"/>
    <x v="6"/>
    <x v="0"/>
    <x v="3"/>
    <x v="0"/>
    <n v="2"/>
    <n v="720785"/>
    <d v="2026-08-09T00:00:00"/>
    <n v="8"/>
    <n v="9"/>
    <n v="2026"/>
    <x v="8"/>
    <s v="Q3"/>
    <x v="3"/>
  </r>
  <r>
    <s v="O103377"/>
    <x v="299"/>
    <x v="2"/>
    <x v="4"/>
    <x v="3"/>
    <x v="0"/>
    <n v="5"/>
    <n v="720054"/>
    <d v="2025-07-25T00:00:00"/>
    <n v="7"/>
    <n v="25"/>
    <n v="2025"/>
    <x v="10"/>
    <s v="Q3"/>
    <x v="3"/>
  </r>
  <r>
    <s v="O101862"/>
    <x v="27"/>
    <x v="2"/>
    <x v="2"/>
    <x v="3"/>
    <x v="1"/>
    <n v="2"/>
    <n v="719947"/>
    <d v="2025-04-24T00:00:00"/>
    <n v="4"/>
    <n v="24"/>
    <n v="2025"/>
    <x v="11"/>
    <s v="Q2"/>
    <x v="3"/>
  </r>
  <r>
    <s v="O111395"/>
    <x v="314"/>
    <x v="3"/>
    <x v="4"/>
    <x v="1"/>
    <x v="0"/>
    <n v="5"/>
    <n v="719475"/>
    <d v="2026-11-24T00:00:00"/>
    <n v="11"/>
    <n v="24"/>
    <n v="2026"/>
    <x v="0"/>
    <s v="Q4"/>
    <x v="1"/>
  </r>
  <r>
    <s v="O101237"/>
    <x v="29"/>
    <x v="1"/>
    <x v="5"/>
    <x v="4"/>
    <x v="2"/>
    <n v="5"/>
    <n v="719281"/>
    <d v="2025-03-17T00:00:00"/>
    <n v="3"/>
    <n v="17"/>
    <n v="2025"/>
    <x v="5"/>
    <s v="Q1"/>
    <x v="4"/>
  </r>
  <r>
    <s v="O105930"/>
    <x v="314"/>
    <x v="5"/>
    <x v="5"/>
    <x v="1"/>
    <x v="2"/>
    <n v="7"/>
    <n v="719232"/>
    <d v="2025-12-27T00:00:00"/>
    <n v="12"/>
    <n v="27"/>
    <n v="2025"/>
    <x v="7"/>
    <s v="Q4"/>
    <x v="1"/>
  </r>
  <r>
    <s v="O109264"/>
    <x v="593"/>
    <x v="3"/>
    <x v="2"/>
    <x v="4"/>
    <x v="3"/>
    <n v="2"/>
    <n v="719190"/>
    <d v="2026-07-17T00:00:00"/>
    <n v="7"/>
    <n v="17"/>
    <n v="2026"/>
    <x v="10"/>
    <s v="Q3"/>
    <x v="4"/>
  </r>
  <r>
    <s v="O107025"/>
    <x v="621"/>
    <x v="4"/>
    <x v="2"/>
    <x v="4"/>
    <x v="1"/>
    <n v="2"/>
    <n v="718951"/>
    <d v="2026-03-03T00:00:00"/>
    <n v="3"/>
    <n v="3"/>
    <n v="2026"/>
    <x v="5"/>
    <s v="Q1"/>
    <x v="4"/>
  </r>
  <r>
    <s v="O110503"/>
    <x v="772"/>
    <x v="2"/>
    <x v="4"/>
    <x v="4"/>
    <x v="1"/>
    <n v="4"/>
    <n v="718620"/>
    <d v="2026-01-10T00:00:00"/>
    <n v="1"/>
    <n v="10"/>
    <n v="2026"/>
    <x v="6"/>
    <s v="Q1"/>
    <x v="4"/>
  </r>
  <r>
    <s v="O110475"/>
    <x v="705"/>
    <x v="8"/>
    <x v="4"/>
    <x v="3"/>
    <x v="0"/>
    <n v="4"/>
    <n v="718451"/>
    <d v="2026-09-29T00:00:00"/>
    <n v="9"/>
    <n v="29"/>
    <n v="2026"/>
    <x v="1"/>
    <s v="Q3"/>
    <x v="3"/>
  </r>
  <r>
    <s v="O108317"/>
    <x v="343"/>
    <x v="4"/>
    <x v="5"/>
    <x v="1"/>
    <x v="0"/>
    <n v="7"/>
    <n v="718302"/>
    <d v="2026-05-21T00:00:00"/>
    <n v="5"/>
    <n v="21"/>
    <n v="2026"/>
    <x v="3"/>
    <s v="Q2"/>
    <x v="1"/>
  </r>
  <r>
    <s v="O103784"/>
    <x v="255"/>
    <x v="9"/>
    <x v="5"/>
    <x v="3"/>
    <x v="1"/>
    <n v="6"/>
    <n v="717022"/>
    <d v="2025-08-18T00:00:00"/>
    <n v="8"/>
    <n v="18"/>
    <n v="2025"/>
    <x v="8"/>
    <s v="Q3"/>
    <x v="3"/>
  </r>
  <r>
    <s v="O104622"/>
    <x v="643"/>
    <x v="3"/>
    <x v="4"/>
    <x v="1"/>
    <x v="0"/>
    <n v="5"/>
    <n v="716772"/>
    <d v="2025-08-10T00:00:00"/>
    <n v="8"/>
    <n v="10"/>
    <n v="2025"/>
    <x v="8"/>
    <s v="Q3"/>
    <x v="1"/>
  </r>
  <r>
    <s v="O102192"/>
    <x v="254"/>
    <x v="9"/>
    <x v="5"/>
    <x v="4"/>
    <x v="1"/>
    <n v="5"/>
    <n v="716770"/>
    <d v="2025-05-14T00:00:00"/>
    <n v="5"/>
    <n v="14"/>
    <n v="2025"/>
    <x v="3"/>
    <s v="Q2"/>
    <x v="4"/>
  </r>
  <r>
    <s v="O110433"/>
    <x v="639"/>
    <x v="6"/>
    <x v="2"/>
    <x v="2"/>
    <x v="3"/>
    <n v="2"/>
    <n v="716496"/>
    <d v="2026-09-26T00:00:00"/>
    <n v="9"/>
    <n v="26"/>
    <n v="2026"/>
    <x v="1"/>
    <s v="Q3"/>
    <x v="2"/>
  </r>
  <r>
    <s v="O100166"/>
    <x v="529"/>
    <x v="5"/>
    <x v="5"/>
    <x v="3"/>
    <x v="1"/>
    <n v="7"/>
    <n v="715797"/>
    <d v="2025-11-01T00:00:00"/>
    <n v="11"/>
    <n v="1"/>
    <n v="2025"/>
    <x v="0"/>
    <s v="Q4"/>
    <x v="3"/>
  </r>
  <r>
    <s v="O108131"/>
    <x v="692"/>
    <x v="3"/>
    <x v="4"/>
    <x v="4"/>
    <x v="1"/>
    <n v="4"/>
    <n v="715676"/>
    <d v="2026-09-05T00:00:00"/>
    <n v="9"/>
    <n v="5"/>
    <n v="2026"/>
    <x v="1"/>
    <s v="Q3"/>
    <x v="4"/>
  </r>
  <r>
    <s v="O100761"/>
    <x v="330"/>
    <x v="1"/>
    <x v="0"/>
    <x v="3"/>
    <x v="2"/>
    <n v="2"/>
    <n v="715293"/>
    <d v="2025-02-16T00:00:00"/>
    <n v="2"/>
    <n v="16"/>
    <n v="2025"/>
    <x v="4"/>
    <s v="Q1"/>
    <x v="3"/>
  </r>
  <r>
    <s v="O102150"/>
    <x v="3"/>
    <x v="4"/>
    <x v="5"/>
    <x v="0"/>
    <x v="2"/>
    <n v="7"/>
    <n v="715079"/>
    <d v="2025-11-05T00:00:00"/>
    <n v="11"/>
    <n v="5"/>
    <n v="2025"/>
    <x v="0"/>
    <s v="Q4"/>
    <x v="0"/>
  </r>
  <r>
    <s v="O111064"/>
    <x v="139"/>
    <x v="1"/>
    <x v="5"/>
    <x v="3"/>
    <x v="2"/>
    <n v="7"/>
    <n v="714240"/>
    <d v="2026-04-11T00:00:00"/>
    <n v="4"/>
    <n v="11"/>
    <n v="2026"/>
    <x v="11"/>
    <s v="Q2"/>
    <x v="3"/>
  </r>
  <r>
    <s v="O106231"/>
    <x v="383"/>
    <x v="6"/>
    <x v="2"/>
    <x v="3"/>
    <x v="2"/>
    <n v="3"/>
    <n v="714092"/>
    <d v="2026-01-14T00:00:00"/>
    <n v="1"/>
    <n v="14"/>
    <n v="2026"/>
    <x v="6"/>
    <s v="Q1"/>
    <x v="3"/>
  </r>
  <r>
    <s v="O103101"/>
    <x v="386"/>
    <x v="3"/>
    <x v="0"/>
    <x v="2"/>
    <x v="0"/>
    <n v="2"/>
    <n v="714052"/>
    <d v="2025-08-07T00:00:00"/>
    <n v="8"/>
    <n v="7"/>
    <n v="2025"/>
    <x v="8"/>
    <s v="Q3"/>
    <x v="2"/>
  </r>
  <r>
    <s v="O104192"/>
    <x v="586"/>
    <x v="0"/>
    <x v="5"/>
    <x v="0"/>
    <x v="3"/>
    <n v="5"/>
    <n v="712813"/>
    <d v="2025-12-09T00:00:00"/>
    <n v="12"/>
    <n v="9"/>
    <n v="2025"/>
    <x v="7"/>
    <s v="Q4"/>
    <x v="0"/>
  </r>
  <r>
    <s v="O108256"/>
    <x v="644"/>
    <x v="1"/>
    <x v="5"/>
    <x v="0"/>
    <x v="0"/>
    <n v="6"/>
    <n v="711974"/>
    <d v="2026-05-17T00:00:00"/>
    <n v="5"/>
    <n v="17"/>
    <n v="2026"/>
    <x v="3"/>
    <s v="Q2"/>
    <x v="0"/>
  </r>
  <r>
    <s v="O100893"/>
    <x v="449"/>
    <x v="4"/>
    <x v="5"/>
    <x v="2"/>
    <x v="2"/>
    <n v="5"/>
    <n v="711963"/>
    <d v="2025-02-24T00:00:00"/>
    <n v="2"/>
    <n v="24"/>
    <n v="2025"/>
    <x v="4"/>
    <s v="Q1"/>
    <x v="2"/>
  </r>
  <r>
    <s v="O110390"/>
    <x v="77"/>
    <x v="3"/>
    <x v="5"/>
    <x v="1"/>
    <x v="1"/>
    <n v="6"/>
    <n v="711593"/>
    <d v="2026-09-24T00:00:00"/>
    <n v="9"/>
    <n v="24"/>
    <n v="2026"/>
    <x v="1"/>
    <s v="Q3"/>
    <x v="1"/>
  </r>
  <r>
    <s v="O100404"/>
    <x v="657"/>
    <x v="1"/>
    <x v="5"/>
    <x v="5"/>
    <x v="1"/>
    <n v="5"/>
    <n v="711474"/>
    <d v="2025-01-25T00:00:00"/>
    <n v="1"/>
    <n v="25"/>
    <n v="2025"/>
    <x v="6"/>
    <s v="Q1"/>
    <x v="5"/>
  </r>
  <r>
    <s v="O103991"/>
    <x v="599"/>
    <x v="8"/>
    <x v="0"/>
    <x v="0"/>
    <x v="3"/>
    <n v="2"/>
    <n v="711439"/>
    <d v="2025-08-31T00:00:00"/>
    <n v="8"/>
    <n v="31"/>
    <n v="2025"/>
    <x v="8"/>
    <s v="Q3"/>
    <x v="0"/>
  </r>
  <r>
    <s v="O104048"/>
    <x v="224"/>
    <x v="8"/>
    <x v="2"/>
    <x v="1"/>
    <x v="1"/>
    <n v="2"/>
    <n v="711429"/>
    <d v="2025-03-09T00:00:00"/>
    <n v="3"/>
    <n v="9"/>
    <n v="2025"/>
    <x v="5"/>
    <s v="Q1"/>
    <x v="1"/>
  </r>
  <r>
    <s v="O105959"/>
    <x v="751"/>
    <x v="3"/>
    <x v="4"/>
    <x v="1"/>
    <x v="0"/>
    <n v="4"/>
    <n v="711315"/>
    <d v="2025-12-28T00:00:00"/>
    <n v="12"/>
    <n v="28"/>
    <n v="2025"/>
    <x v="7"/>
    <s v="Q4"/>
    <x v="1"/>
  </r>
  <r>
    <s v="O106786"/>
    <x v="526"/>
    <x v="8"/>
    <x v="5"/>
    <x v="1"/>
    <x v="0"/>
    <n v="6"/>
    <n v="710871"/>
    <d v="2026-02-17T00:00:00"/>
    <n v="2"/>
    <n v="17"/>
    <n v="2026"/>
    <x v="4"/>
    <s v="Q1"/>
    <x v="1"/>
  </r>
  <r>
    <s v="O104434"/>
    <x v="174"/>
    <x v="0"/>
    <x v="3"/>
    <x v="0"/>
    <x v="0"/>
    <n v="3"/>
    <n v="710739"/>
    <d v="2025-09-27T00:00:00"/>
    <n v="9"/>
    <n v="27"/>
    <n v="2025"/>
    <x v="1"/>
    <s v="Q3"/>
    <x v="0"/>
  </r>
  <r>
    <s v="O108351"/>
    <x v="185"/>
    <x v="0"/>
    <x v="5"/>
    <x v="0"/>
    <x v="3"/>
    <n v="5"/>
    <n v="710603"/>
    <d v="2026-05-23T00:00:00"/>
    <n v="5"/>
    <n v="23"/>
    <n v="2026"/>
    <x v="3"/>
    <s v="Q2"/>
    <x v="0"/>
  </r>
  <r>
    <s v="O101314"/>
    <x v="235"/>
    <x v="8"/>
    <x v="5"/>
    <x v="3"/>
    <x v="1"/>
    <n v="6"/>
    <n v="710411"/>
    <d v="2025-03-21T00:00:00"/>
    <n v="3"/>
    <n v="21"/>
    <n v="2025"/>
    <x v="5"/>
    <s v="Q1"/>
    <x v="3"/>
  </r>
  <r>
    <s v="O104527"/>
    <x v="325"/>
    <x v="0"/>
    <x v="4"/>
    <x v="4"/>
    <x v="2"/>
    <n v="4"/>
    <n v="709193"/>
    <d v="2025-02-10T00:00:00"/>
    <n v="2"/>
    <n v="10"/>
    <n v="2025"/>
    <x v="4"/>
    <s v="Q1"/>
    <x v="4"/>
  </r>
  <r>
    <s v="O106439"/>
    <x v="76"/>
    <x v="10"/>
    <x v="0"/>
    <x v="0"/>
    <x v="2"/>
    <n v="2"/>
    <n v="708965"/>
    <d v="2026-01-27T00:00:00"/>
    <n v="1"/>
    <n v="27"/>
    <n v="2026"/>
    <x v="6"/>
    <s v="Q1"/>
    <x v="0"/>
  </r>
  <r>
    <s v="O106769"/>
    <x v="59"/>
    <x v="4"/>
    <x v="5"/>
    <x v="0"/>
    <x v="3"/>
    <n v="5"/>
    <n v="708724"/>
    <d v="2026-02-16T00:00:00"/>
    <n v="2"/>
    <n v="16"/>
    <n v="2026"/>
    <x v="4"/>
    <s v="Q1"/>
    <x v="0"/>
  </r>
  <r>
    <s v="O105608"/>
    <x v="497"/>
    <x v="1"/>
    <x v="5"/>
    <x v="3"/>
    <x v="1"/>
    <n v="5"/>
    <n v="707891"/>
    <d v="2025-07-12T00:00:00"/>
    <n v="7"/>
    <n v="12"/>
    <n v="2025"/>
    <x v="10"/>
    <s v="Q3"/>
    <x v="3"/>
  </r>
  <r>
    <s v="O106864"/>
    <x v="652"/>
    <x v="1"/>
    <x v="0"/>
    <x v="0"/>
    <x v="1"/>
    <n v="2"/>
    <n v="707695"/>
    <d v="2026-02-21T00:00:00"/>
    <n v="2"/>
    <n v="21"/>
    <n v="2026"/>
    <x v="4"/>
    <s v="Q1"/>
    <x v="0"/>
  </r>
  <r>
    <s v="O106701"/>
    <x v="689"/>
    <x v="4"/>
    <x v="2"/>
    <x v="4"/>
    <x v="0"/>
    <n v="2"/>
    <n v="707245"/>
    <d v="2026-12-02T00:00:00"/>
    <n v="12"/>
    <n v="2"/>
    <n v="2026"/>
    <x v="7"/>
    <s v="Q4"/>
    <x v="4"/>
  </r>
  <r>
    <s v="O101673"/>
    <x v="579"/>
    <x v="10"/>
    <x v="5"/>
    <x v="3"/>
    <x v="3"/>
    <n v="7"/>
    <n v="706787"/>
    <d v="2025-12-04T00:00:00"/>
    <n v="12"/>
    <n v="4"/>
    <n v="2025"/>
    <x v="7"/>
    <s v="Q4"/>
    <x v="3"/>
  </r>
  <r>
    <s v="O100116"/>
    <x v="543"/>
    <x v="8"/>
    <x v="5"/>
    <x v="2"/>
    <x v="0"/>
    <n v="6"/>
    <n v="706074"/>
    <d v="2025-07-01T00:00:00"/>
    <n v="7"/>
    <n v="1"/>
    <n v="2025"/>
    <x v="10"/>
    <s v="Q3"/>
    <x v="2"/>
  </r>
  <r>
    <s v="O110051"/>
    <x v="464"/>
    <x v="3"/>
    <x v="4"/>
    <x v="3"/>
    <x v="1"/>
    <n v="4"/>
    <n v="705944"/>
    <d v="2026-03-09T00:00:00"/>
    <n v="3"/>
    <n v="9"/>
    <n v="2026"/>
    <x v="5"/>
    <s v="Q1"/>
    <x v="3"/>
  </r>
  <r>
    <s v="O111575"/>
    <x v="762"/>
    <x v="6"/>
    <x v="4"/>
    <x v="3"/>
    <x v="1"/>
    <n v="5"/>
    <n v="705898"/>
    <d v="2026-05-12T00:00:00"/>
    <n v="5"/>
    <n v="12"/>
    <n v="2026"/>
    <x v="3"/>
    <s v="Q2"/>
    <x v="3"/>
  </r>
  <r>
    <s v="O110925"/>
    <x v="406"/>
    <x v="1"/>
    <x v="4"/>
    <x v="4"/>
    <x v="0"/>
    <n v="5"/>
    <n v="705732"/>
    <d v="2026-10-26T00:00:00"/>
    <n v="10"/>
    <n v="26"/>
    <n v="2026"/>
    <x v="9"/>
    <s v="Q4"/>
    <x v="4"/>
  </r>
  <r>
    <s v="O103772"/>
    <x v="269"/>
    <x v="9"/>
    <x v="5"/>
    <x v="3"/>
    <x v="0"/>
    <n v="5"/>
    <n v="705108"/>
    <d v="2025-08-18T00:00:00"/>
    <n v="8"/>
    <n v="18"/>
    <n v="2025"/>
    <x v="8"/>
    <s v="Q3"/>
    <x v="3"/>
  </r>
  <r>
    <s v="O101709"/>
    <x v="673"/>
    <x v="6"/>
    <x v="2"/>
    <x v="2"/>
    <x v="2"/>
    <n v="2"/>
    <n v="704718"/>
    <d v="2025-04-14T00:00:00"/>
    <n v="4"/>
    <n v="14"/>
    <n v="2025"/>
    <x v="11"/>
    <s v="Q2"/>
    <x v="2"/>
  </r>
  <r>
    <s v="O111655"/>
    <x v="184"/>
    <x v="3"/>
    <x v="5"/>
    <x v="3"/>
    <x v="1"/>
    <n v="6"/>
    <n v="704562"/>
    <d v="2026-10-12T00:00:00"/>
    <n v="10"/>
    <n v="12"/>
    <n v="2026"/>
    <x v="9"/>
    <s v="Q4"/>
    <x v="3"/>
  </r>
  <r>
    <s v="O111184"/>
    <x v="48"/>
    <x v="3"/>
    <x v="2"/>
    <x v="4"/>
    <x v="3"/>
    <n v="3"/>
    <n v="704131"/>
    <d v="2026-11-11T00:00:00"/>
    <n v="11"/>
    <n v="11"/>
    <n v="2026"/>
    <x v="0"/>
    <s v="Q4"/>
    <x v="4"/>
  </r>
  <r>
    <s v="O103344"/>
    <x v="591"/>
    <x v="3"/>
    <x v="0"/>
    <x v="3"/>
    <x v="1"/>
    <n v="2"/>
    <n v="703616"/>
    <d v="2025-07-23T00:00:00"/>
    <n v="7"/>
    <n v="23"/>
    <n v="2025"/>
    <x v="10"/>
    <s v="Q3"/>
    <x v="3"/>
  </r>
  <r>
    <s v="O100147"/>
    <x v="525"/>
    <x v="6"/>
    <x v="2"/>
    <x v="3"/>
    <x v="2"/>
    <n v="2"/>
    <n v="703350"/>
    <d v="2025-09-01T00:00:00"/>
    <n v="9"/>
    <n v="1"/>
    <n v="2025"/>
    <x v="1"/>
    <s v="Q3"/>
    <x v="3"/>
  </r>
  <r>
    <s v="O111232"/>
    <x v="738"/>
    <x v="9"/>
    <x v="2"/>
    <x v="0"/>
    <x v="2"/>
    <n v="2"/>
    <n v="703277"/>
    <d v="2026-11-14T00:00:00"/>
    <n v="11"/>
    <n v="14"/>
    <n v="2026"/>
    <x v="0"/>
    <s v="Q4"/>
    <x v="0"/>
  </r>
  <r>
    <s v="O103505"/>
    <x v="747"/>
    <x v="5"/>
    <x v="5"/>
    <x v="2"/>
    <x v="3"/>
    <n v="5"/>
    <n v="703186"/>
    <d v="2025-01-08T00:00:00"/>
    <n v="1"/>
    <n v="8"/>
    <n v="2025"/>
    <x v="6"/>
    <m/>
    <x v="2"/>
  </r>
  <r>
    <s v="O109703"/>
    <x v="672"/>
    <x v="3"/>
    <x v="4"/>
    <x v="1"/>
    <x v="2"/>
    <n v="5"/>
    <n v="702993"/>
    <d v="2026-08-13T00:00:00"/>
    <n v="8"/>
    <n v="13"/>
    <n v="2026"/>
    <x v="8"/>
    <s v="Q3"/>
    <x v="1"/>
  </r>
  <r>
    <s v="O103156"/>
    <x v="732"/>
    <x v="4"/>
    <x v="2"/>
    <x v="4"/>
    <x v="2"/>
    <n v="2"/>
    <n v="702975"/>
    <d v="2025-11-07T00:00:00"/>
    <n v="11"/>
    <n v="7"/>
    <n v="2025"/>
    <x v="0"/>
    <s v="Q4"/>
    <x v="4"/>
  </r>
  <r>
    <s v="O109121"/>
    <x v="734"/>
    <x v="0"/>
    <x v="5"/>
    <x v="2"/>
    <x v="2"/>
    <n v="5"/>
    <n v="702801"/>
    <d v="2026-09-07T00:00:00"/>
    <n v="9"/>
    <n v="7"/>
    <n v="2026"/>
    <x v="1"/>
    <s v="Q3"/>
    <x v="2"/>
  </r>
  <r>
    <s v="O103516"/>
    <x v="108"/>
    <x v="3"/>
    <x v="3"/>
    <x v="4"/>
    <x v="3"/>
    <n v="3"/>
    <n v="702695"/>
    <d v="2025-02-08T00:00:00"/>
    <n v="2"/>
    <n v="8"/>
    <n v="2025"/>
    <x v="4"/>
    <s v="Q1"/>
    <x v="4"/>
  </r>
  <r>
    <s v="O102266"/>
    <x v="459"/>
    <x v="8"/>
    <x v="2"/>
    <x v="4"/>
    <x v="3"/>
    <n v="2"/>
    <n v="702577"/>
    <d v="2025-05-18T00:00:00"/>
    <n v="5"/>
    <n v="18"/>
    <n v="2025"/>
    <x v="3"/>
    <s v="Q2"/>
    <x v="4"/>
  </r>
  <r>
    <s v="O105884"/>
    <x v="10"/>
    <x v="8"/>
    <x v="3"/>
    <x v="2"/>
    <x v="0"/>
    <n v="3"/>
    <n v="702489"/>
    <d v="2025-12-24T00:00:00"/>
    <n v="12"/>
    <n v="24"/>
    <n v="2025"/>
    <x v="7"/>
    <s v="Q4"/>
    <x v="2"/>
  </r>
  <r>
    <s v="O108274"/>
    <x v="762"/>
    <x v="0"/>
    <x v="2"/>
    <x v="0"/>
    <x v="3"/>
    <n v="2"/>
    <n v="702460"/>
    <d v="2026-05-18T00:00:00"/>
    <n v="5"/>
    <n v="18"/>
    <n v="2026"/>
    <x v="3"/>
    <s v="Q2"/>
    <x v="0"/>
  </r>
  <r>
    <s v="O102486"/>
    <x v="199"/>
    <x v="6"/>
    <x v="3"/>
    <x v="4"/>
    <x v="3"/>
    <n v="4"/>
    <n v="701671"/>
    <d v="2025-05-31T00:00:00"/>
    <n v="5"/>
    <n v="31"/>
    <n v="2025"/>
    <x v="3"/>
    <s v="Q2"/>
    <x v="4"/>
  </r>
  <r>
    <s v="O111090"/>
    <x v="260"/>
    <x v="3"/>
    <x v="2"/>
    <x v="0"/>
    <x v="3"/>
    <n v="2"/>
    <n v="700974"/>
    <d v="2026-05-11T00:00:00"/>
    <n v="5"/>
    <n v="11"/>
    <n v="2026"/>
    <x v="3"/>
    <s v="Q2"/>
    <x v="0"/>
  </r>
  <r>
    <s v="O104303"/>
    <x v="303"/>
    <x v="5"/>
    <x v="4"/>
    <x v="4"/>
    <x v="3"/>
    <n v="5"/>
    <n v="700625"/>
    <d v="2025-09-19T00:00:00"/>
    <n v="9"/>
    <n v="19"/>
    <n v="2025"/>
    <x v="1"/>
    <s v="Q3"/>
    <x v="4"/>
  </r>
  <r>
    <s v="O105041"/>
    <x v="389"/>
    <x v="2"/>
    <x v="4"/>
    <x v="0"/>
    <x v="2"/>
    <n v="4"/>
    <n v="700092"/>
    <d v="2025-03-11T00:00:00"/>
    <n v="3"/>
    <n v="11"/>
    <n v="2025"/>
    <x v="5"/>
    <s v="Q1"/>
    <x v="0"/>
  </r>
  <r>
    <s v="O101110"/>
    <x v="795"/>
    <x v="2"/>
    <x v="0"/>
    <x v="1"/>
    <x v="1"/>
    <n v="2"/>
    <n v="700054"/>
    <d v="2025-09-03T00:00:00"/>
    <n v="9"/>
    <n v="3"/>
    <n v="2025"/>
    <x v="1"/>
    <s v="Q3"/>
    <x v="1"/>
  </r>
  <r>
    <s v="O100959"/>
    <x v="274"/>
    <x v="0"/>
    <x v="0"/>
    <x v="0"/>
    <x v="3"/>
    <n v="2"/>
    <n v="699917"/>
    <d v="2025-02-28T00:00:00"/>
    <n v="2"/>
    <n v="28"/>
    <n v="2025"/>
    <x v="4"/>
    <s v="Q1"/>
    <x v="0"/>
  </r>
  <r>
    <s v="O111999"/>
    <x v="418"/>
    <x v="0"/>
    <x v="3"/>
    <x v="3"/>
    <x v="0"/>
    <n v="3"/>
    <n v="699898"/>
    <d v="2026-12-30T00:00:00"/>
    <n v="12"/>
    <n v="30"/>
    <n v="2026"/>
    <x v="7"/>
    <s v="Q4"/>
    <x v="3"/>
  </r>
  <r>
    <s v="O104543"/>
    <x v="684"/>
    <x v="2"/>
    <x v="0"/>
    <x v="2"/>
    <x v="0"/>
    <n v="2"/>
    <n v="699629"/>
    <d v="2025-03-10T00:00:00"/>
    <n v="3"/>
    <n v="10"/>
    <n v="2025"/>
    <x v="5"/>
    <s v="Q1"/>
    <x v="2"/>
  </r>
  <r>
    <s v="O105538"/>
    <x v="217"/>
    <x v="4"/>
    <x v="5"/>
    <x v="3"/>
    <x v="3"/>
    <n v="7"/>
    <n v="699625"/>
    <d v="2025-03-12T00:00:00"/>
    <n v="3"/>
    <n v="12"/>
    <n v="2025"/>
    <x v="5"/>
    <s v="Q1"/>
    <x v="3"/>
  </r>
  <r>
    <s v="O106737"/>
    <x v="717"/>
    <x v="8"/>
    <x v="3"/>
    <x v="0"/>
    <x v="3"/>
    <n v="3"/>
    <n v="699608"/>
    <d v="2026-02-14T00:00:00"/>
    <n v="2"/>
    <n v="14"/>
    <n v="2026"/>
    <x v="4"/>
    <s v="Q1"/>
    <x v="0"/>
  </r>
  <r>
    <s v="O100484"/>
    <x v="325"/>
    <x v="8"/>
    <x v="2"/>
    <x v="1"/>
    <x v="1"/>
    <n v="2"/>
    <n v="699091"/>
    <d v="2025-01-30T00:00:00"/>
    <n v="1"/>
    <n v="30"/>
    <n v="2025"/>
    <x v="6"/>
    <s v="Q1"/>
    <x v="1"/>
  </r>
  <r>
    <s v="O109586"/>
    <x v="373"/>
    <x v="4"/>
    <x v="4"/>
    <x v="3"/>
    <x v="2"/>
    <n v="5"/>
    <n v="699078"/>
    <d v="2026-06-08T00:00:00"/>
    <n v="6"/>
    <n v="8"/>
    <n v="2026"/>
    <x v="2"/>
    <s v="Q2"/>
    <x v="3"/>
  </r>
  <r>
    <s v="O111590"/>
    <x v="368"/>
    <x v="9"/>
    <x v="2"/>
    <x v="3"/>
    <x v="3"/>
    <n v="2"/>
    <n v="698823"/>
    <d v="2026-06-12T00:00:00"/>
    <n v="6"/>
    <n v="12"/>
    <n v="2026"/>
    <x v="2"/>
    <s v="Q2"/>
    <x v="3"/>
  </r>
  <r>
    <s v="O101231"/>
    <x v="793"/>
    <x v="9"/>
    <x v="5"/>
    <x v="2"/>
    <x v="1"/>
    <n v="5"/>
    <n v="698329"/>
    <d v="2025-03-16T00:00:00"/>
    <n v="3"/>
    <n v="16"/>
    <n v="2025"/>
    <x v="5"/>
    <s v="Q1"/>
    <x v="2"/>
  </r>
  <r>
    <s v="O107488"/>
    <x v="532"/>
    <x v="9"/>
    <x v="3"/>
    <x v="0"/>
    <x v="0"/>
    <n v="3"/>
    <n v="698207"/>
    <d v="2026-03-31T00:00:00"/>
    <n v="3"/>
    <n v="31"/>
    <n v="2026"/>
    <x v="5"/>
    <s v="Q1"/>
    <x v="0"/>
  </r>
  <r>
    <s v="O106978"/>
    <x v="233"/>
    <x v="3"/>
    <x v="5"/>
    <x v="3"/>
    <x v="1"/>
    <n v="6"/>
    <n v="697726"/>
    <d v="2026-02-28T00:00:00"/>
    <n v="2"/>
    <n v="28"/>
    <n v="2026"/>
    <x v="4"/>
    <s v="Q1"/>
    <x v="3"/>
  </r>
  <r>
    <s v="O102245"/>
    <x v="82"/>
    <x v="0"/>
    <x v="5"/>
    <x v="3"/>
    <x v="3"/>
    <n v="6"/>
    <n v="697076"/>
    <d v="2025-05-17T00:00:00"/>
    <n v="5"/>
    <n v="17"/>
    <n v="2025"/>
    <x v="3"/>
    <s v="Q2"/>
    <x v="3"/>
  </r>
  <r>
    <s v="O100092"/>
    <x v="570"/>
    <x v="4"/>
    <x v="4"/>
    <x v="1"/>
    <x v="3"/>
    <n v="4"/>
    <n v="696565"/>
    <d v="2025-06-01T00:00:00"/>
    <n v="6"/>
    <n v="1"/>
    <n v="2025"/>
    <x v="2"/>
    <s v="Q2"/>
    <x v="1"/>
  </r>
  <r>
    <s v="O108007"/>
    <x v="47"/>
    <x v="9"/>
    <x v="4"/>
    <x v="4"/>
    <x v="0"/>
    <n v="4"/>
    <n v="696151"/>
    <d v="2026-02-05T00:00:00"/>
    <n v="2"/>
    <n v="5"/>
    <n v="2026"/>
    <x v="4"/>
    <s v="Q1"/>
    <x v="4"/>
  </r>
  <r>
    <s v="O109129"/>
    <x v="240"/>
    <x v="6"/>
    <x v="4"/>
    <x v="0"/>
    <x v="0"/>
    <n v="4"/>
    <n v="695823"/>
    <d v="2026-09-07T00:00:00"/>
    <n v="9"/>
    <n v="7"/>
    <n v="2026"/>
    <x v="1"/>
    <s v="Q3"/>
    <x v="0"/>
  </r>
  <r>
    <s v="O101788"/>
    <x v="29"/>
    <x v="4"/>
    <x v="2"/>
    <x v="2"/>
    <x v="2"/>
    <n v="2"/>
    <n v="695678"/>
    <d v="2025-04-19T00:00:00"/>
    <n v="4"/>
    <n v="19"/>
    <n v="2025"/>
    <x v="11"/>
    <s v="Q2"/>
    <x v="2"/>
  </r>
  <r>
    <s v="O107654"/>
    <x v="305"/>
    <x v="3"/>
    <x v="5"/>
    <x v="1"/>
    <x v="1"/>
    <n v="5"/>
    <n v="695647"/>
    <d v="2026-10-04T00:00:00"/>
    <n v="10"/>
    <n v="4"/>
    <n v="2026"/>
    <x v="9"/>
    <s v="Q4"/>
    <x v="1"/>
  </r>
  <r>
    <s v="O110778"/>
    <x v="696"/>
    <x v="9"/>
    <x v="4"/>
    <x v="1"/>
    <x v="2"/>
    <n v="5"/>
    <n v="695633"/>
    <d v="2026-10-17T00:00:00"/>
    <n v="10"/>
    <n v="17"/>
    <n v="2026"/>
    <x v="9"/>
    <s v="Q4"/>
    <x v="1"/>
  </r>
  <r>
    <s v="O104734"/>
    <x v="231"/>
    <x v="10"/>
    <x v="3"/>
    <x v="4"/>
    <x v="4"/>
    <n v="3"/>
    <n v="695339"/>
    <d v="2025-10-15T00:00:00"/>
    <n v="10"/>
    <n v="15"/>
    <n v="2025"/>
    <x v="9"/>
    <s v="Q4"/>
    <x v="4"/>
  </r>
  <r>
    <s v="O109726"/>
    <x v="545"/>
    <x v="9"/>
    <x v="3"/>
    <x v="0"/>
    <x v="0"/>
    <n v="3"/>
    <n v="695130"/>
    <d v="2026-08-14T00:00:00"/>
    <n v="8"/>
    <n v="14"/>
    <n v="2026"/>
    <x v="8"/>
    <s v="Q3"/>
    <x v="0"/>
  </r>
  <r>
    <s v="O109156"/>
    <x v="228"/>
    <x v="10"/>
    <x v="0"/>
    <x v="2"/>
    <x v="0"/>
    <n v="2"/>
    <n v="694697"/>
    <d v="2026-11-07T00:00:00"/>
    <n v="11"/>
    <n v="7"/>
    <n v="2026"/>
    <x v="0"/>
    <s v="Q4"/>
    <x v="2"/>
  </r>
  <r>
    <s v="O108678"/>
    <x v="619"/>
    <x v="0"/>
    <x v="4"/>
    <x v="2"/>
    <x v="0"/>
    <n v="5"/>
    <n v="694110"/>
    <d v="2026-12-06T00:00:00"/>
    <n v="12"/>
    <n v="6"/>
    <n v="2026"/>
    <x v="7"/>
    <s v="Q4"/>
    <x v="2"/>
  </r>
  <r>
    <s v="O109771"/>
    <x v="445"/>
    <x v="2"/>
    <x v="4"/>
    <x v="4"/>
    <x v="3"/>
    <n v="4"/>
    <n v="694045"/>
    <d v="2026-08-17T00:00:00"/>
    <n v="8"/>
    <n v="17"/>
    <n v="2026"/>
    <x v="8"/>
    <s v="Q3"/>
    <x v="4"/>
  </r>
  <r>
    <s v="O103111"/>
    <x v="647"/>
    <x v="8"/>
    <x v="2"/>
    <x v="1"/>
    <x v="3"/>
    <n v="2"/>
    <n v="693021"/>
    <d v="2025-08-07T00:00:00"/>
    <n v="8"/>
    <n v="7"/>
    <n v="2025"/>
    <x v="8"/>
    <s v="Q3"/>
    <x v="1"/>
  </r>
  <r>
    <s v="O104847"/>
    <x v="734"/>
    <x v="8"/>
    <x v="3"/>
    <x v="4"/>
    <x v="0"/>
    <n v="4"/>
    <n v="692396"/>
    <d v="2025-10-22T00:00:00"/>
    <n v="10"/>
    <n v="22"/>
    <n v="2025"/>
    <x v="9"/>
    <s v="Q4"/>
    <x v="4"/>
  </r>
  <r>
    <s v="O108716"/>
    <x v="793"/>
    <x v="4"/>
    <x v="5"/>
    <x v="1"/>
    <x v="0"/>
    <n v="5"/>
    <n v="692222"/>
    <d v="2026-06-14T00:00:00"/>
    <n v="6"/>
    <n v="14"/>
    <n v="2026"/>
    <x v="2"/>
    <s v="Q2"/>
    <x v="1"/>
  </r>
  <r>
    <s v="O103397"/>
    <x v="222"/>
    <x v="8"/>
    <x v="5"/>
    <x v="1"/>
    <x v="3"/>
    <n v="5"/>
    <n v="692213"/>
    <d v="2025-07-26T00:00:00"/>
    <n v="7"/>
    <n v="26"/>
    <n v="2025"/>
    <x v="10"/>
    <s v="Q3"/>
    <x v="1"/>
  </r>
  <r>
    <s v="O110983"/>
    <x v="208"/>
    <x v="3"/>
    <x v="5"/>
    <x v="1"/>
    <x v="3"/>
    <n v="6"/>
    <n v="691849"/>
    <d v="2026-10-30T00:00:00"/>
    <n v="10"/>
    <n v="30"/>
    <n v="2026"/>
    <x v="9"/>
    <s v="Q4"/>
    <x v="1"/>
  </r>
  <r>
    <s v="O103609"/>
    <x v="281"/>
    <x v="3"/>
    <x v="3"/>
    <x v="3"/>
    <x v="3"/>
    <n v="3"/>
    <n v="691481"/>
    <d v="2025-08-08T00:00:00"/>
    <n v="8"/>
    <n v="8"/>
    <n v="2025"/>
    <x v="8"/>
    <s v="Q3"/>
    <x v="3"/>
  </r>
  <r>
    <s v="O110495"/>
    <x v="663"/>
    <x v="1"/>
    <x v="2"/>
    <x v="0"/>
    <x v="1"/>
    <n v="2"/>
    <n v="691051"/>
    <d v="2026-09-30T00:00:00"/>
    <n v="9"/>
    <n v="30"/>
    <n v="2026"/>
    <x v="1"/>
    <s v="Q3"/>
    <x v="0"/>
  </r>
  <r>
    <s v="O106301"/>
    <x v="451"/>
    <x v="10"/>
    <x v="4"/>
    <x v="4"/>
    <x v="3"/>
    <n v="4"/>
    <n v="690190"/>
    <d v="2026-01-18T00:00:00"/>
    <n v="1"/>
    <n v="18"/>
    <n v="2026"/>
    <x v="6"/>
    <s v="Q1"/>
    <x v="4"/>
  </r>
  <r>
    <s v="O106666"/>
    <x v="69"/>
    <x v="6"/>
    <x v="4"/>
    <x v="2"/>
    <x v="2"/>
    <n v="4"/>
    <n v="689222"/>
    <d v="2026-09-02T00:00:00"/>
    <n v="9"/>
    <n v="2"/>
    <n v="2026"/>
    <x v="1"/>
    <s v="Q3"/>
    <x v="2"/>
  </r>
  <r>
    <s v="O103860"/>
    <x v="129"/>
    <x v="2"/>
    <x v="5"/>
    <x v="4"/>
    <x v="2"/>
    <n v="7"/>
    <n v="688912"/>
    <d v="2025-08-23T00:00:00"/>
    <n v="8"/>
    <n v="23"/>
    <n v="2025"/>
    <x v="8"/>
    <s v="Q3"/>
    <x v="4"/>
  </r>
  <r>
    <s v="O105460"/>
    <x v="503"/>
    <x v="3"/>
    <x v="3"/>
    <x v="4"/>
    <x v="0"/>
    <n v="3"/>
    <n v="688674"/>
    <d v="2025-11-28T00:00:00"/>
    <n v="11"/>
    <n v="28"/>
    <n v="2025"/>
    <x v="0"/>
    <s v="Q4"/>
    <x v="4"/>
  </r>
  <r>
    <s v="O110969"/>
    <x v="657"/>
    <x v="6"/>
    <x v="2"/>
    <x v="3"/>
    <x v="2"/>
    <n v="3"/>
    <n v="688596"/>
    <d v="2026-10-29T00:00:00"/>
    <n v="10"/>
    <n v="29"/>
    <n v="2026"/>
    <x v="9"/>
    <s v="Q4"/>
    <x v="3"/>
  </r>
  <r>
    <s v="O109736"/>
    <x v="374"/>
    <x v="5"/>
    <x v="2"/>
    <x v="0"/>
    <x v="3"/>
    <n v="2"/>
    <n v="688001"/>
    <d v="2026-08-15T00:00:00"/>
    <n v="8"/>
    <n v="15"/>
    <n v="2026"/>
    <x v="8"/>
    <s v="Q3"/>
    <x v="0"/>
  </r>
  <r>
    <s v="O106406"/>
    <x v="462"/>
    <x v="3"/>
    <x v="5"/>
    <x v="0"/>
    <x v="1"/>
    <n v="7"/>
    <n v="687587"/>
    <d v="2026-01-25T00:00:00"/>
    <n v="1"/>
    <n v="25"/>
    <n v="2026"/>
    <x v="6"/>
    <s v="Q1"/>
    <x v="0"/>
  </r>
  <r>
    <s v="O102803"/>
    <x v="557"/>
    <x v="5"/>
    <x v="3"/>
    <x v="1"/>
    <x v="1"/>
    <n v="4"/>
    <n v="687554"/>
    <d v="2025-06-20T00:00:00"/>
    <n v="6"/>
    <n v="20"/>
    <n v="2025"/>
    <x v="2"/>
    <s v="Q2"/>
    <x v="1"/>
  </r>
  <r>
    <s v="O106149"/>
    <x v="450"/>
    <x v="5"/>
    <x v="2"/>
    <x v="0"/>
    <x v="3"/>
    <n v="3"/>
    <n v="686703"/>
    <d v="2026-09-01T00:00:00"/>
    <n v="9"/>
    <n v="1"/>
    <n v="2026"/>
    <x v="1"/>
    <s v="Q3"/>
    <x v="0"/>
  </r>
  <r>
    <s v="O101636"/>
    <x v="509"/>
    <x v="10"/>
    <x v="0"/>
    <x v="3"/>
    <x v="0"/>
    <n v="2"/>
    <n v="686693"/>
    <d v="2025-10-04T00:00:00"/>
    <n v="10"/>
    <n v="4"/>
    <n v="2025"/>
    <x v="9"/>
    <s v="Q4"/>
    <x v="3"/>
  </r>
  <r>
    <s v="O105083"/>
    <x v="327"/>
    <x v="3"/>
    <x v="5"/>
    <x v="4"/>
    <x v="0"/>
    <n v="5"/>
    <n v="686580"/>
    <d v="2025-05-11T00:00:00"/>
    <n v="5"/>
    <n v="11"/>
    <n v="2025"/>
    <x v="3"/>
    <s v="Q2"/>
    <x v="4"/>
  </r>
  <r>
    <s v="O100717"/>
    <x v="424"/>
    <x v="1"/>
    <x v="5"/>
    <x v="2"/>
    <x v="0"/>
    <n v="5"/>
    <n v="686495"/>
    <d v="2025-02-13T00:00:00"/>
    <n v="2"/>
    <n v="13"/>
    <n v="2025"/>
    <x v="4"/>
    <s v="Q1"/>
    <x v="2"/>
  </r>
  <r>
    <s v="O111957"/>
    <x v="257"/>
    <x v="10"/>
    <x v="2"/>
    <x v="2"/>
    <x v="2"/>
    <n v="3"/>
    <n v="686395"/>
    <d v="2026-12-28T00:00:00"/>
    <n v="12"/>
    <n v="28"/>
    <n v="2026"/>
    <x v="7"/>
    <s v="Q4"/>
    <x v="2"/>
  </r>
  <r>
    <s v="O109209"/>
    <x v="375"/>
    <x v="6"/>
    <x v="4"/>
    <x v="1"/>
    <x v="0"/>
    <n v="4"/>
    <n v="685604"/>
    <d v="2026-07-14T00:00:00"/>
    <n v="7"/>
    <n v="14"/>
    <n v="2026"/>
    <x v="10"/>
    <s v="Q3"/>
    <x v="1"/>
  </r>
  <r>
    <s v="O107088"/>
    <x v="257"/>
    <x v="1"/>
    <x v="2"/>
    <x v="3"/>
    <x v="1"/>
    <n v="2"/>
    <n v="685127"/>
    <d v="2026-07-03T00:00:00"/>
    <n v="7"/>
    <n v="3"/>
    <n v="2026"/>
    <x v="10"/>
    <s v="Q3"/>
    <x v="3"/>
  </r>
  <r>
    <s v="O101061"/>
    <x v="334"/>
    <x v="6"/>
    <x v="5"/>
    <x v="4"/>
    <x v="2"/>
    <n v="5"/>
    <n v="684538"/>
    <d v="2025-06-03T00:00:00"/>
    <n v="6"/>
    <n v="3"/>
    <n v="2025"/>
    <x v="2"/>
    <s v="Q2"/>
    <x v="4"/>
  </r>
  <r>
    <s v="O111658"/>
    <x v="380"/>
    <x v="3"/>
    <x v="3"/>
    <x v="4"/>
    <x v="0"/>
    <n v="4"/>
    <n v="684202"/>
    <d v="2026-10-12T00:00:00"/>
    <n v="10"/>
    <n v="12"/>
    <n v="2026"/>
    <x v="9"/>
    <s v="Q4"/>
    <x v="4"/>
  </r>
  <r>
    <s v="O100730"/>
    <x v="217"/>
    <x v="5"/>
    <x v="0"/>
    <x v="3"/>
    <x v="1"/>
    <n v="2"/>
    <n v="684050"/>
    <d v="2025-02-14T00:00:00"/>
    <n v="2"/>
    <n v="14"/>
    <n v="2025"/>
    <x v="4"/>
    <s v="Q1"/>
    <x v="3"/>
  </r>
  <r>
    <s v="O108819"/>
    <x v="583"/>
    <x v="8"/>
    <x v="2"/>
    <x v="0"/>
    <x v="2"/>
    <n v="3"/>
    <n v="683913"/>
    <d v="2026-06-20T00:00:00"/>
    <n v="6"/>
    <n v="20"/>
    <n v="2026"/>
    <x v="2"/>
    <s v="Q2"/>
    <x v="0"/>
  </r>
  <r>
    <s v="O100194"/>
    <x v="198"/>
    <x v="1"/>
    <x v="2"/>
    <x v="4"/>
    <x v="0"/>
    <n v="3"/>
    <n v="683716"/>
    <d v="2025-12-01T00:00:00"/>
    <n v="12"/>
    <n v="1"/>
    <n v="2025"/>
    <x v="7"/>
    <s v="Q4"/>
    <x v="4"/>
  </r>
  <r>
    <s v="O101953"/>
    <x v="430"/>
    <x v="1"/>
    <x v="2"/>
    <x v="1"/>
    <x v="2"/>
    <n v="3"/>
    <n v="683705"/>
    <d v="2025-04-29T00:00:00"/>
    <n v="4"/>
    <n v="29"/>
    <n v="2025"/>
    <x v="11"/>
    <s v="Q2"/>
    <x v="1"/>
  </r>
  <r>
    <s v="O106806"/>
    <x v="536"/>
    <x v="9"/>
    <x v="4"/>
    <x v="0"/>
    <x v="2"/>
    <n v="4"/>
    <n v="683632"/>
    <d v="2026-02-18T00:00:00"/>
    <n v="2"/>
    <n v="18"/>
    <n v="2026"/>
    <x v="4"/>
    <s v="Q1"/>
    <x v="0"/>
  </r>
  <r>
    <s v="O110415"/>
    <x v="53"/>
    <x v="4"/>
    <x v="3"/>
    <x v="0"/>
    <x v="2"/>
    <n v="3"/>
    <n v="683455"/>
    <d v="2026-09-25T00:00:00"/>
    <n v="9"/>
    <n v="25"/>
    <n v="2026"/>
    <x v="1"/>
    <s v="Q3"/>
    <x v="0"/>
  </r>
  <r>
    <s v="O105839"/>
    <x v="796"/>
    <x v="9"/>
    <x v="2"/>
    <x v="3"/>
    <x v="0"/>
    <n v="3"/>
    <n v="683238"/>
    <d v="2025-12-21T00:00:00"/>
    <n v="12"/>
    <n v="21"/>
    <n v="2025"/>
    <x v="7"/>
    <s v="Q4"/>
    <x v="3"/>
  </r>
  <r>
    <s v="O105542"/>
    <x v="33"/>
    <x v="9"/>
    <x v="2"/>
    <x v="2"/>
    <x v="1"/>
    <n v="3"/>
    <n v="683199"/>
    <d v="2025-03-12T00:00:00"/>
    <n v="3"/>
    <n v="12"/>
    <n v="2025"/>
    <x v="5"/>
    <s v="Q1"/>
    <x v="2"/>
  </r>
  <r>
    <s v="O109882"/>
    <x v="659"/>
    <x v="8"/>
    <x v="2"/>
    <x v="4"/>
    <x v="2"/>
    <n v="2"/>
    <n v="683157"/>
    <d v="2026-08-24T00:00:00"/>
    <n v="8"/>
    <n v="24"/>
    <n v="2026"/>
    <x v="8"/>
    <s v="Q3"/>
    <x v="4"/>
  </r>
  <r>
    <s v="O108615"/>
    <x v="536"/>
    <x v="9"/>
    <x v="0"/>
    <x v="4"/>
    <x v="0"/>
    <n v="2"/>
    <n v="682798"/>
    <d v="2026-08-06T00:00:00"/>
    <n v="8"/>
    <n v="6"/>
    <n v="2026"/>
    <x v="8"/>
    <s v="Q3"/>
    <x v="4"/>
  </r>
  <r>
    <s v="O106024"/>
    <x v="735"/>
    <x v="9"/>
    <x v="0"/>
    <x v="2"/>
    <x v="3"/>
    <n v="2"/>
    <n v="682637"/>
    <d v="2026-01-01T00:00:00"/>
    <n v="1"/>
    <n v="1"/>
    <n v="2026"/>
    <x v="6"/>
    <s v="Q1"/>
    <x v="2"/>
  </r>
  <r>
    <s v="O102927"/>
    <x v="481"/>
    <x v="5"/>
    <x v="4"/>
    <x v="2"/>
    <x v="1"/>
    <n v="5"/>
    <n v="681642"/>
    <d v="2025-06-27T00:00:00"/>
    <n v="6"/>
    <n v="27"/>
    <n v="2025"/>
    <x v="2"/>
    <s v="Q2"/>
    <x v="2"/>
  </r>
  <r>
    <s v="O106445"/>
    <x v="323"/>
    <x v="4"/>
    <x v="2"/>
    <x v="0"/>
    <x v="1"/>
    <n v="2"/>
    <n v="681637"/>
    <d v="2026-01-27T00:00:00"/>
    <n v="1"/>
    <n v="27"/>
    <n v="2026"/>
    <x v="6"/>
    <s v="Q1"/>
    <x v="0"/>
  </r>
  <r>
    <s v="O105500"/>
    <x v="781"/>
    <x v="8"/>
    <x v="2"/>
    <x v="1"/>
    <x v="0"/>
    <n v="2"/>
    <n v="681523"/>
    <d v="2025-01-12T00:00:00"/>
    <n v="1"/>
    <n v="12"/>
    <n v="2025"/>
    <x v="6"/>
    <s v="Q1"/>
    <x v="1"/>
  </r>
  <r>
    <s v="O111685"/>
    <x v="498"/>
    <x v="0"/>
    <x v="3"/>
    <x v="3"/>
    <x v="0"/>
    <n v="3"/>
    <n v="681292"/>
    <d v="2026-11-12T00:00:00"/>
    <n v="11"/>
    <n v="12"/>
    <n v="2026"/>
    <x v="0"/>
    <s v="Q4"/>
    <x v="3"/>
  </r>
  <r>
    <s v="O110610"/>
    <x v="345"/>
    <x v="10"/>
    <x v="5"/>
    <x v="3"/>
    <x v="2"/>
    <n v="6"/>
    <n v="680638"/>
    <d v="2026-07-10T00:00:00"/>
    <n v="7"/>
    <n v="10"/>
    <n v="2026"/>
    <x v="10"/>
    <s v="Q3"/>
    <x v="3"/>
  </r>
  <r>
    <s v="O104690"/>
    <x v="536"/>
    <x v="8"/>
    <x v="3"/>
    <x v="4"/>
    <x v="3"/>
    <n v="4"/>
    <n v="680077"/>
    <d v="2025-12-10T00:00:00"/>
    <n v="12"/>
    <n v="10"/>
    <n v="2025"/>
    <x v="7"/>
    <s v="Q4"/>
    <x v="4"/>
  </r>
  <r>
    <s v="O106117"/>
    <x v="434"/>
    <x v="6"/>
    <x v="2"/>
    <x v="1"/>
    <x v="0"/>
    <n v="3"/>
    <n v="679780"/>
    <d v="2026-07-01T00:00:00"/>
    <n v="7"/>
    <n v="1"/>
    <n v="2026"/>
    <x v="10"/>
    <s v="Q3"/>
    <x v="1"/>
  </r>
  <r>
    <s v="O108845"/>
    <x v="736"/>
    <x v="0"/>
    <x v="0"/>
    <x v="2"/>
    <x v="2"/>
    <n v="2"/>
    <n v="679623"/>
    <d v="2026-06-22T00:00:00"/>
    <n v="6"/>
    <n v="22"/>
    <n v="2026"/>
    <x v="2"/>
    <s v="Q2"/>
    <x v="2"/>
  </r>
  <r>
    <s v="O100716"/>
    <x v="356"/>
    <x v="4"/>
    <x v="3"/>
    <x v="1"/>
    <x v="1"/>
    <n v="3"/>
    <n v="679415"/>
    <d v="2025-02-13T00:00:00"/>
    <n v="2"/>
    <n v="13"/>
    <n v="2025"/>
    <x v="4"/>
    <m/>
    <x v="1"/>
  </r>
  <r>
    <s v="O101773"/>
    <x v="768"/>
    <x v="1"/>
    <x v="5"/>
    <x v="1"/>
    <x v="2"/>
    <n v="6"/>
    <n v="678938"/>
    <d v="2025-04-18T00:00:00"/>
    <n v="4"/>
    <n v="18"/>
    <n v="2025"/>
    <x v="11"/>
    <s v="Q2"/>
    <x v="1"/>
  </r>
  <r>
    <s v="O103245"/>
    <x v="447"/>
    <x v="0"/>
    <x v="4"/>
    <x v="0"/>
    <x v="2"/>
    <n v="4"/>
    <n v="678881"/>
    <d v="2025-07-17T00:00:00"/>
    <n v="7"/>
    <n v="17"/>
    <n v="2025"/>
    <x v="10"/>
    <s v="Q3"/>
    <x v="0"/>
  </r>
  <r>
    <s v="O104153"/>
    <x v="97"/>
    <x v="6"/>
    <x v="4"/>
    <x v="4"/>
    <x v="2"/>
    <n v="5"/>
    <n v="678786"/>
    <d v="2025-10-09T00:00:00"/>
    <n v="10"/>
    <n v="9"/>
    <n v="2025"/>
    <x v="9"/>
    <s v="Q4"/>
    <x v="4"/>
  </r>
  <r>
    <s v="O108663"/>
    <x v="731"/>
    <x v="4"/>
    <x v="0"/>
    <x v="1"/>
    <x v="3"/>
    <n v="2"/>
    <n v="678766"/>
    <d v="2026-11-06T00:00:00"/>
    <n v="11"/>
    <n v="6"/>
    <n v="2026"/>
    <x v="0"/>
    <s v="Q4"/>
    <x v="1"/>
  </r>
  <r>
    <s v="O106819"/>
    <x v="513"/>
    <x v="8"/>
    <x v="5"/>
    <x v="3"/>
    <x v="1"/>
    <n v="5"/>
    <n v="678083"/>
    <d v="2026-02-19T00:00:00"/>
    <n v="2"/>
    <n v="19"/>
    <n v="2026"/>
    <x v="4"/>
    <s v="Q1"/>
    <x v="3"/>
  </r>
  <r>
    <s v="O102373"/>
    <x v="191"/>
    <x v="10"/>
    <x v="4"/>
    <x v="0"/>
    <x v="3"/>
    <n v="5"/>
    <n v="677969"/>
    <d v="2025-05-25T00:00:00"/>
    <n v="5"/>
    <n v="25"/>
    <n v="2025"/>
    <x v="3"/>
    <s v="Q2"/>
    <x v="0"/>
  </r>
  <r>
    <s v="O109855"/>
    <x v="475"/>
    <x v="10"/>
    <x v="5"/>
    <x v="4"/>
    <x v="2"/>
    <n v="5"/>
    <n v="677724"/>
    <d v="2026-08-22T00:00:00"/>
    <n v="8"/>
    <n v="22"/>
    <n v="2026"/>
    <x v="8"/>
    <s v="Q3"/>
    <x v="4"/>
  </r>
  <r>
    <s v="O108928"/>
    <x v="397"/>
    <x v="6"/>
    <x v="0"/>
    <x v="1"/>
    <x v="0"/>
    <n v="2"/>
    <n v="677655"/>
    <d v="2026-06-27T00:00:00"/>
    <n v="6"/>
    <n v="27"/>
    <n v="2026"/>
    <x v="2"/>
    <s v="Q2"/>
    <x v="1"/>
  </r>
  <r>
    <s v="O103602"/>
    <x v="773"/>
    <x v="5"/>
    <x v="2"/>
    <x v="2"/>
    <x v="0"/>
    <n v="3"/>
    <n v="676767"/>
    <d v="2025-07-08T00:00:00"/>
    <n v="7"/>
    <n v="8"/>
    <n v="2025"/>
    <x v="10"/>
    <s v="Q3"/>
    <x v="2"/>
  </r>
  <r>
    <s v="O101038"/>
    <x v="612"/>
    <x v="3"/>
    <x v="4"/>
    <x v="2"/>
    <x v="3"/>
    <n v="5"/>
    <n v="676638"/>
    <d v="2025-05-03T00:00:00"/>
    <n v="5"/>
    <n v="3"/>
    <n v="2025"/>
    <x v="3"/>
    <s v="Q2"/>
    <x v="2"/>
  </r>
  <r>
    <s v="O109197"/>
    <x v="121"/>
    <x v="1"/>
    <x v="4"/>
    <x v="3"/>
    <x v="2"/>
    <n v="4"/>
    <n v="676184"/>
    <d v="2026-07-13T00:00:00"/>
    <n v="7"/>
    <n v="13"/>
    <n v="2026"/>
    <x v="10"/>
    <s v="Q3"/>
    <x v="3"/>
  </r>
  <r>
    <s v="O106637"/>
    <x v="348"/>
    <x v="9"/>
    <x v="5"/>
    <x v="1"/>
    <x v="3"/>
    <n v="5"/>
    <n v="676175"/>
    <d v="2026-08-02T00:00:00"/>
    <n v="8"/>
    <n v="2"/>
    <n v="2026"/>
    <x v="8"/>
    <s v="Q3"/>
    <x v="1"/>
  </r>
  <r>
    <s v="O106378"/>
    <x v="256"/>
    <x v="9"/>
    <x v="5"/>
    <x v="2"/>
    <x v="2"/>
    <n v="6"/>
    <n v="676010"/>
    <d v="2026-01-23T00:00:00"/>
    <n v="1"/>
    <n v="23"/>
    <n v="2026"/>
    <x v="6"/>
    <s v="Q1"/>
    <x v="2"/>
  </r>
  <r>
    <s v="O106388"/>
    <x v="97"/>
    <x v="9"/>
    <x v="4"/>
    <x v="3"/>
    <x v="1"/>
    <n v="4"/>
    <n v="675960"/>
    <d v="2026-01-24T00:00:00"/>
    <n v="1"/>
    <n v="24"/>
    <n v="2026"/>
    <x v="6"/>
    <s v="Q1"/>
    <x v="3"/>
  </r>
  <r>
    <s v="O108957"/>
    <x v="590"/>
    <x v="0"/>
    <x v="2"/>
    <x v="1"/>
    <x v="0"/>
    <n v="3"/>
    <n v="675503"/>
    <d v="2026-06-29T00:00:00"/>
    <n v="6"/>
    <n v="29"/>
    <n v="2026"/>
    <x v="2"/>
    <s v="Q2"/>
    <x v="1"/>
  </r>
  <r>
    <s v="O101183"/>
    <x v="490"/>
    <x v="6"/>
    <x v="2"/>
    <x v="1"/>
    <x v="3"/>
    <n v="2"/>
    <n v="675406"/>
    <d v="2025-03-13T00:00:00"/>
    <n v="3"/>
    <n v="13"/>
    <n v="2025"/>
    <x v="5"/>
    <s v="Q1"/>
    <x v="1"/>
  </r>
  <r>
    <s v="O100766"/>
    <x v="230"/>
    <x v="0"/>
    <x v="2"/>
    <x v="3"/>
    <x v="2"/>
    <n v="2"/>
    <n v="675295"/>
    <d v="2025-02-16T00:00:00"/>
    <n v="2"/>
    <n v="16"/>
    <n v="2025"/>
    <x v="4"/>
    <s v="Q1"/>
    <x v="3"/>
  </r>
  <r>
    <s v="O107884"/>
    <x v="90"/>
    <x v="4"/>
    <x v="5"/>
    <x v="2"/>
    <x v="0"/>
    <n v="6"/>
    <n v="675077"/>
    <d v="2026-04-24T00:00:00"/>
    <n v="4"/>
    <n v="24"/>
    <n v="2026"/>
    <x v="11"/>
    <s v="Q2"/>
    <x v="2"/>
  </r>
  <r>
    <s v="O106729"/>
    <x v="81"/>
    <x v="0"/>
    <x v="3"/>
    <x v="2"/>
    <x v="3"/>
    <n v="3"/>
    <n v="674724"/>
    <d v="2026-02-13T00:00:00"/>
    <n v="2"/>
    <n v="13"/>
    <n v="2026"/>
    <x v="4"/>
    <s v="Q1"/>
    <x v="2"/>
  </r>
  <r>
    <s v="O103000"/>
    <x v="147"/>
    <x v="9"/>
    <x v="5"/>
    <x v="3"/>
    <x v="3"/>
    <n v="6"/>
    <n v="674186"/>
    <d v="2025-02-07T00:00:00"/>
    <n v="2"/>
    <n v="7"/>
    <n v="2025"/>
    <x v="4"/>
    <s v="Q1"/>
    <x v="3"/>
  </r>
  <r>
    <s v="O107566"/>
    <x v="344"/>
    <x v="3"/>
    <x v="5"/>
    <x v="0"/>
    <x v="3"/>
    <n v="5"/>
    <n v="673603"/>
    <d v="2026-05-04T00:00:00"/>
    <n v="5"/>
    <n v="4"/>
    <n v="2026"/>
    <x v="3"/>
    <s v="Q2"/>
    <x v="0"/>
  </r>
  <r>
    <s v="O105359"/>
    <x v="415"/>
    <x v="3"/>
    <x v="5"/>
    <x v="1"/>
    <x v="2"/>
    <n v="7"/>
    <n v="673255"/>
    <d v="2025-11-22T00:00:00"/>
    <n v="11"/>
    <n v="22"/>
    <n v="2025"/>
    <x v="0"/>
    <s v="Q4"/>
    <x v="1"/>
  </r>
  <r>
    <s v="O107430"/>
    <x v="524"/>
    <x v="6"/>
    <x v="2"/>
    <x v="2"/>
    <x v="1"/>
    <n v="2"/>
    <n v="672604"/>
    <d v="2026-03-28T00:00:00"/>
    <n v="3"/>
    <n v="28"/>
    <n v="2026"/>
    <x v="5"/>
    <s v="Q1"/>
    <x v="2"/>
  </r>
  <r>
    <s v="O107309"/>
    <x v="342"/>
    <x v="7"/>
    <x v="4"/>
    <x v="3"/>
    <x v="2"/>
    <n v="3"/>
    <n v="672570"/>
    <d v="2026-03-20T00:00:00"/>
    <n v="3"/>
    <n v="20"/>
    <n v="2026"/>
    <x v="5"/>
    <s v="Q1"/>
    <x v="3"/>
  </r>
  <r>
    <s v="O106092"/>
    <x v="175"/>
    <x v="6"/>
    <x v="4"/>
    <x v="4"/>
    <x v="2"/>
    <n v="4"/>
    <n v="672340"/>
    <d v="2026-06-01T00:00:00"/>
    <n v="6"/>
    <n v="1"/>
    <n v="2026"/>
    <x v="2"/>
    <s v="Q2"/>
    <x v="4"/>
  </r>
  <r>
    <s v="O101410"/>
    <x v="628"/>
    <x v="2"/>
    <x v="5"/>
    <x v="4"/>
    <x v="3"/>
    <n v="5"/>
    <n v="672316"/>
    <d v="2025-03-27T00:00:00"/>
    <n v="3"/>
    <n v="27"/>
    <n v="2025"/>
    <x v="5"/>
    <s v="Q1"/>
    <x v="4"/>
  </r>
  <r>
    <s v="O105112"/>
    <x v="121"/>
    <x v="1"/>
    <x v="5"/>
    <x v="3"/>
    <x v="0"/>
    <n v="5"/>
    <n v="672250"/>
    <d v="2025-07-11T00:00:00"/>
    <n v="7"/>
    <n v="11"/>
    <n v="2025"/>
    <x v="10"/>
    <s v="Q3"/>
    <x v="3"/>
  </r>
  <r>
    <s v="O108520"/>
    <x v="432"/>
    <x v="0"/>
    <x v="5"/>
    <x v="0"/>
    <x v="1"/>
    <n v="6"/>
    <n v="671787"/>
    <d v="2026-02-06T00:00:00"/>
    <n v="2"/>
    <n v="6"/>
    <n v="2026"/>
    <x v="4"/>
    <s v="Q1"/>
    <x v="0"/>
  </r>
  <r>
    <s v="O108591"/>
    <x v="148"/>
    <x v="3"/>
    <x v="5"/>
    <x v="2"/>
    <x v="0"/>
    <n v="6"/>
    <n v="671623"/>
    <d v="2026-06-06T00:00:00"/>
    <n v="6"/>
    <n v="6"/>
    <n v="2026"/>
    <x v="2"/>
    <s v="Q2"/>
    <x v="2"/>
  </r>
  <r>
    <s v="O104384"/>
    <x v="142"/>
    <x v="6"/>
    <x v="2"/>
    <x v="2"/>
    <x v="1"/>
    <n v="2"/>
    <n v="671471"/>
    <d v="2025-09-24T00:00:00"/>
    <n v="9"/>
    <n v="24"/>
    <n v="2025"/>
    <x v="1"/>
    <s v="Q3"/>
    <x v="2"/>
  </r>
  <r>
    <s v="O101008"/>
    <x v="234"/>
    <x v="8"/>
    <x v="5"/>
    <x v="0"/>
    <x v="3"/>
    <n v="5"/>
    <n v="671256"/>
    <d v="2025-03-03T00:00:00"/>
    <n v="3"/>
    <n v="3"/>
    <n v="2025"/>
    <x v="5"/>
    <s v="Q1"/>
    <x v="0"/>
  </r>
  <r>
    <s v="O109578"/>
    <x v="244"/>
    <x v="8"/>
    <x v="4"/>
    <x v="1"/>
    <x v="1"/>
    <n v="3"/>
    <n v="671143"/>
    <d v="2026-05-08T00:00:00"/>
    <n v="5"/>
    <n v="8"/>
    <n v="2026"/>
    <x v="3"/>
    <s v="Q2"/>
    <x v="1"/>
  </r>
  <r>
    <s v="O100575"/>
    <x v="550"/>
    <x v="8"/>
    <x v="5"/>
    <x v="4"/>
    <x v="1"/>
    <n v="5"/>
    <n v="671103"/>
    <d v="2025-04-02T00:00:00"/>
    <n v="4"/>
    <n v="2"/>
    <n v="2025"/>
    <x v="11"/>
    <s v="Q2"/>
    <x v="4"/>
  </r>
  <r>
    <s v="O102750"/>
    <x v="354"/>
    <x v="8"/>
    <x v="2"/>
    <x v="2"/>
    <x v="2"/>
    <n v="2"/>
    <n v="671064"/>
    <d v="2025-06-17T00:00:00"/>
    <n v="6"/>
    <n v="17"/>
    <n v="2025"/>
    <x v="2"/>
    <s v="Q2"/>
    <x v="2"/>
  </r>
  <r>
    <s v="O108924"/>
    <x v="515"/>
    <x v="3"/>
    <x v="5"/>
    <x v="2"/>
    <x v="0"/>
    <n v="7"/>
    <n v="670991"/>
    <d v="2026-06-27T00:00:00"/>
    <n v="6"/>
    <n v="27"/>
    <n v="2026"/>
    <x v="2"/>
    <s v="Q2"/>
    <x v="2"/>
  </r>
  <r>
    <s v="O101611"/>
    <x v="626"/>
    <x v="8"/>
    <x v="5"/>
    <x v="3"/>
    <x v="1"/>
    <n v="6"/>
    <n v="670867"/>
    <d v="2025-08-04T00:00:00"/>
    <n v="8"/>
    <n v="4"/>
    <n v="2025"/>
    <x v="8"/>
    <s v="Q3"/>
    <x v="3"/>
  </r>
  <r>
    <s v="O108722"/>
    <x v="715"/>
    <x v="3"/>
    <x v="4"/>
    <x v="2"/>
    <x v="3"/>
    <n v="4"/>
    <n v="670100"/>
    <d v="2026-06-14T00:00:00"/>
    <n v="6"/>
    <n v="14"/>
    <n v="2026"/>
    <x v="2"/>
    <s v="Q2"/>
    <x v="2"/>
  </r>
  <r>
    <s v="O109305"/>
    <x v="765"/>
    <x v="3"/>
    <x v="4"/>
    <x v="2"/>
    <x v="3"/>
    <n v="4"/>
    <n v="669321"/>
    <d v="2026-07-20T00:00:00"/>
    <n v="7"/>
    <n v="20"/>
    <n v="2026"/>
    <x v="10"/>
    <s v="Q3"/>
    <x v="2"/>
  </r>
  <r>
    <s v="O111616"/>
    <x v="373"/>
    <x v="3"/>
    <x v="4"/>
    <x v="0"/>
    <x v="0"/>
    <n v="3"/>
    <n v="668947"/>
    <d v="2026-07-12T00:00:00"/>
    <n v="7"/>
    <n v="12"/>
    <n v="2026"/>
    <x v="10"/>
    <s v="Q3"/>
    <x v="0"/>
  </r>
  <r>
    <s v="O105007"/>
    <x v="204"/>
    <x v="6"/>
    <x v="4"/>
    <x v="3"/>
    <x v="2"/>
    <n v="4"/>
    <n v="668837"/>
    <d v="2025-01-11T00:00:00"/>
    <n v="1"/>
    <n v="11"/>
    <n v="2025"/>
    <x v="6"/>
    <s v="Q1"/>
    <x v="3"/>
  </r>
  <r>
    <s v="O110177"/>
    <x v="450"/>
    <x v="9"/>
    <x v="4"/>
    <x v="3"/>
    <x v="0"/>
    <n v="3"/>
    <n v="668635"/>
    <d v="2026-11-09T00:00:00"/>
    <n v="11"/>
    <n v="9"/>
    <n v="2026"/>
    <x v="0"/>
    <s v="Q4"/>
    <x v="3"/>
  </r>
  <r>
    <s v="O111171"/>
    <x v="517"/>
    <x v="6"/>
    <x v="5"/>
    <x v="0"/>
    <x v="0"/>
    <n v="5"/>
    <n v="668257"/>
    <d v="2026-11-10T00:00:00"/>
    <n v="11"/>
    <n v="10"/>
    <n v="2026"/>
    <x v="0"/>
    <s v="Q4"/>
    <x v="0"/>
  </r>
  <r>
    <s v="O102657"/>
    <x v="698"/>
    <x v="3"/>
    <x v="5"/>
    <x v="0"/>
    <x v="1"/>
    <n v="5"/>
    <n v="668256"/>
    <d v="2025-11-06T00:00:00"/>
    <n v="11"/>
    <n v="6"/>
    <n v="2025"/>
    <x v="0"/>
    <s v="Q4"/>
    <x v="0"/>
  </r>
  <r>
    <s v="O111713"/>
    <x v="307"/>
    <x v="8"/>
    <x v="2"/>
    <x v="4"/>
    <x v="2"/>
    <n v="2"/>
    <n v="668143"/>
    <d v="2026-12-13T00:00:00"/>
    <n v="12"/>
    <n v="13"/>
    <n v="2026"/>
    <x v="7"/>
    <s v="Q4"/>
    <x v="4"/>
  </r>
  <r>
    <s v="O109869"/>
    <x v="371"/>
    <x v="2"/>
    <x v="3"/>
    <x v="1"/>
    <x v="1"/>
    <n v="4"/>
    <n v="668065"/>
    <d v="2026-08-23T00:00:00"/>
    <n v="8"/>
    <n v="23"/>
    <n v="2026"/>
    <x v="8"/>
    <s v="Q3"/>
    <x v="1"/>
  </r>
  <r>
    <s v="O101328"/>
    <x v="246"/>
    <x v="6"/>
    <x v="4"/>
    <x v="3"/>
    <x v="1"/>
    <n v="3"/>
    <n v="667225"/>
    <d v="2025-03-22T00:00:00"/>
    <n v="3"/>
    <n v="22"/>
    <n v="2025"/>
    <x v="5"/>
    <s v="Q1"/>
    <x v="3"/>
  </r>
  <r>
    <s v="O101144"/>
    <x v="537"/>
    <x v="10"/>
    <x v="2"/>
    <x v="0"/>
    <x v="2"/>
    <n v="2"/>
    <n v="667188"/>
    <d v="2025-11-03T00:00:00"/>
    <n v="11"/>
    <n v="3"/>
    <n v="2025"/>
    <x v="0"/>
    <s v="Q4"/>
    <x v="0"/>
  </r>
  <r>
    <s v="O110523"/>
    <x v="395"/>
    <x v="3"/>
    <x v="5"/>
    <x v="1"/>
    <x v="2"/>
    <n v="5"/>
    <n v="666755"/>
    <d v="2026-02-10T00:00:00"/>
    <n v="2"/>
    <n v="10"/>
    <n v="2026"/>
    <x v="4"/>
    <s v="Q1"/>
    <x v="1"/>
  </r>
  <r>
    <s v="O111962"/>
    <x v="558"/>
    <x v="1"/>
    <x v="5"/>
    <x v="1"/>
    <x v="1"/>
    <n v="5"/>
    <n v="666109"/>
    <d v="2026-12-28T00:00:00"/>
    <n v="12"/>
    <n v="28"/>
    <n v="2026"/>
    <x v="7"/>
    <s v="Q4"/>
    <x v="1"/>
  </r>
  <r>
    <s v="O110072"/>
    <x v="80"/>
    <x v="3"/>
    <x v="4"/>
    <x v="0"/>
    <x v="1"/>
    <n v="3"/>
    <n v="665808"/>
    <d v="2026-04-09T00:00:00"/>
    <n v="4"/>
    <n v="9"/>
    <n v="2026"/>
    <x v="11"/>
    <s v="Q2"/>
    <x v="0"/>
  </r>
  <r>
    <s v="O100160"/>
    <x v="550"/>
    <x v="2"/>
    <x v="4"/>
    <x v="0"/>
    <x v="0"/>
    <n v="3"/>
    <n v="665456"/>
    <d v="2025-10-01T00:00:00"/>
    <n v="10"/>
    <n v="1"/>
    <n v="2025"/>
    <x v="9"/>
    <s v="Q4"/>
    <x v="0"/>
  </r>
  <r>
    <s v="O102525"/>
    <x v="199"/>
    <x v="0"/>
    <x v="4"/>
    <x v="4"/>
    <x v="2"/>
    <n v="4"/>
    <n v="665393"/>
    <d v="2025-03-06T00:00:00"/>
    <n v="3"/>
    <n v="6"/>
    <n v="2025"/>
    <x v="5"/>
    <s v="Q1"/>
    <x v="4"/>
  </r>
  <r>
    <s v="O109495"/>
    <x v="161"/>
    <x v="4"/>
    <x v="2"/>
    <x v="0"/>
    <x v="0"/>
    <n v="2"/>
    <n v="665188"/>
    <d v="2026-07-31T00:00:00"/>
    <n v="7"/>
    <n v="31"/>
    <n v="2026"/>
    <x v="10"/>
    <s v="Q3"/>
    <x v="0"/>
  </r>
  <r>
    <s v="O106791"/>
    <x v="574"/>
    <x v="5"/>
    <x v="5"/>
    <x v="4"/>
    <x v="1"/>
    <n v="6"/>
    <n v="664593"/>
    <d v="2026-02-17T00:00:00"/>
    <n v="2"/>
    <n v="17"/>
    <n v="2026"/>
    <x v="4"/>
    <s v="Q1"/>
    <x v="4"/>
  </r>
  <r>
    <s v="O100991"/>
    <x v="431"/>
    <x v="10"/>
    <x v="4"/>
    <x v="2"/>
    <x v="3"/>
    <n v="4"/>
    <n v="664517"/>
    <d v="2025-02-03T00:00:00"/>
    <n v="2"/>
    <n v="3"/>
    <n v="2025"/>
    <x v="4"/>
    <s v="Q1"/>
    <x v="2"/>
  </r>
  <r>
    <s v="O107741"/>
    <x v="157"/>
    <x v="8"/>
    <x v="2"/>
    <x v="1"/>
    <x v="2"/>
    <n v="2"/>
    <n v="664442"/>
    <d v="2026-04-16T00:00:00"/>
    <n v="4"/>
    <n v="16"/>
    <n v="2026"/>
    <x v="11"/>
    <s v="Q2"/>
    <x v="1"/>
  </r>
  <r>
    <s v="O111046"/>
    <x v="455"/>
    <x v="1"/>
    <x v="4"/>
    <x v="4"/>
    <x v="3"/>
    <n v="3"/>
    <n v="664129"/>
    <d v="2026-03-11T00:00:00"/>
    <n v="3"/>
    <n v="11"/>
    <n v="2026"/>
    <x v="5"/>
    <s v="Q1"/>
    <x v="4"/>
  </r>
  <r>
    <s v="O103706"/>
    <x v="497"/>
    <x v="3"/>
    <x v="5"/>
    <x v="4"/>
    <x v="2"/>
    <n v="7"/>
    <n v="663581"/>
    <d v="2025-08-14T00:00:00"/>
    <n v="8"/>
    <n v="14"/>
    <n v="2025"/>
    <x v="8"/>
    <s v="Q3"/>
    <x v="4"/>
  </r>
  <r>
    <s v="O111663"/>
    <x v="342"/>
    <x v="1"/>
    <x v="2"/>
    <x v="0"/>
    <x v="1"/>
    <n v="2"/>
    <n v="663429"/>
    <d v="2026-10-12T00:00:00"/>
    <n v="10"/>
    <n v="12"/>
    <n v="2026"/>
    <x v="9"/>
    <s v="Q4"/>
    <x v="0"/>
  </r>
  <r>
    <s v="O103971"/>
    <x v="9"/>
    <x v="3"/>
    <x v="3"/>
    <x v="2"/>
    <x v="3"/>
    <n v="4"/>
    <n v="663058"/>
    <d v="2025-08-30T00:00:00"/>
    <n v="8"/>
    <n v="30"/>
    <n v="2025"/>
    <x v="8"/>
    <s v="Q3"/>
    <x v="2"/>
  </r>
  <r>
    <s v="O101960"/>
    <x v="497"/>
    <x v="2"/>
    <x v="4"/>
    <x v="1"/>
    <x v="1"/>
    <n v="4"/>
    <n v="662897"/>
    <d v="2025-04-30T00:00:00"/>
    <n v="4"/>
    <n v="30"/>
    <n v="2025"/>
    <x v="11"/>
    <s v="Q2"/>
    <x v="1"/>
  </r>
  <r>
    <s v="O108813"/>
    <x v="723"/>
    <x v="4"/>
    <x v="5"/>
    <x v="2"/>
    <x v="2"/>
    <n v="5"/>
    <n v="662609"/>
    <d v="2026-06-20T00:00:00"/>
    <n v="6"/>
    <n v="20"/>
    <n v="2026"/>
    <x v="2"/>
    <s v="Q2"/>
    <x v="2"/>
  </r>
  <r>
    <s v="O109670"/>
    <x v="327"/>
    <x v="3"/>
    <x v="4"/>
    <x v="0"/>
    <x v="2"/>
    <n v="3"/>
    <n v="662191"/>
    <d v="2026-11-08T00:00:00"/>
    <n v="11"/>
    <n v="8"/>
    <n v="2026"/>
    <x v="0"/>
    <s v="Q4"/>
    <x v="0"/>
  </r>
  <r>
    <s v="O102138"/>
    <x v="789"/>
    <x v="4"/>
    <x v="4"/>
    <x v="4"/>
    <x v="2"/>
    <n v="3"/>
    <n v="661801"/>
    <d v="2025-10-05T00:00:00"/>
    <n v="10"/>
    <n v="5"/>
    <n v="2025"/>
    <x v="9"/>
    <s v="Q4"/>
    <x v="4"/>
  </r>
  <r>
    <s v="O103645"/>
    <x v="423"/>
    <x v="6"/>
    <x v="4"/>
    <x v="2"/>
    <x v="2"/>
    <n v="4"/>
    <n v="661571"/>
    <d v="2025-10-08T00:00:00"/>
    <n v="10"/>
    <n v="8"/>
    <n v="2025"/>
    <x v="9"/>
    <s v="Q4"/>
    <x v="2"/>
  </r>
  <r>
    <s v="O104041"/>
    <x v="320"/>
    <x v="2"/>
    <x v="5"/>
    <x v="4"/>
    <x v="2"/>
    <n v="7"/>
    <n v="661361"/>
    <d v="2025-03-09T00:00:00"/>
    <n v="3"/>
    <n v="9"/>
    <n v="2025"/>
    <x v="5"/>
    <s v="Q1"/>
    <x v="4"/>
  </r>
  <r>
    <s v="O102914"/>
    <x v="425"/>
    <x v="3"/>
    <x v="3"/>
    <x v="2"/>
    <x v="0"/>
    <n v="3"/>
    <n v="661261"/>
    <d v="2025-06-26T00:00:00"/>
    <n v="6"/>
    <n v="26"/>
    <n v="2025"/>
    <x v="2"/>
    <s v="Q2"/>
    <x v="2"/>
  </r>
  <r>
    <s v="O102956"/>
    <x v="147"/>
    <x v="0"/>
    <x v="4"/>
    <x v="4"/>
    <x v="0"/>
    <n v="4"/>
    <n v="660784"/>
    <d v="2025-06-29T00:00:00"/>
    <n v="6"/>
    <n v="29"/>
    <n v="2025"/>
    <x v="2"/>
    <s v="Q2"/>
    <x v="4"/>
  </r>
  <r>
    <s v="O106628"/>
    <x v="219"/>
    <x v="9"/>
    <x v="4"/>
    <x v="3"/>
    <x v="1"/>
    <n v="3"/>
    <n v="660583"/>
    <d v="2026-07-02T00:00:00"/>
    <n v="7"/>
    <n v="2"/>
    <n v="2026"/>
    <x v="10"/>
    <s v="Q3"/>
    <x v="3"/>
  </r>
  <r>
    <s v="O102287"/>
    <x v="461"/>
    <x v="1"/>
    <x v="3"/>
    <x v="0"/>
    <x v="1"/>
    <n v="3"/>
    <n v="659749"/>
    <d v="2025-05-19T00:00:00"/>
    <n v="5"/>
    <n v="19"/>
    <n v="2025"/>
    <x v="3"/>
    <s v="Q2"/>
    <x v="0"/>
  </r>
  <r>
    <s v="O103637"/>
    <x v="21"/>
    <x v="3"/>
    <x v="3"/>
    <x v="2"/>
    <x v="0"/>
    <n v="3"/>
    <n v="659409"/>
    <d v="2025-09-08T00:00:00"/>
    <n v="9"/>
    <n v="8"/>
    <n v="2025"/>
    <x v="1"/>
    <s v="Q3"/>
    <x v="2"/>
  </r>
  <r>
    <s v="O105612"/>
    <x v="199"/>
    <x v="9"/>
    <x v="2"/>
    <x v="1"/>
    <x v="1"/>
    <n v="2"/>
    <n v="659113"/>
    <d v="2025-07-12T00:00:00"/>
    <n v="7"/>
    <n v="12"/>
    <n v="2025"/>
    <x v="10"/>
    <s v="Q3"/>
    <x v="1"/>
  </r>
  <r>
    <s v="O109522"/>
    <x v="326"/>
    <x v="6"/>
    <x v="2"/>
    <x v="3"/>
    <x v="1"/>
    <n v="2"/>
    <n v="659054"/>
    <d v="2026-02-08T00:00:00"/>
    <n v="2"/>
    <n v="8"/>
    <n v="2026"/>
    <x v="4"/>
    <s v="Q1"/>
    <x v="3"/>
  </r>
  <r>
    <s v="O111662"/>
    <x v="393"/>
    <x v="6"/>
    <x v="3"/>
    <x v="3"/>
    <x v="1"/>
    <n v="3"/>
    <n v="657545"/>
    <d v="2026-10-12T00:00:00"/>
    <n v="10"/>
    <n v="12"/>
    <n v="2026"/>
    <x v="9"/>
    <s v="Q4"/>
    <x v="3"/>
  </r>
  <r>
    <s v="O105642"/>
    <x v="639"/>
    <x v="2"/>
    <x v="5"/>
    <x v="4"/>
    <x v="3"/>
    <n v="5"/>
    <n v="657313"/>
    <d v="2025-09-12T00:00:00"/>
    <n v="9"/>
    <n v="12"/>
    <n v="2025"/>
    <x v="1"/>
    <s v="Q3"/>
    <x v="4"/>
  </r>
  <r>
    <s v="O107116"/>
    <x v="30"/>
    <x v="2"/>
    <x v="5"/>
    <x v="1"/>
    <x v="2"/>
    <n v="7"/>
    <n v="657041"/>
    <d v="2026-09-03T00:00:00"/>
    <n v="9"/>
    <n v="3"/>
    <n v="2026"/>
    <x v="1"/>
    <s v="Q3"/>
    <x v="1"/>
  </r>
  <r>
    <s v="O101938"/>
    <x v="449"/>
    <x v="8"/>
    <x v="5"/>
    <x v="0"/>
    <x v="1"/>
    <n v="7"/>
    <n v="657001"/>
    <d v="2025-04-28T00:00:00"/>
    <n v="4"/>
    <n v="28"/>
    <n v="2025"/>
    <x v="11"/>
    <s v="Q2"/>
    <x v="0"/>
  </r>
  <r>
    <s v="O101159"/>
    <x v="285"/>
    <x v="6"/>
    <x v="5"/>
    <x v="1"/>
    <x v="0"/>
    <n v="7"/>
    <n v="656531"/>
    <d v="2025-12-03T00:00:00"/>
    <n v="12"/>
    <n v="3"/>
    <n v="2025"/>
    <x v="7"/>
    <s v="Q4"/>
    <x v="1"/>
  </r>
  <r>
    <s v="O110517"/>
    <x v="9"/>
    <x v="5"/>
    <x v="2"/>
    <x v="0"/>
    <x v="0"/>
    <n v="2"/>
    <n v="656116"/>
    <d v="2026-01-10T00:00:00"/>
    <n v="1"/>
    <n v="10"/>
    <n v="2026"/>
    <x v="6"/>
    <s v="Q1"/>
    <x v="0"/>
  </r>
  <r>
    <s v="O100220"/>
    <x v="345"/>
    <x v="9"/>
    <x v="5"/>
    <x v="2"/>
    <x v="2"/>
    <n v="6"/>
    <n v="655641"/>
    <d v="2025-01-14T00:00:00"/>
    <n v="1"/>
    <n v="14"/>
    <n v="2025"/>
    <x v="6"/>
    <s v="Q1"/>
    <x v="2"/>
  </r>
  <r>
    <s v="O111080"/>
    <x v="90"/>
    <x v="6"/>
    <x v="5"/>
    <x v="2"/>
    <x v="0"/>
    <n v="6"/>
    <n v="655498"/>
    <d v="2026-05-11T00:00:00"/>
    <n v="5"/>
    <n v="11"/>
    <n v="2026"/>
    <x v="3"/>
    <s v="Q2"/>
    <x v="2"/>
  </r>
  <r>
    <s v="O102843"/>
    <x v="576"/>
    <x v="5"/>
    <x v="3"/>
    <x v="0"/>
    <x v="2"/>
    <n v="3"/>
    <n v="655088"/>
    <d v="2025-06-22T00:00:00"/>
    <n v="6"/>
    <n v="22"/>
    <n v="2025"/>
    <x v="2"/>
    <s v="Q2"/>
    <x v="0"/>
  </r>
  <r>
    <s v="O109359"/>
    <x v="634"/>
    <x v="1"/>
    <x v="5"/>
    <x v="4"/>
    <x v="2"/>
    <n v="5"/>
    <n v="655055"/>
    <d v="2026-07-23T00:00:00"/>
    <n v="7"/>
    <n v="23"/>
    <n v="2026"/>
    <x v="10"/>
    <s v="Q3"/>
    <x v="4"/>
  </r>
  <r>
    <s v="O100337"/>
    <x v="646"/>
    <x v="8"/>
    <x v="5"/>
    <x v="0"/>
    <x v="2"/>
    <n v="7"/>
    <n v="654132"/>
    <d v="2025-01-21T00:00:00"/>
    <n v="1"/>
    <n v="21"/>
    <n v="2025"/>
    <x v="6"/>
    <s v="Q1"/>
    <x v="0"/>
  </r>
  <r>
    <s v="O111102"/>
    <x v="512"/>
    <x v="6"/>
    <x v="5"/>
    <x v="3"/>
    <x v="0"/>
    <n v="5"/>
    <n v="653929"/>
    <d v="2026-06-11T00:00:00"/>
    <n v="6"/>
    <n v="11"/>
    <n v="2026"/>
    <x v="2"/>
    <s v="Q2"/>
    <x v="3"/>
  </r>
  <r>
    <s v="O103494"/>
    <x v="351"/>
    <x v="6"/>
    <x v="5"/>
    <x v="2"/>
    <x v="3"/>
    <n v="6"/>
    <n v="653750"/>
    <d v="2025-01-08T00:00:00"/>
    <n v="1"/>
    <n v="8"/>
    <n v="2025"/>
    <x v="6"/>
    <s v="Q1"/>
    <x v="2"/>
  </r>
  <r>
    <s v="O109198"/>
    <x v="508"/>
    <x v="1"/>
    <x v="3"/>
    <x v="0"/>
    <x v="2"/>
    <n v="3"/>
    <n v="653723"/>
    <d v="2026-07-13T00:00:00"/>
    <n v="7"/>
    <n v="13"/>
    <n v="2026"/>
    <x v="10"/>
    <s v="Q3"/>
    <x v="0"/>
  </r>
  <r>
    <s v="O105484"/>
    <x v="443"/>
    <x v="6"/>
    <x v="4"/>
    <x v="0"/>
    <x v="2"/>
    <n v="3"/>
    <n v="653714"/>
    <d v="2025-11-30T00:00:00"/>
    <n v="11"/>
    <n v="30"/>
    <n v="2025"/>
    <x v="0"/>
    <m/>
    <x v="0"/>
  </r>
  <r>
    <s v="O110180"/>
    <x v="442"/>
    <x v="10"/>
    <x v="4"/>
    <x v="2"/>
    <x v="0"/>
    <n v="3"/>
    <n v="653277"/>
    <d v="2026-11-09T00:00:00"/>
    <n v="11"/>
    <n v="9"/>
    <n v="2026"/>
    <x v="0"/>
    <s v="Q4"/>
    <x v="2"/>
  </r>
  <r>
    <s v="O108497"/>
    <x v="696"/>
    <x v="1"/>
    <x v="3"/>
    <x v="4"/>
    <x v="2"/>
    <n v="3"/>
    <n v="652781"/>
    <d v="2026-01-06T00:00:00"/>
    <n v="1"/>
    <n v="6"/>
    <n v="2026"/>
    <x v="6"/>
    <s v="Q1"/>
    <x v="4"/>
  </r>
  <r>
    <s v="O101332"/>
    <x v="761"/>
    <x v="4"/>
    <x v="4"/>
    <x v="1"/>
    <x v="3"/>
    <n v="3"/>
    <n v="651864"/>
    <d v="2025-03-22T00:00:00"/>
    <n v="3"/>
    <n v="22"/>
    <n v="2025"/>
    <x v="5"/>
    <s v="Q1"/>
    <x v="1"/>
  </r>
  <r>
    <s v="O111537"/>
    <x v="303"/>
    <x v="10"/>
    <x v="5"/>
    <x v="3"/>
    <x v="2"/>
    <n v="5"/>
    <n v="651754"/>
    <d v="2026-02-12T00:00:00"/>
    <n v="2"/>
    <n v="12"/>
    <n v="2026"/>
    <x v="4"/>
    <s v="Q1"/>
    <x v="3"/>
  </r>
  <r>
    <s v="O106814"/>
    <x v="376"/>
    <x v="9"/>
    <x v="4"/>
    <x v="2"/>
    <x v="1"/>
    <n v="3"/>
    <n v="651741"/>
    <d v="2026-02-18T00:00:00"/>
    <n v="2"/>
    <n v="18"/>
    <n v="2026"/>
    <x v="4"/>
    <s v="Q1"/>
    <x v="2"/>
  </r>
  <r>
    <s v="O108063"/>
    <x v="139"/>
    <x v="4"/>
    <x v="3"/>
    <x v="2"/>
    <x v="0"/>
    <n v="3"/>
    <n v="651369"/>
    <d v="2026-05-05T00:00:00"/>
    <n v="5"/>
    <n v="5"/>
    <n v="2026"/>
    <x v="3"/>
    <s v="Q2"/>
    <x v="2"/>
  </r>
  <r>
    <s v="O101859"/>
    <x v="419"/>
    <x v="5"/>
    <x v="5"/>
    <x v="3"/>
    <x v="2"/>
    <n v="5"/>
    <n v="651348"/>
    <d v="2025-04-23T00:00:00"/>
    <n v="4"/>
    <n v="23"/>
    <n v="2025"/>
    <x v="11"/>
    <s v="Q2"/>
    <x v="3"/>
  </r>
  <r>
    <s v="O104396"/>
    <x v="660"/>
    <x v="1"/>
    <x v="5"/>
    <x v="3"/>
    <x v="3"/>
    <n v="7"/>
    <n v="651181"/>
    <d v="2025-09-25T00:00:00"/>
    <n v="9"/>
    <n v="25"/>
    <n v="2025"/>
    <x v="1"/>
    <s v="Q3"/>
    <x v="3"/>
  </r>
  <r>
    <s v="O106979"/>
    <x v="379"/>
    <x v="8"/>
    <x v="4"/>
    <x v="3"/>
    <x v="1"/>
    <n v="4"/>
    <n v="651006"/>
    <d v="2026-02-28T00:00:00"/>
    <n v="2"/>
    <n v="28"/>
    <n v="2026"/>
    <x v="4"/>
    <s v="Q1"/>
    <x v="3"/>
  </r>
  <r>
    <s v="O111259"/>
    <x v="320"/>
    <x v="0"/>
    <x v="5"/>
    <x v="2"/>
    <x v="3"/>
    <n v="6"/>
    <n v="651005"/>
    <d v="2026-11-15T00:00:00"/>
    <n v="11"/>
    <n v="15"/>
    <n v="2026"/>
    <x v="0"/>
    <s v="Q4"/>
    <x v="2"/>
  </r>
  <r>
    <s v="O103435"/>
    <x v="404"/>
    <x v="6"/>
    <x v="4"/>
    <x v="4"/>
    <x v="3"/>
    <n v="4"/>
    <n v="650868"/>
    <d v="2025-07-28T00:00:00"/>
    <n v="7"/>
    <n v="28"/>
    <n v="2025"/>
    <x v="10"/>
    <s v="Q3"/>
    <x v="4"/>
  </r>
  <r>
    <s v="O106012"/>
    <x v="729"/>
    <x v="5"/>
    <x v="5"/>
    <x v="4"/>
    <x v="0"/>
    <n v="6"/>
    <n v="650384"/>
    <d v="2026-01-01T00:00:00"/>
    <n v="1"/>
    <n v="1"/>
    <n v="2026"/>
    <x v="6"/>
    <s v="Q1"/>
    <x v="4"/>
  </r>
  <r>
    <s v="O109768"/>
    <x v="502"/>
    <x v="9"/>
    <x v="4"/>
    <x v="0"/>
    <x v="2"/>
    <n v="3"/>
    <n v="650143"/>
    <d v="2026-08-17T00:00:00"/>
    <n v="8"/>
    <n v="17"/>
    <n v="2026"/>
    <x v="8"/>
    <s v="Q3"/>
    <x v="0"/>
  </r>
  <r>
    <s v="O101956"/>
    <x v="24"/>
    <x v="5"/>
    <x v="3"/>
    <x v="2"/>
    <x v="1"/>
    <n v="3"/>
    <n v="650031"/>
    <d v="2025-04-29T00:00:00"/>
    <n v="4"/>
    <n v="29"/>
    <n v="2025"/>
    <x v="11"/>
    <s v="Q2"/>
    <x v="2"/>
  </r>
  <r>
    <s v="O101545"/>
    <x v="756"/>
    <x v="3"/>
    <x v="3"/>
    <x v="4"/>
    <x v="3"/>
    <n v="3"/>
    <n v="649843"/>
    <d v="2025-04-04T00:00:00"/>
    <n v="4"/>
    <n v="4"/>
    <n v="2025"/>
    <x v="11"/>
    <s v="Q2"/>
    <x v="4"/>
  </r>
  <r>
    <s v="O101356"/>
    <x v="368"/>
    <x v="6"/>
    <x v="5"/>
    <x v="2"/>
    <x v="3"/>
    <n v="6"/>
    <n v="649775"/>
    <d v="2025-03-24T00:00:00"/>
    <n v="3"/>
    <n v="24"/>
    <n v="2025"/>
    <x v="5"/>
    <s v="Q1"/>
    <x v="2"/>
  </r>
  <r>
    <s v="O106433"/>
    <x v="117"/>
    <x v="5"/>
    <x v="5"/>
    <x v="3"/>
    <x v="3"/>
    <n v="6"/>
    <n v="649721"/>
    <d v="2026-01-26T00:00:00"/>
    <n v="1"/>
    <n v="26"/>
    <n v="2026"/>
    <x v="6"/>
    <s v="Q1"/>
    <x v="3"/>
  </r>
  <r>
    <s v="O108396"/>
    <x v="199"/>
    <x v="3"/>
    <x v="4"/>
    <x v="2"/>
    <x v="0"/>
    <n v="4"/>
    <n v="649713"/>
    <d v="2026-05-26T00:00:00"/>
    <n v="5"/>
    <n v="26"/>
    <n v="2026"/>
    <x v="3"/>
    <s v="Q2"/>
    <x v="2"/>
  </r>
  <r>
    <s v="O110669"/>
    <x v="423"/>
    <x v="2"/>
    <x v="4"/>
    <x v="4"/>
    <x v="0"/>
    <n v="4"/>
    <n v="649094"/>
    <d v="2026-11-10T00:00:00"/>
    <n v="11"/>
    <n v="10"/>
    <n v="2026"/>
    <x v="0"/>
    <s v="Q4"/>
    <x v="4"/>
  </r>
  <r>
    <s v="O109377"/>
    <x v="159"/>
    <x v="0"/>
    <x v="4"/>
    <x v="2"/>
    <x v="1"/>
    <n v="3"/>
    <n v="648812"/>
    <d v="2026-07-24T00:00:00"/>
    <n v="7"/>
    <n v="24"/>
    <n v="2026"/>
    <x v="10"/>
    <s v="Q3"/>
    <x v="2"/>
  </r>
  <r>
    <s v="O109018"/>
    <x v="611"/>
    <x v="8"/>
    <x v="5"/>
    <x v="4"/>
    <x v="0"/>
    <n v="5"/>
    <n v="648807"/>
    <d v="2026-02-07T00:00:00"/>
    <n v="2"/>
    <n v="7"/>
    <n v="2026"/>
    <x v="4"/>
    <s v="Q1"/>
    <x v="4"/>
  </r>
  <r>
    <s v="O107904"/>
    <x v="97"/>
    <x v="8"/>
    <x v="4"/>
    <x v="1"/>
    <x v="2"/>
    <n v="4"/>
    <n v="648656"/>
    <d v="2026-04-26T00:00:00"/>
    <n v="4"/>
    <n v="26"/>
    <n v="2026"/>
    <x v="11"/>
    <s v="Q2"/>
    <x v="1"/>
  </r>
  <r>
    <s v="O103898"/>
    <x v="477"/>
    <x v="2"/>
    <x v="5"/>
    <x v="1"/>
    <x v="2"/>
    <n v="5"/>
    <n v="648414"/>
    <d v="2025-08-25T00:00:00"/>
    <n v="8"/>
    <n v="25"/>
    <n v="2025"/>
    <x v="8"/>
    <s v="Q3"/>
    <x v="1"/>
  </r>
  <r>
    <s v="O106281"/>
    <x v="224"/>
    <x v="6"/>
    <x v="5"/>
    <x v="1"/>
    <x v="3"/>
    <n v="5"/>
    <n v="647583"/>
    <d v="2026-01-17T00:00:00"/>
    <n v="1"/>
    <n v="17"/>
    <n v="2026"/>
    <x v="6"/>
    <s v="Q1"/>
    <x v="1"/>
  </r>
  <r>
    <s v="O111350"/>
    <x v="379"/>
    <x v="2"/>
    <x v="5"/>
    <x v="4"/>
    <x v="2"/>
    <n v="5"/>
    <n v="647396"/>
    <d v="2026-11-21T00:00:00"/>
    <n v="11"/>
    <n v="21"/>
    <n v="2026"/>
    <x v="0"/>
    <s v="Q4"/>
    <x v="4"/>
  </r>
  <r>
    <s v="O110725"/>
    <x v="28"/>
    <x v="3"/>
    <x v="4"/>
    <x v="0"/>
    <x v="2"/>
    <n v="3"/>
    <n v="647219"/>
    <d v="2026-10-14T00:00:00"/>
    <n v="10"/>
    <n v="14"/>
    <n v="2026"/>
    <x v="9"/>
    <s v="Q4"/>
    <x v="0"/>
  </r>
  <r>
    <s v="O111309"/>
    <x v="717"/>
    <x v="0"/>
    <x v="4"/>
    <x v="0"/>
    <x v="0"/>
    <n v="3"/>
    <n v="646466"/>
    <d v="2026-11-19T00:00:00"/>
    <n v="11"/>
    <n v="19"/>
    <n v="2026"/>
    <x v="0"/>
    <s v="Q4"/>
    <x v="0"/>
  </r>
  <r>
    <s v="O104756"/>
    <x v="23"/>
    <x v="9"/>
    <x v="5"/>
    <x v="1"/>
    <x v="1"/>
    <n v="7"/>
    <n v="646405"/>
    <d v="2025-10-16T00:00:00"/>
    <n v="10"/>
    <n v="16"/>
    <n v="2025"/>
    <x v="9"/>
    <s v="Q4"/>
    <x v="1"/>
  </r>
  <r>
    <s v="O111377"/>
    <x v="37"/>
    <x v="8"/>
    <x v="4"/>
    <x v="4"/>
    <x v="3"/>
    <n v="4"/>
    <n v="645923"/>
    <d v="2026-11-23T00:00:00"/>
    <n v="11"/>
    <n v="23"/>
    <n v="2026"/>
    <x v="0"/>
    <s v="Q4"/>
    <x v="4"/>
  </r>
  <r>
    <s v="O110011"/>
    <x v="58"/>
    <x v="1"/>
    <x v="5"/>
    <x v="1"/>
    <x v="3"/>
    <n v="7"/>
    <n v="645744"/>
    <d v="2026-01-09T00:00:00"/>
    <n v="1"/>
    <n v="9"/>
    <n v="2026"/>
    <x v="6"/>
    <s v="Q1"/>
    <x v="1"/>
  </r>
  <r>
    <s v="O108534"/>
    <x v="680"/>
    <x v="1"/>
    <x v="4"/>
    <x v="0"/>
    <x v="1"/>
    <n v="3"/>
    <n v="645114"/>
    <d v="2026-03-06T00:00:00"/>
    <n v="3"/>
    <n v="6"/>
    <n v="2026"/>
    <x v="5"/>
    <s v="Q1"/>
    <x v="0"/>
  </r>
  <r>
    <s v="O108603"/>
    <x v="43"/>
    <x v="2"/>
    <x v="5"/>
    <x v="2"/>
    <x v="2"/>
    <n v="5"/>
    <n v="644581"/>
    <d v="2026-07-06T00:00:00"/>
    <n v="7"/>
    <n v="6"/>
    <n v="2026"/>
    <x v="10"/>
    <s v="Q3"/>
    <x v="2"/>
  </r>
  <r>
    <s v="O107242"/>
    <x v="426"/>
    <x v="3"/>
    <x v="5"/>
    <x v="1"/>
    <x v="2"/>
    <n v="7"/>
    <n v="644525"/>
    <d v="2026-03-16T00:00:00"/>
    <n v="3"/>
    <n v="16"/>
    <n v="2026"/>
    <x v="5"/>
    <s v="Q1"/>
    <x v="1"/>
  </r>
  <r>
    <s v="O111450"/>
    <x v="752"/>
    <x v="9"/>
    <x v="5"/>
    <x v="4"/>
    <x v="2"/>
    <n v="7"/>
    <n v="644370"/>
    <d v="2026-11-27T00:00:00"/>
    <n v="11"/>
    <n v="27"/>
    <n v="2026"/>
    <x v="0"/>
    <s v="Q4"/>
    <x v="4"/>
  </r>
  <r>
    <s v="O105944"/>
    <x v="732"/>
    <x v="8"/>
    <x v="5"/>
    <x v="2"/>
    <x v="2"/>
    <n v="5"/>
    <n v="644153"/>
    <d v="2025-12-28T00:00:00"/>
    <n v="12"/>
    <n v="28"/>
    <n v="2025"/>
    <x v="7"/>
    <s v="Q4"/>
    <x v="2"/>
  </r>
  <r>
    <s v="O109727"/>
    <x v="422"/>
    <x v="3"/>
    <x v="5"/>
    <x v="4"/>
    <x v="0"/>
    <n v="5"/>
    <n v="643763"/>
    <d v="2026-08-14T00:00:00"/>
    <n v="8"/>
    <n v="14"/>
    <n v="2026"/>
    <x v="8"/>
    <m/>
    <x v="4"/>
  </r>
  <r>
    <s v="O107592"/>
    <x v="90"/>
    <x v="3"/>
    <x v="5"/>
    <x v="0"/>
    <x v="0"/>
    <n v="7"/>
    <n v="643720"/>
    <d v="2026-07-04T00:00:00"/>
    <n v="7"/>
    <n v="4"/>
    <n v="2026"/>
    <x v="10"/>
    <s v="Q3"/>
    <x v="0"/>
  </r>
  <r>
    <s v="O111627"/>
    <x v="570"/>
    <x v="0"/>
    <x v="4"/>
    <x v="4"/>
    <x v="0"/>
    <n v="4"/>
    <n v="643391"/>
    <d v="2026-08-12T00:00:00"/>
    <n v="8"/>
    <n v="12"/>
    <n v="2026"/>
    <x v="8"/>
    <s v="Q3"/>
    <x v="4"/>
  </r>
  <r>
    <s v="O105781"/>
    <x v="190"/>
    <x v="9"/>
    <x v="2"/>
    <x v="4"/>
    <x v="1"/>
    <n v="2"/>
    <n v="642803"/>
    <d v="2025-12-18T00:00:00"/>
    <n v="12"/>
    <n v="18"/>
    <n v="2025"/>
    <x v="7"/>
    <s v="Q4"/>
    <x v="4"/>
  </r>
  <r>
    <s v="O109743"/>
    <x v="704"/>
    <x v="1"/>
    <x v="5"/>
    <x v="2"/>
    <x v="1"/>
    <n v="5"/>
    <n v="642433"/>
    <d v="2026-08-15T00:00:00"/>
    <n v="8"/>
    <n v="15"/>
    <n v="2026"/>
    <x v="8"/>
    <s v="Q3"/>
    <x v="2"/>
  </r>
  <r>
    <s v="O107931"/>
    <x v="390"/>
    <x v="8"/>
    <x v="5"/>
    <x v="4"/>
    <x v="2"/>
    <n v="6"/>
    <n v="642361"/>
    <d v="2026-04-27T00:00:00"/>
    <n v="4"/>
    <n v="27"/>
    <n v="2026"/>
    <x v="11"/>
    <s v="Q2"/>
    <x v="4"/>
  </r>
  <r>
    <s v="O101081"/>
    <x v="477"/>
    <x v="10"/>
    <x v="4"/>
    <x v="3"/>
    <x v="2"/>
    <n v="4"/>
    <n v="641884"/>
    <d v="2025-07-03T00:00:00"/>
    <n v="7"/>
    <n v="3"/>
    <n v="2025"/>
    <x v="10"/>
    <s v="Q3"/>
    <x v="3"/>
  </r>
  <r>
    <s v="O107980"/>
    <x v="356"/>
    <x v="9"/>
    <x v="4"/>
    <x v="4"/>
    <x v="1"/>
    <n v="3"/>
    <n v="641557"/>
    <d v="2026-04-30T00:00:00"/>
    <n v="4"/>
    <n v="30"/>
    <n v="2026"/>
    <x v="11"/>
    <m/>
    <x v="4"/>
  </r>
  <r>
    <s v="O104528"/>
    <x v="322"/>
    <x v="3"/>
    <x v="3"/>
    <x v="4"/>
    <x v="3"/>
    <n v="3"/>
    <n v="641350"/>
    <d v="2025-03-10T00:00:00"/>
    <n v="3"/>
    <n v="10"/>
    <n v="2025"/>
    <x v="5"/>
    <s v="Q1"/>
    <x v="4"/>
  </r>
  <r>
    <s v="O104696"/>
    <x v="333"/>
    <x v="3"/>
    <x v="5"/>
    <x v="1"/>
    <x v="1"/>
    <n v="7"/>
    <n v="640969"/>
    <d v="2025-10-13T00:00:00"/>
    <n v="10"/>
    <n v="13"/>
    <n v="2025"/>
    <x v="9"/>
    <s v="Q4"/>
    <x v="1"/>
  </r>
  <r>
    <s v="O102035"/>
    <x v="708"/>
    <x v="3"/>
    <x v="2"/>
    <x v="0"/>
    <x v="0"/>
    <n v="2"/>
    <n v="640700"/>
    <d v="2025-04-05T00:00:00"/>
    <n v="4"/>
    <n v="5"/>
    <n v="2025"/>
    <x v="11"/>
    <s v="Q2"/>
    <x v="0"/>
  </r>
  <r>
    <s v="O102790"/>
    <x v="452"/>
    <x v="4"/>
    <x v="3"/>
    <x v="2"/>
    <x v="2"/>
    <n v="3"/>
    <n v="640356"/>
    <d v="2025-06-19T00:00:00"/>
    <n v="6"/>
    <n v="19"/>
    <n v="2025"/>
    <x v="2"/>
    <s v="Q2"/>
    <x v="2"/>
  </r>
  <r>
    <s v="O107078"/>
    <x v="72"/>
    <x v="3"/>
    <x v="2"/>
    <x v="2"/>
    <x v="1"/>
    <n v="2"/>
    <n v="640223"/>
    <d v="2026-06-03T00:00:00"/>
    <n v="6"/>
    <n v="3"/>
    <n v="2026"/>
    <x v="2"/>
    <s v="Q2"/>
    <x v="2"/>
  </r>
  <r>
    <s v="O100281"/>
    <x v="106"/>
    <x v="2"/>
    <x v="5"/>
    <x v="4"/>
    <x v="0"/>
    <n v="6"/>
    <n v="639851"/>
    <d v="2025-01-18T00:00:00"/>
    <n v="1"/>
    <n v="18"/>
    <n v="2025"/>
    <x v="6"/>
    <s v="Q1"/>
    <x v="4"/>
  </r>
  <r>
    <s v="O100660"/>
    <x v="56"/>
    <x v="5"/>
    <x v="2"/>
    <x v="1"/>
    <x v="1"/>
    <n v="2"/>
    <n v="639328"/>
    <d v="2025-10-02T00:00:00"/>
    <n v="10"/>
    <n v="2"/>
    <n v="2025"/>
    <x v="9"/>
    <s v="Q4"/>
    <x v="1"/>
  </r>
  <r>
    <s v="O109784"/>
    <x v="590"/>
    <x v="8"/>
    <x v="3"/>
    <x v="2"/>
    <x v="3"/>
    <n v="3"/>
    <n v="639259"/>
    <d v="2026-08-18T00:00:00"/>
    <n v="8"/>
    <n v="18"/>
    <n v="2026"/>
    <x v="8"/>
    <s v="Q3"/>
    <x v="2"/>
  </r>
  <r>
    <s v="O106845"/>
    <x v="217"/>
    <x v="4"/>
    <x v="5"/>
    <x v="4"/>
    <x v="1"/>
    <n v="5"/>
    <n v="639232"/>
    <d v="2026-02-20T00:00:00"/>
    <n v="2"/>
    <n v="20"/>
    <n v="2026"/>
    <x v="4"/>
    <s v="Q1"/>
    <x v="4"/>
  </r>
  <r>
    <s v="O109555"/>
    <x v="619"/>
    <x v="1"/>
    <x v="2"/>
    <x v="4"/>
    <x v="1"/>
    <n v="2"/>
    <n v="638693"/>
    <d v="2026-04-08T00:00:00"/>
    <n v="4"/>
    <n v="8"/>
    <n v="2026"/>
    <x v="11"/>
    <s v="Q2"/>
    <x v="4"/>
  </r>
  <r>
    <s v="O104024"/>
    <x v="592"/>
    <x v="0"/>
    <x v="5"/>
    <x v="1"/>
    <x v="1"/>
    <n v="6"/>
    <n v="638481"/>
    <d v="2025-02-09T00:00:00"/>
    <n v="2"/>
    <n v="9"/>
    <n v="2025"/>
    <x v="4"/>
    <s v="Q1"/>
    <x v="1"/>
  </r>
  <r>
    <s v="O106418"/>
    <x v="82"/>
    <x v="10"/>
    <x v="3"/>
    <x v="3"/>
    <x v="1"/>
    <n v="3"/>
    <n v="638127"/>
    <d v="2026-01-25T00:00:00"/>
    <n v="1"/>
    <n v="25"/>
    <n v="2026"/>
    <x v="6"/>
    <s v="Q1"/>
    <x v="3"/>
  </r>
  <r>
    <s v="O100095"/>
    <x v="241"/>
    <x v="1"/>
    <x v="4"/>
    <x v="4"/>
    <x v="2"/>
    <n v="3"/>
    <n v="637809"/>
    <d v="2025-06-01T00:00:00"/>
    <n v="6"/>
    <n v="1"/>
    <n v="2025"/>
    <x v="2"/>
    <s v="Q2"/>
    <x v="4"/>
  </r>
  <r>
    <s v="O101792"/>
    <x v="585"/>
    <x v="5"/>
    <x v="4"/>
    <x v="2"/>
    <x v="1"/>
    <n v="4"/>
    <n v="637287"/>
    <d v="2025-04-19T00:00:00"/>
    <n v="4"/>
    <n v="19"/>
    <n v="2025"/>
    <x v="11"/>
    <s v="Q2"/>
    <x v="2"/>
  </r>
  <r>
    <s v="O104629"/>
    <x v="717"/>
    <x v="6"/>
    <x v="2"/>
    <x v="3"/>
    <x v="2"/>
    <n v="2"/>
    <n v="636578"/>
    <d v="2025-09-10T00:00:00"/>
    <n v="9"/>
    <n v="10"/>
    <n v="2025"/>
    <x v="1"/>
    <s v="Q3"/>
    <x v="3"/>
  </r>
  <r>
    <s v="O105694"/>
    <x v="672"/>
    <x v="10"/>
    <x v="2"/>
    <x v="1"/>
    <x v="3"/>
    <n v="2"/>
    <n v="636464"/>
    <d v="2025-12-12T00:00:00"/>
    <n v="12"/>
    <n v="12"/>
    <n v="2025"/>
    <x v="7"/>
    <s v="Q4"/>
    <x v="1"/>
  </r>
  <r>
    <s v="O105707"/>
    <x v="2"/>
    <x v="3"/>
    <x v="5"/>
    <x v="4"/>
    <x v="1"/>
    <n v="6"/>
    <n v="636112"/>
    <d v="2025-12-13T00:00:00"/>
    <n v="12"/>
    <n v="13"/>
    <n v="2025"/>
    <x v="7"/>
    <s v="Q4"/>
    <x v="4"/>
  </r>
  <r>
    <s v="O106835"/>
    <x v="54"/>
    <x v="5"/>
    <x v="5"/>
    <x v="4"/>
    <x v="3"/>
    <n v="6"/>
    <n v="636006"/>
    <d v="2026-02-20T00:00:00"/>
    <n v="2"/>
    <n v="20"/>
    <n v="2026"/>
    <x v="4"/>
    <s v="Q1"/>
    <x v="4"/>
  </r>
  <r>
    <s v="O107020"/>
    <x v="408"/>
    <x v="5"/>
    <x v="4"/>
    <x v="4"/>
    <x v="2"/>
    <n v="4"/>
    <n v="635615"/>
    <d v="2026-03-03T00:00:00"/>
    <n v="3"/>
    <n v="3"/>
    <n v="2026"/>
    <x v="5"/>
    <s v="Q1"/>
    <x v="4"/>
  </r>
  <r>
    <s v="O101852"/>
    <x v="493"/>
    <x v="0"/>
    <x v="5"/>
    <x v="3"/>
    <x v="0"/>
    <n v="6"/>
    <n v="635441"/>
    <d v="2025-04-23T00:00:00"/>
    <n v="4"/>
    <n v="23"/>
    <n v="2025"/>
    <x v="11"/>
    <s v="Q2"/>
    <x v="3"/>
  </r>
  <r>
    <s v="O100662"/>
    <x v="518"/>
    <x v="9"/>
    <x v="3"/>
    <x v="2"/>
    <x v="3"/>
    <n v="3"/>
    <n v="634931"/>
    <d v="2025-10-02T00:00:00"/>
    <n v="10"/>
    <n v="2"/>
    <n v="2025"/>
    <x v="9"/>
    <s v="Q4"/>
    <x v="2"/>
  </r>
  <r>
    <s v="O110812"/>
    <x v="696"/>
    <x v="8"/>
    <x v="4"/>
    <x v="4"/>
    <x v="2"/>
    <n v="3"/>
    <n v="634447"/>
    <d v="2026-10-19T00:00:00"/>
    <n v="10"/>
    <n v="19"/>
    <n v="2026"/>
    <x v="9"/>
    <s v="Q4"/>
    <x v="4"/>
  </r>
  <r>
    <s v="O105520"/>
    <x v="527"/>
    <x v="6"/>
    <x v="2"/>
    <x v="0"/>
    <x v="0"/>
    <n v="2"/>
    <n v="634390"/>
    <d v="2025-02-12T00:00:00"/>
    <n v="2"/>
    <n v="12"/>
    <n v="2025"/>
    <x v="4"/>
    <m/>
    <x v="0"/>
  </r>
  <r>
    <s v="O101244"/>
    <x v="559"/>
    <x v="10"/>
    <x v="5"/>
    <x v="3"/>
    <x v="1"/>
    <n v="5"/>
    <n v="634071"/>
    <d v="2025-03-17T00:00:00"/>
    <n v="3"/>
    <n v="17"/>
    <n v="2025"/>
    <x v="5"/>
    <m/>
    <x v="3"/>
  </r>
  <r>
    <s v="O101893"/>
    <x v="553"/>
    <x v="8"/>
    <x v="4"/>
    <x v="1"/>
    <x v="3"/>
    <n v="3"/>
    <n v="633814"/>
    <d v="2025-04-25T00:00:00"/>
    <n v="4"/>
    <n v="25"/>
    <n v="2025"/>
    <x v="11"/>
    <s v="Q2"/>
    <x v="1"/>
  </r>
  <r>
    <s v="O100507"/>
    <x v="280"/>
    <x v="9"/>
    <x v="3"/>
    <x v="1"/>
    <x v="1"/>
    <n v="3"/>
    <n v="633599"/>
    <d v="2025-01-31T00:00:00"/>
    <n v="1"/>
    <n v="31"/>
    <n v="2025"/>
    <x v="6"/>
    <s v="Q1"/>
    <x v="1"/>
  </r>
  <r>
    <s v="O107471"/>
    <x v="57"/>
    <x v="6"/>
    <x v="5"/>
    <x v="2"/>
    <x v="1"/>
    <n v="5"/>
    <n v="633453"/>
    <d v="2026-03-30T00:00:00"/>
    <n v="3"/>
    <n v="30"/>
    <n v="2026"/>
    <x v="5"/>
    <s v="Q1"/>
    <x v="2"/>
  </r>
  <r>
    <s v="O100992"/>
    <x v="614"/>
    <x v="4"/>
    <x v="4"/>
    <x v="3"/>
    <x v="2"/>
    <n v="4"/>
    <n v="633446"/>
    <d v="2025-02-03T00:00:00"/>
    <n v="2"/>
    <n v="3"/>
    <n v="2025"/>
    <x v="4"/>
    <s v="Q1"/>
    <x v="3"/>
  </r>
  <r>
    <s v="O104495"/>
    <x v="3"/>
    <x v="10"/>
    <x v="4"/>
    <x v="0"/>
    <x v="0"/>
    <n v="4"/>
    <n v="632920"/>
    <d v="2025-01-10T00:00:00"/>
    <n v="1"/>
    <n v="10"/>
    <n v="2025"/>
    <x v="6"/>
    <s v="Q1"/>
    <x v="0"/>
  </r>
  <r>
    <s v="O111363"/>
    <x v="623"/>
    <x v="1"/>
    <x v="4"/>
    <x v="3"/>
    <x v="3"/>
    <n v="4"/>
    <n v="632817"/>
    <d v="2026-11-22T00:00:00"/>
    <n v="11"/>
    <n v="22"/>
    <n v="2026"/>
    <x v="0"/>
    <s v="Q4"/>
    <x v="3"/>
  </r>
  <r>
    <s v="O109750"/>
    <x v="38"/>
    <x v="3"/>
    <x v="3"/>
    <x v="3"/>
    <x v="2"/>
    <n v="3"/>
    <n v="632218"/>
    <d v="2026-08-16T00:00:00"/>
    <n v="8"/>
    <n v="16"/>
    <n v="2026"/>
    <x v="8"/>
    <s v="Q3"/>
    <x v="3"/>
  </r>
  <r>
    <s v="O103359"/>
    <x v="706"/>
    <x v="8"/>
    <x v="5"/>
    <x v="3"/>
    <x v="3"/>
    <n v="5"/>
    <n v="632076"/>
    <d v="2025-07-24T00:00:00"/>
    <n v="7"/>
    <n v="24"/>
    <n v="2025"/>
    <x v="10"/>
    <s v="Q3"/>
    <x v="3"/>
  </r>
  <r>
    <s v="O101153"/>
    <x v="259"/>
    <x v="3"/>
    <x v="4"/>
    <x v="1"/>
    <x v="2"/>
    <n v="4"/>
    <n v="631887"/>
    <d v="2025-11-03T00:00:00"/>
    <n v="11"/>
    <n v="3"/>
    <n v="2025"/>
    <x v="0"/>
    <s v="Q4"/>
    <x v="1"/>
  </r>
  <r>
    <s v="O107580"/>
    <x v="290"/>
    <x v="9"/>
    <x v="4"/>
    <x v="3"/>
    <x v="3"/>
    <n v="3"/>
    <n v="631405"/>
    <d v="2026-06-04T00:00:00"/>
    <n v="6"/>
    <n v="4"/>
    <n v="2026"/>
    <x v="2"/>
    <s v="Q2"/>
    <x v="3"/>
  </r>
  <r>
    <s v="O106381"/>
    <x v="678"/>
    <x v="2"/>
    <x v="2"/>
    <x v="0"/>
    <x v="2"/>
    <n v="2"/>
    <n v="631371"/>
    <d v="2026-01-23T00:00:00"/>
    <n v="1"/>
    <n v="23"/>
    <n v="2026"/>
    <x v="6"/>
    <s v="Q1"/>
    <x v="0"/>
  </r>
  <r>
    <s v="O108893"/>
    <x v="113"/>
    <x v="6"/>
    <x v="3"/>
    <x v="2"/>
    <x v="0"/>
    <n v="3"/>
    <n v="631130"/>
    <d v="2026-06-25T00:00:00"/>
    <n v="6"/>
    <n v="25"/>
    <n v="2026"/>
    <x v="2"/>
    <s v="Q2"/>
    <x v="2"/>
  </r>
  <r>
    <s v="O111039"/>
    <x v="323"/>
    <x v="1"/>
    <x v="3"/>
    <x v="1"/>
    <x v="1"/>
    <n v="3"/>
    <n v="630676"/>
    <d v="2026-02-11T00:00:00"/>
    <n v="2"/>
    <n v="11"/>
    <n v="2026"/>
    <x v="4"/>
    <s v="Q1"/>
    <x v="1"/>
  </r>
  <r>
    <s v="O107770"/>
    <x v="179"/>
    <x v="1"/>
    <x v="4"/>
    <x v="0"/>
    <x v="2"/>
    <n v="3"/>
    <n v="629882"/>
    <d v="2026-04-18T00:00:00"/>
    <n v="4"/>
    <n v="18"/>
    <n v="2026"/>
    <x v="11"/>
    <s v="Q2"/>
    <x v="0"/>
  </r>
  <r>
    <s v="O100684"/>
    <x v="148"/>
    <x v="9"/>
    <x v="2"/>
    <x v="0"/>
    <x v="1"/>
    <n v="2"/>
    <n v="629683"/>
    <d v="2025-11-02T00:00:00"/>
    <n v="11"/>
    <n v="2"/>
    <n v="2025"/>
    <x v="0"/>
    <s v="Q4"/>
    <x v="0"/>
  </r>
  <r>
    <s v="O102127"/>
    <x v="150"/>
    <x v="5"/>
    <x v="2"/>
    <x v="2"/>
    <x v="0"/>
    <n v="2"/>
    <n v="628445"/>
    <d v="2025-10-05T00:00:00"/>
    <n v="10"/>
    <n v="5"/>
    <n v="2025"/>
    <x v="9"/>
    <s v="Q4"/>
    <x v="2"/>
  </r>
  <r>
    <s v="O109985"/>
    <x v="70"/>
    <x v="0"/>
    <x v="5"/>
    <x v="1"/>
    <x v="1"/>
    <n v="6"/>
    <n v="627412"/>
    <d v="2026-08-30T00:00:00"/>
    <n v="8"/>
    <n v="30"/>
    <n v="2026"/>
    <x v="8"/>
    <s v="Q3"/>
    <x v="1"/>
  </r>
  <r>
    <s v="O103312"/>
    <x v="278"/>
    <x v="9"/>
    <x v="2"/>
    <x v="1"/>
    <x v="1"/>
    <n v="2"/>
    <n v="627166"/>
    <d v="2025-07-21T00:00:00"/>
    <n v="7"/>
    <n v="21"/>
    <n v="2025"/>
    <x v="10"/>
    <s v="Q3"/>
    <x v="1"/>
  </r>
  <r>
    <s v="O101472"/>
    <x v="157"/>
    <x v="1"/>
    <x v="4"/>
    <x v="0"/>
    <x v="2"/>
    <n v="4"/>
    <n v="627151"/>
    <d v="2025-03-31T00:00:00"/>
    <n v="3"/>
    <n v="31"/>
    <n v="2025"/>
    <x v="5"/>
    <s v="Q1"/>
    <x v="0"/>
  </r>
  <r>
    <s v="O106201"/>
    <x v="117"/>
    <x v="0"/>
    <x v="4"/>
    <x v="4"/>
    <x v="0"/>
    <n v="4"/>
    <n v="626483"/>
    <d v="2026-12-01T00:00:00"/>
    <n v="12"/>
    <n v="1"/>
    <n v="2026"/>
    <x v="7"/>
    <s v="Q4"/>
    <x v="4"/>
  </r>
  <r>
    <s v="O103335"/>
    <x v="414"/>
    <x v="3"/>
    <x v="5"/>
    <x v="3"/>
    <x v="1"/>
    <n v="5"/>
    <n v="625684"/>
    <d v="2025-07-22T00:00:00"/>
    <n v="7"/>
    <n v="22"/>
    <n v="2025"/>
    <x v="10"/>
    <s v="Q3"/>
    <x v="3"/>
  </r>
  <r>
    <s v="O101648"/>
    <x v="357"/>
    <x v="0"/>
    <x v="5"/>
    <x v="2"/>
    <x v="1"/>
    <n v="5"/>
    <n v="625389"/>
    <d v="2025-11-04T00:00:00"/>
    <n v="11"/>
    <n v="4"/>
    <n v="2025"/>
    <x v="0"/>
    <s v="Q4"/>
    <x v="2"/>
  </r>
  <r>
    <s v="O107403"/>
    <x v="298"/>
    <x v="1"/>
    <x v="2"/>
    <x v="2"/>
    <x v="4"/>
    <n v="2"/>
    <n v="624943"/>
    <d v="2026-03-26T00:00:00"/>
    <n v="3"/>
    <n v="26"/>
    <n v="2026"/>
    <x v="5"/>
    <s v="Q1"/>
    <x v="2"/>
  </r>
  <r>
    <s v="O110417"/>
    <x v="613"/>
    <x v="10"/>
    <x v="4"/>
    <x v="0"/>
    <x v="0"/>
    <n v="3"/>
    <n v="624261"/>
    <d v="2026-09-25T00:00:00"/>
    <n v="9"/>
    <n v="25"/>
    <n v="2026"/>
    <x v="1"/>
    <s v="Q3"/>
    <x v="0"/>
  </r>
  <r>
    <s v="O105474"/>
    <x v="355"/>
    <x v="6"/>
    <x v="4"/>
    <x v="2"/>
    <x v="3"/>
    <n v="4"/>
    <n v="623345"/>
    <d v="2025-11-29T00:00:00"/>
    <n v="11"/>
    <n v="29"/>
    <n v="2025"/>
    <x v="0"/>
    <s v="Q4"/>
    <x v="2"/>
  </r>
  <r>
    <s v="O102006"/>
    <x v="581"/>
    <x v="4"/>
    <x v="4"/>
    <x v="1"/>
    <x v="0"/>
    <n v="3"/>
    <n v="622564"/>
    <d v="2025-02-05T00:00:00"/>
    <n v="2"/>
    <n v="5"/>
    <n v="2025"/>
    <x v="4"/>
    <s v="Q1"/>
    <x v="1"/>
  </r>
  <r>
    <s v="O100560"/>
    <x v="384"/>
    <x v="1"/>
    <x v="2"/>
    <x v="1"/>
    <x v="1"/>
    <n v="2"/>
    <n v="622340"/>
    <d v="2025-03-02T00:00:00"/>
    <n v="3"/>
    <n v="2"/>
    <n v="2025"/>
    <x v="5"/>
    <s v="Q1"/>
    <x v="1"/>
  </r>
  <r>
    <s v="O109922"/>
    <x v="7"/>
    <x v="2"/>
    <x v="5"/>
    <x v="0"/>
    <x v="1"/>
    <n v="6"/>
    <n v="622274"/>
    <d v="2026-08-26T00:00:00"/>
    <n v="8"/>
    <n v="26"/>
    <n v="2026"/>
    <x v="8"/>
    <s v="Q3"/>
    <x v="0"/>
  </r>
  <r>
    <s v="O100759"/>
    <x v="229"/>
    <x v="4"/>
    <x v="5"/>
    <x v="1"/>
    <x v="3"/>
    <n v="5"/>
    <n v="621234"/>
    <d v="2025-02-16T00:00:00"/>
    <n v="2"/>
    <n v="16"/>
    <n v="2025"/>
    <x v="4"/>
    <s v="Q1"/>
    <x v="1"/>
  </r>
  <r>
    <s v="O110165"/>
    <x v="463"/>
    <x v="6"/>
    <x v="3"/>
    <x v="3"/>
    <x v="1"/>
    <n v="3"/>
    <n v="620819"/>
    <d v="2026-10-09T00:00:00"/>
    <n v="10"/>
    <n v="9"/>
    <n v="2026"/>
    <x v="9"/>
    <s v="Q4"/>
    <x v="3"/>
  </r>
  <r>
    <s v="O105670"/>
    <x v="731"/>
    <x v="1"/>
    <x v="4"/>
    <x v="1"/>
    <x v="1"/>
    <n v="3"/>
    <n v="620504"/>
    <d v="2025-12-11T00:00:00"/>
    <n v="12"/>
    <n v="11"/>
    <n v="2025"/>
    <x v="7"/>
    <s v="Q4"/>
    <x v="1"/>
  </r>
  <r>
    <s v="O101318"/>
    <x v="407"/>
    <x v="5"/>
    <x v="4"/>
    <x v="0"/>
    <x v="2"/>
    <n v="3"/>
    <n v="619860"/>
    <d v="2025-03-22T00:00:00"/>
    <n v="3"/>
    <n v="22"/>
    <n v="2025"/>
    <x v="5"/>
    <s v="Q1"/>
    <x v="0"/>
  </r>
  <r>
    <s v="O103326"/>
    <x v="320"/>
    <x v="4"/>
    <x v="4"/>
    <x v="3"/>
    <x v="2"/>
    <n v="4"/>
    <n v="619609"/>
    <d v="2025-07-22T00:00:00"/>
    <n v="7"/>
    <n v="22"/>
    <n v="2025"/>
    <x v="10"/>
    <s v="Q3"/>
    <x v="3"/>
  </r>
  <r>
    <s v="O103840"/>
    <x v="432"/>
    <x v="4"/>
    <x v="2"/>
    <x v="4"/>
    <x v="0"/>
    <n v="2"/>
    <n v="619490"/>
    <d v="2025-08-22T00:00:00"/>
    <n v="8"/>
    <n v="22"/>
    <n v="2025"/>
    <x v="8"/>
    <s v="Q3"/>
    <x v="4"/>
  </r>
  <r>
    <s v="O109912"/>
    <x v="779"/>
    <x v="0"/>
    <x v="5"/>
    <x v="1"/>
    <x v="1"/>
    <n v="5"/>
    <n v="619305"/>
    <d v="2026-08-26T00:00:00"/>
    <n v="8"/>
    <n v="26"/>
    <n v="2026"/>
    <x v="8"/>
    <s v="Q3"/>
    <x v="1"/>
  </r>
  <r>
    <s v="O106258"/>
    <x v="430"/>
    <x v="9"/>
    <x v="2"/>
    <x v="4"/>
    <x v="3"/>
    <n v="2"/>
    <n v="618139"/>
    <d v="2026-01-16T00:00:00"/>
    <n v="1"/>
    <n v="16"/>
    <n v="2026"/>
    <x v="6"/>
    <s v="Q1"/>
    <x v="4"/>
  </r>
  <r>
    <s v="O111489"/>
    <x v="563"/>
    <x v="6"/>
    <x v="4"/>
    <x v="2"/>
    <x v="3"/>
    <n v="3"/>
    <n v="616206"/>
    <d v="2026-11-29T00:00:00"/>
    <n v="11"/>
    <n v="29"/>
    <n v="2026"/>
    <x v="0"/>
    <s v="Q4"/>
    <x v="2"/>
  </r>
  <r>
    <s v="O101626"/>
    <x v="288"/>
    <x v="9"/>
    <x v="4"/>
    <x v="1"/>
    <x v="2"/>
    <n v="3"/>
    <n v="616091"/>
    <d v="2025-09-04T00:00:00"/>
    <n v="9"/>
    <n v="4"/>
    <n v="2025"/>
    <x v="1"/>
    <s v="Q3"/>
    <x v="1"/>
  </r>
  <r>
    <s v="O106237"/>
    <x v="1"/>
    <x v="3"/>
    <x v="2"/>
    <x v="1"/>
    <x v="1"/>
    <n v="2"/>
    <n v="615895"/>
    <d v="2026-01-14T00:00:00"/>
    <n v="1"/>
    <n v="14"/>
    <n v="2026"/>
    <x v="6"/>
    <s v="Q1"/>
    <x v="1"/>
  </r>
  <r>
    <s v="O111336"/>
    <x v="232"/>
    <x v="2"/>
    <x v="2"/>
    <x v="1"/>
    <x v="0"/>
    <n v="2"/>
    <n v="615891"/>
    <d v="2026-11-20T00:00:00"/>
    <n v="11"/>
    <n v="20"/>
    <n v="2026"/>
    <x v="0"/>
    <s v="Q4"/>
    <x v="1"/>
  </r>
  <r>
    <s v="O110442"/>
    <x v="102"/>
    <x v="10"/>
    <x v="4"/>
    <x v="1"/>
    <x v="2"/>
    <n v="3"/>
    <n v="615776"/>
    <d v="2026-09-27T00:00:00"/>
    <n v="9"/>
    <n v="27"/>
    <n v="2026"/>
    <x v="1"/>
    <s v="Q3"/>
    <x v="1"/>
  </r>
  <r>
    <s v="O108152"/>
    <x v="101"/>
    <x v="2"/>
    <x v="5"/>
    <x v="2"/>
    <x v="2"/>
    <n v="5"/>
    <n v="615704"/>
    <d v="2026-11-05T00:00:00"/>
    <n v="11"/>
    <n v="5"/>
    <n v="2026"/>
    <x v="0"/>
    <s v="Q4"/>
    <x v="2"/>
  </r>
  <r>
    <s v="O102669"/>
    <x v="176"/>
    <x v="9"/>
    <x v="4"/>
    <x v="3"/>
    <x v="3"/>
    <n v="3"/>
    <n v="614063"/>
    <d v="2025-12-06T00:00:00"/>
    <n v="12"/>
    <n v="6"/>
    <n v="2025"/>
    <x v="7"/>
    <s v="Q4"/>
    <x v="3"/>
  </r>
  <r>
    <s v="O103423"/>
    <x v="52"/>
    <x v="0"/>
    <x v="4"/>
    <x v="4"/>
    <x v="1"/>
    <n v="3"/>
    <n v="612850"/>
    <d v="2025-07-27T00:00:00"/>
    <n v="7"/>
    <n v="27"/>
    <n v="2025"/>
    <x v="10"/>
    <s v="Q3"/>
    <x v="4"/>
  </r>
  <r>
    <s v="O105135"/>
    <x v="377"/>
    <x v="2"/>
    <x v="3"/>
    <x v="3"/>
    <x v="3"/>
    <n v="3"/>
    <n v="612532"/>
    <d v="2025-08-11T00:00:00"/>
    <n v="8"/>
    <n v="11"/>
    <n v="2025"/>
    <x v="8"/>
    <s v="Q3"/>
    <x v="3"/>
  </r>
  <r>
    <s v="O106959"/>
    <x v="508"/>
    <x v="10"/>
    <x v="4"/>
    <x v="3"/>
    <x v="0"/>
    <n v="3"/>
    <n v="612357"/>
    <d v="2026-02-27T00:00:00"/>
    <n v="2"/>
    <n v="27"/>
    <n v="2026"/>
    <x v="4"/>
    <s v="Q1"/>
    <x v="3"/>
  </r>
  <r>
    <s v="O104405"/>
    <x v="415"/>
    <x v="6"/>
    <x v="3"/>
    <x v="0"/>
    <x v="3"/>
    <n v="3"/>
    <n v="611897"/>
    <d v="2025-09-25T00:00:00"/>
    <n v="9"/>
    <n v="25"/>
    <n v="2025"/>
    <x v="1"/>
    <s v="Q3"/>
    <x v="0"/>
  </r>
  <r>
    <s v="O111405"/>
    <x v="369"/>
    <x v="9"/>
    <x v="5"/>
    <x v="3"/>
    <x v="3"/>
    <n v="6"/>
    <n v="611360"/>
    <d v="2026-11-24T00:00:00"/>
    <n v="11"/>
    <n v="24"/>
    <n v="2026"/>
    <x v="0"/>
    <m/>
    <x v="3"/>
  </r>
  <r>
    <s v="O110473"/>
    <x v="320"/>
    <x v="0"/>
    <x v="4"/>
    <x v="1"/>
    <x v="3"/>
    <n v="4"/>
    <n v="610513"/>
    <d v="2026-09-29T00:00:00"/>
    <n v="9"/>
    <n v="29"/>
    <n v="2026"/>
    <x v="1"/>
    <s v="Q3"/>
    <x v="1"/>
  </r>
  <r>
    <s v="O105379"/>
    <x v="263"/>
    <x v="1"/>
    <x v="4"/>
    <x v="1"/>
    <x v="2"/>
    <n v="3"/>
    <n v="610101"/>
    <d v="2025-11-23T00:00:00"/>
    <n v="11"/>
    <n v="23"/>
    <n v="2025"/>
    <x v="0"/>
    <s v="Q4"/>
    <x v="1"/>
  </r>
  <r>
    <s v="O111853"/>
    <x v="726"/>
    <x v="5"/>
    <x v="5"/>
    <x v="0"/>
    <x v="2"/>
    <n v="5"/>
    <n v="609786"/>
    <d v="2026-12-22T00:00:00"/>
    <n v="12"/>
    <n v="22"/>
    <n v="2026"/>
    <x v="7"/>
    <s v="Q4"/>
    <x v="0"/>
  </r>
  <r>
    <s v="O111986"/>
    <x v="667"/>
    <x v="3"/>
    <x v="2"/>
    <x v="3"/>
    <x v="2"/>
    <n v="2"/>
    <n v="609720"/>
    <d v="2026-12-30T00:00:00"/>
    <n v="12"/>
    <n v="30"/>
    <n v="2026"/>
    <x v="7"/>
    <s v="Q4"/>
    <x v="3"/>
  </r>
  <r>
    <s v="O101623"/>
    <x v="519"/>
    <x v="0"/>
    <x v="2"/>
    <x v="3"/>
    <x v="1"/>
    <n v="2"/>
    <n v="609431"/>
    <d v="2025-09-04T00:00:00"/>
    <n v="9"/>
    <n v="4"/>
    <n v="2025"/>
    <x v="1"/>
    <s v="Q3"/>
    <x v="3"/>
  </r>
  <r>
    <s v="O103130"/>
    <x v="585"/>
    <x v="2"/>
    <x v="5"/>
    <x v="0"/>
    <x v="1"/>
    <n v="5"/>
    <n v="607868"/>
    <d v="2025-10-07T00:00:00"/>
    <n v="10"/>
    <n v="7"/>
    <n v="2025"/>
    <x v="9"/>
    <s v="Q4"/>
    <x v="0"/>
  </r>
  <r>
    <s v="O111034"/>
    <x v="82"/>
    <x v="9"/>
    <x v="4"/>
    <x v="1"/>
    <x v="1"/>
    <n v="3"/>
    <n v="607059"/>
    <d v="2026-02-11T00:00:00"/>
    <n v="2"/>
    <n v="11"/>
    <n v="2026"/>
    <x v="4"/>
    <s v="Q1"/>
    <x v="1"/>
  </r>
  <r>
    <s v="O100654"/>
    <x v="110"/>
    <x v="9"/>
    <x v="4"/>
    <x v="1"/>
    <x v="1"/>
    <n v="3"/>
    <n v="606840"/>
    <d v="2025-09-02T00:00:00"/>
    <n v="9"/>
    <n v="2"/>
    <n v="2025"/>
    <x v="1"/>
    <s v="Q3"/>
    <x v="1"/>
  </r>
  <r>
    <s v="O107961"/>
    <x v="666"/>
    <x v="4"/>
    <x v="5"/>
    <x v="2"/>
    <x v="2"/>
    <n v="6"/>
    <n v="606766"/>
    <d v="2026-04-29T00:00:00"/>
    <n v="4"/>
    <n v="29"/>
    <n v="2026"/>
    <x v="11"/>
    <m/>
    <x v="2"/>
  </r>
  <r>
    <s v="O109907"/>
    <x v="293"/>
    <x v="4"/>
    <x v="5"/>
    <x v="2"/>
    <x v="1"/>
    <n v="6"/>
    <n v="606610"/>
    <d v="2026-08-25T00:00:00"/>
    <n v="8"/>
    <n v="25"/>
    <n v="2026"/>
    <x v="8"/>
    <s v="Q3"/>
    <x v="2"/>
  </r>
  <r>
    <s v="O106401"/>
    <x v="641"/>
    <x v="8"/>
    <x v="2"/>
    <x v="0"/>
    <x v="1"/>
    <n v="2"/>
    <n v="606569"/>
    <d v="2026-01-24T00:00:00"/>
    <n v="1"/>
    <n v="24"/>
    <n v="2026"/>
    <x v="6"/>
    <s v="Q1"/>
    <x v="0"/>
  </r>
  <r>
    <s v="O107908"/>
    <x v="782"/>
    <x v="9"/>
    <x v="4"/>
    <x v="4"/>
    <x v="0"/>
    <n v="3"/>
    <n v="606338"/>
    <d v="2026-04-26T00:00:00"/>
    <n v="4"/>
    <n v="26"/>
    <n v="2026"/>
    <x v="11"/>
    <s v="Q2"/>
    <x v="4"/>
  </r>
  <r>
    <s v="O111634"/>
    <x v="702"/>
    <x v="1"/>
    <x v="5"/>
    <x v="4"/>
    <x v="2"/>
    <n v="5"/>
    <n v="605969"/>
    <d v="2026-08-12T00:00:00"/>
    <n v="8"/>
    <n v="12"/>
    <n v="2026"/>
    <x v="8"/>
    <s v="Q3"/>
    <x v="4"/>
  </r>
  <r>
    <s v="O100088"/>
    <x v="414"/>
    <x v="3"/>
    <x v="2"/>
    <x v="2"/>
    <x v="2"/>
    <n v="2"/>
    <n v="605548"/>
    <d v="2025-06-01T00:00:00"/>
    <n v="6"/>
    <n v="1"/>
    <n v="2025"/>
    <x v="2"/>
    <s v="Q2"/>
    <x v="2"/>
  </r>
  <r>
    <s v="O109712"/>
    <x v="554"/>
    <x v="1"/>
    <x v="5"/>
    <x v="1"/>
    <x v="3"/>
    <n v="6"/>
    <n v="605311"/>
    <d v="2026-08-13T00:00:00"/>
    <n v="8"/>
    <n v="13"/>
    <n v="2026"/>
    <x v="8"/>
    <s v="Q3"/>
    <x v="1"/>
  </r>
  <r>
    <s v="O108667"/>
    <x v="714"/>
    <x v="10"/>
    <x v="4"/>
    <x v="2"/>
    <x v="2"/>
    <n v="4"/>
    <n v="605253"/>
    <d v="2026-11-06T00:00:00"/>
    <n v="11"/>
    <n v="6"/>
    <n v="2026"/>
    <x v="0"/>
    <s v="Q4"/>
    <x v="2"/>
  </r>
  <r>
    <s v="O109816"/>
    <x v="628"/>
    <x v="8"/>
    <x v="4"/>
    <x v="2"/>
    <x v="0"/>
    <n v="4"/>
    <n v="605047"/>
    <d v="2026-08-20T00:00:00"/>
    <n v="8"/>
    <n v="20"/>
    <n v="2026"/>
    <x v="8"/>
    <s v="Q3"/>
    <x v="2"/>
  </r>
  <r>
    <s v="O106276"/>
    <x v="79"/>
    <x v="6"/>
    <x v="2"/>
    <x v="0"/>
    <x v="0"/>
    <n v="2"/>
    <n v="605008"/>
    <d v="2026-01-17T00:00:00"/>
    <n v="1"/>
    <n v="17"/>
    <n v="2026"/>
    <x v="6"/>
    <s v="Q1"/>
    <x v="0"/>
  </r>
  <r>
    <s v="O108318"/>
    <x v="676"/>
    <x v="8"/>
    <x v="4"/>
    <x v="1"/>
    <x v="0"/>
    <n v="4"/>
    <n v="604918"/>
    <d v="2026-05-21T00:00:00"/>
    <n v="5"/>
    <n v="21"/>
    <n v="2026"/>
    <x v="3"/>
    <s v="Q2"/>
    <x v="1"/>
  </r>
  <r>
    <s v="O111855"/>
    <x v="751"/>
    <x v="1"/>
    <x v="2"/>
    <x v="3"/>
    <x v="1"/>
    <n v="2"/>
    <n v="604244"/>
    <d v="2026-12-22T00:00:00"/>
    <n v="12"/>
    <n v="22"/>
    <n v="2026"/>
    <x v="7"/>
    <s v="Q4"/>
    <x v="3"/>
  </r>
  <r>
    <s v="O111937"/>
    <x v="206"/>
    <x v="8"/>
    <x v="4"/>
    <x v="1"/>
    <x v="0"/>
    <n v="3"/>
    <n v="604151"/>
    <d v="2026-12-27T00:00:00"/>
    <n v="12"/>
    <n v="27"/>
    <n v="2026"/>
    <x v="7"/>
    <s v="Q4"/>
    <x v="1"/>
  </r>
  <r>
    <s v="O108873"/>
    <x v="570"/>
    <x v="2"/>
    <x v="2"/>
    <x v="2"/>
    <x v="2"/>
    <n v="2"/>
    <n v="603500"/>
    <d v="2026-06-24T00:00:00"/>
    <n v="6"/>
    <n v="24"/>
    <n v="2026"/>
    <x v="2"/>
    <s v="Q2"/>
    <x v="2"/>
  </r>
  <r>
    <s v="O107785"/>
    <x v="385"/>
    <x v="3"/>
    <x v="3"/>
    <x v="2"/>
    <x v="2"/>
    <n v="3"/>
    <n v="603346"/>
    <d v="2026-04-18T00:00:00"/>
    <n v="4"/>
    <n v="18"/>
    <n v="2026"/>
    <x v="11"/>
    <s v="Q2"/>
    <x v="2"/>
  </r>
  <r>
    <s v="O108885"/>
    <x v="238"/>
    <x v="3"/>
    <x v="5"/>
    <x v="2"/>
    <x v="2"/>
    <n v="5"/>
    <n v="603178"/>
    <d v="2026-06-24T00:00:00"/>
    <n v="6"/>
    <n v="24"/>
    <n v="2026"/>
    <x v="2"/>
    <s v="Q2"/>
    <x v="2"/>
  </r>
  <r>
    <s v="O111470"/>
    <x v="265"/>
    <x v="3"/>
    <x v="5"/>
    <x v="4"/>
    <x v="2"/>
    <n v="6"/>
    <n v="603093"/>
    <d v="2026-11-28T00:00:00"/>
    <n v="11"/>
    <n v="28"/>
    <n v="2026"/>
    <x v="0"/>
    <s v="Q4"/>
    <x v="4"/>
  </r>
  <r>
    <s v="O104923"/>
    <x v="675"/>
    <x v="1"/>
    <x v="2"/>
    <x v="1"/>
    <x v="1"/>
    <n v="2"/>
    <n v="602925"/>
    <d v="2025-10-27T00:00:00"/>
    <n v="10"/>
    <n v="27"/>
    <n v="2025"/>
    <x v="9"/>
    <s v="Q4"/>
    <x v="1"/>
  </r>
  <r>
    <s v="O102622"/>
    <x v="127"/>
    <x v="5"/>
    <x v="5"/>
    <x v="2"/>
    <x v="0"/>
    <n v="5"/>
    <n v="602918"/>
    <d v="2025-09-06T00:00:00"/>
    <n v="9"/>
    <n v="6"/>
    <n v="2025"/>
    <x v="1"/>
    <s v="Q3"/>
    <x v="2"/>
  </r>
  <r>
    <s v="O106229"/>
    <x v="334"/>
    <x v="5"/>
    <x v="4"/>
    <x v="2"/>
    <x v="1"/>
    <n v="4"/>
    <n v="602368"/>
    <d v="2026-01-14T00:00:00"/>
    <n v="1"/>
    <n v="14"/>
    <n v="2026"/>
    <x v="6"/>
    <s v="Q1"/>
    <x v="2"/>
  </r>
  <r>
    <s v="O109978"/>
    <x v="241"/>
    <x v="4"/>
    <x v="5"/>
    <x v="3"/>
    <x v="0"/>
    <n v="5"/>
    <n v="601191"/>
    <d v="2026-08-30T00:00:00"/>
    <n v="8"/>
    <n v="30"/>
    <n v="2026"/>
    <x v="8"/>
    <s v="Q3"/>
    <x v="3"/>
  </r>
  <r>
    <s v="O104351"/>
    <x v="319"/>
    <x v="9"/>
    <x v="4"/>
    <x v="0"/>
    <x v="1"/>
    <n v="3"/>
    <n v="601147"/>
    <d v="2025-09-22T00:00:00"/>
    <n v="9"/>
    <n v="22"/>
    <n v="2025"/>
    <x v="1"/>
    <s v="Q3"/>
    <x v="0"/>
  </r>
  <r>
    <s v="O108434"/>
    <x v="340"/>
    <x v="6"/>
    <x v="5"/>
    <x v="3"/>
    <x v="0"/>
    <n v="6"/>
    <n v="601057"/>
    <d v="2026-05-28T00:00:00"/>
    <n v="5"/>
    <n v="28"/>
    <n v="2026"/>
    <x v="3"/>
    <s v="Q2"/>
    <x v="3"/>
  </r>
  <r>
    <s v="O109212"/>
    <x v="8"/>
    <x v="3"/>
    <x v="3"/>
    <x v="2"/>
    <x v="1"/>
    <n v="3"/>
    <n v="600901"/>
    <d v="2026-07-14T00:00:00"/>
    <n v="7"/>
    <n v="14"/>
    <n v="2026"/>
    <x v="10"/>
    <s v="Q3"/>
    <x v="2"/>
  </r>
  <r>
    <s v="O111203"/>
    <x v="752"/>
    <x v="6"/>
    <x v="2"/>
    <x v="1"/>
    <x v="0"/>
    <n v="2"/>
    <n v="600852"/>
    <d v="2026-12-11T00:00:00"/>
    <n v="12"/>
    <n v="11"/>
    <n v="2026"/>
    <x v="7"/>
    <s v="Q4"/>
    <x v="1"/>
  </r>
  <r>
    <s v="O104703"/>
    <x v="0"/>
    <x v="6"/>
    <x v="2"/>
    <x v="0"/>
    <x v="2"/>
    <n v="2"/>
    <n v="600832"/>
    <d v="2025-10-13T00:00:00"/>
    <n v="10"/>
    <n v="13"/>
    <n v="2025"/>
    <x v="9"/>
    <s v="Q4"/>
    <x v="0"/>
  </r>
  <r>
    <s v="O104949"/>
    <x v="230"/>
    <x v="10"/>
    <x v="4"/>
    <x v="4"/>
    <x v="0"/>
    <n v="3"/>
    <n v="600218"/>
    <d v="2025-10-28T00:00:00"/>
    <n v="10"/>
    <n v="28"/>
    <n v="2025"/>
    <x v="9"/>
    <s v="Q4"/>
    <x v="4"/>
  </r>
  <r>
    <s v="O104518"/>
    <x v="533"/>
    <x v="4"/>
    <x v="5"/>
    <x v="3"/>
    <x v="0"/>
    <n v="5"/>
    <n v="599921"/>
    <d v="2025-02-10T00:00:00"/>
    <n v="2"/>
    <n v="10"/>
    <n v="2025"/>
    <x v="4"/>
    <s v="Q1"/>
    <x v="3"/>
  </r>
  <r>
    <s v="O100628"/>
    <x v="634"/>
    <x v="10"/>
    <x v="4"/>
    <x v="4"/>
    <x v="3"/>
    <n v="4"/>
    <n v="599698"/>
    <d v="2025-08-02T00:00:00"/>
    <n v="8"/>
    <n v="2"/>
    <n v="2025"/>
    <x v="8"/>
    <s v="Q3"/>
    <x v="4"/>
  </r>
  <r>
    <s v="O111976"/>
    <x v="32"/>
    <x v="1"/>
    <x v="5"/>
    <x v="0"/>
    <x v="1"/>
    <n v="5"/>
    <n v="599622"/>
    <d v="2026-12-29T00:00:00"/>
    <n v="12"/>
    <n v="29"/>
    <n v="2026"/>
    <x v="7"/>
    <s v="Q4"/>
    <x v="0"/>
  </r>
  <r>
    <s v="O105045"/>
    <x v="583"/>
    <x v="3"/>
    <x v="2"/>
    <x v="3"/>
    <x v="3"/>
    <n v="2"/>
    <n v="598992"/>
    <d v="2025-03-11T00:00:00"/>
    <n v="3"/>
    <n v="11"/>
    <n v="2025"/>
    <x v="5"/>
    <s v="Q1"/>
    <x v="3"/>
  </r>
  <r>
    <s v="O109195"/>
    <x v="296"/>
    <x v="6"/>
    <x v="5"/>
    <x v="0"/>
    <x v="1"/>
    <n v="4"/>
    <n v="598806"/>
    <d v="2026-07-13T00:00:00"/>
    <n v="7"/>
    <n v="13"/>
    <n v="2026"/>
    <x v="10"/>
    <s v="Q3"/>
    <x v="0"/>
  </r>
  <r>
    <s v="O106187"/>
    <x v="252"/>
    <x v="5"/>
    <x v="4"/>
    <x v="4"/>
    <x v="3"/>
    <n v="3"/>
    <n v="598615"/>
    <d v="2026-11-01T00:00:00"/>
    <n v="11"/>
    <n v="1"/>
    <n v="2026"/>
    <x v="0"/>
    <s v="Q4"/>
    <x v="4"/>
  </r>
  <r>
    <s v="O102174"/>
    <x v="696"/>
    <x v="2"/>
    <x v="5"/>
    <x v="4"/>
    <x v="0"/>
    <n v="4"/>
    <n v="598355"/>
    <d v="2025-05-13T00:00:00"/>
    <n v="5"/>
    <n v="13"/>
    <n v="2025"/>
    <x v="3"/>
    <s v="Q2"/>
    <x v="4"/>
  </r>
  <r>
    <s v="O107690"/>
    <x v="42"/>
    <x v="5"/>
    <x v="5"/>
    <x v="4"/>
    <x v="2"/>
    <n v="6"/>
    <n v="598291"/>
    <d v="2026-04-13T00:00:00"/>
    <n v="4"/>
    <n v="13"/>
    <n v="2026"/>
    <x v="11"/>
    <s v="Q2"/>
    <x v="4"/>
  </r>
  <r>
    <s v="O104349"/>
    <x v="120"/>
    <x v="2"/>
    <x v="5"/>
    <x v="2"/>
    <x v="3"/>
    <n v="5"/>
    <n v="597754"/>
    <d v="2025-09-22T00:00:00"/>
    <n v="9"/>
    <n v="22"/>
    <n v="2025"/>
    <x v="1"/>
    <s v="Q3"/>
    <x v="2"/>
  </r>
  <r>
    <s v="O102056"/>
    <x v="621"/>
    <x v="5"/>
    <x v="2"/>
    <x v="0"/>
    <x v="1"/>
    <n v="2"/>
    <n v="597583"/>
    <d v="2025-05-05T00:00:00"/>
    <n v="5"/>
    <n v="5"/>
    <n v="2025"/>
    <x v="3"/>
    <s v="Q2"/>
    <x v="0"/>
  </r>
  <r>
    <s v="O100620"/>
    <x v="198"/>
    <x v="3"/>
    <x v="4"/>
    <x v="3"/>
    <x v="1"/>
    <n v="3"/>
    <n v="596634"/>
    <d v="2025-07-02T00:00:00"/>
    <n v="7"/>
    <n v="2"/>
    <n v="2025"/>
    <x v="10"/>
    <s v="Q3"/>
    <x v="3"/>
  </r>
  <r>
    <s v="O110472"/>
    <x v="602"/>
    <x v="1"/>
    <x v="5"/>
    <x v="4"/>
    <x v="3"/>
    <n v="4"/>
    <n v="596492"/>
    <d v="2026-09-29T00:00:00"/>
    <n v="9"/>
    <n v="29"/>
    <n v="2026"/>
    <x v="1"/>
    <s v="Q3"/>
    <x v="4"/>
  </r>
  <r>
    <s v="O107824"/>
    <x v="678"/>
    <x v="5"/>
    <x v="4"/>
    <x v="0"/>
    <x v="0"/>
    <n v="3"/>
    <n v="596140"/>
    <d v="2026-04-21T00:00:00"/>
    <n v="4"/>
    <n v="21"/>
    <n v="2026"/>
    <x v="11"/>
    <s v="Q2"/>
    <x v="0"/>
  </r>
  <r>
    <s v="O108282"/>
    <x v="46"/>
    <x v="5"/>
    <x v="3"/>
    <x v="2"/>
    <x v="2"/>
    <n v="3"/>
    <n v="596135"/>
    <d v="2026-05-19T00:00:00"/>
    <n v="5"/>
    <n v="19"/>
    <n v="2026"/>
    <x v="3"/>
    <s v="Q2"/>
    <x v="2"/>
  </r>
  <r>
    <s v="O101782"/>
    <x v="320"/>
    <x v="8"/>
    <x v="5"/>
    <x v="4"/>
    <x v="3"/>
    <n v="4"/>
    <n v="595970"/>
    <d v="2025-04-19T00:00:00"/>
    <n v="4"/>
    <n v="19"/>
    <n v="2025"/>
    <x v="11"/>
    <s v="Q2"/>
    <x v="4"/>
  </r>
  <r>
    <s v="O103269"/>
    <x v="556"/>
    <x v="4"/>
    <x v="2"/>
    <x v="0"/>
    <x v="3"/>
    <n v="2"/>
    <n v="595070"/>
    <d v="2025-07-18T00:00:00"/>
    <n v="7"/>
    <n v="18"/>
    <n v="2025"/>
    <x v="10"/>
    <s v="Q3"/>
    <x v="0"/>
  </r>
  <r>
    <s v="O110239"/>
    <x v="501"/>
    <x v="1"/>
    <x v="5"/>
    <x v="4"/>
    <x v="1"/>
    <n v="4"/>
    <n v="594705"/>
    <d v="2026-09-15T00:00:00"/>
    <n v="9"/>
    <n v="15"/>
    <n v="2026"/>
    <x v="1"/>
    <s v="Q3"/>
    <x v="4"/>
  </r>
  <r>
    <s v="O110608"/>
    <x v="730"/>
    <x v="5"/>
    <x v="5"/>
    <x v="1"/>
    <x v="3"/>
    <n v="5"/>
    <n v="594695"/>
    <d v="2026-07-10T00:00:00"/>
    <n v="7"/>
    <n v="10"/>
    <n v="2026"/>
    <x v="10"/>
    <s v="Q3"/>
    <x v="1"/>
  </r>
  <r>
    <s v="O106509"/>
    <x v="372"/>
    <x v="4"/>
    <x v="5"/>
    <x v="3"/>
    <x v="2"/>
    <n v="5"/>
    <n v="594605"/>
    <d v="2026-01-31T00:00:00"/>
    <n v="1"/>
    <n v="31"/>
    <n v="2026"/>
    <x v="6"/>
    <s v="Q1"/>
    <x v="3"/>
  </r>
  <r>
    <s v="O111885"/>
    <x v="428"/>
    <x v="2"/>
    <x v="4"/>
    <x v="4"/>
    <x v="3"/>
    <n v="4"/>
    <n v="594508"/>
    <d v="2026-12-24T00:00:00"/>
    <n v="12"/>
    <n v="24"/>
    <n v="2026"/>
    <x v="7"/>
    <s v="Q4"/>
    <x v="4"/>
  </r>
  <r>
    <s v="O110105"/>
    <x v="12"/>
    <x v="3"/>
    <x v="4"/>
    <x v="1"/>
    <x v="3"/>
    <n v="3"/>
    <n v="594427"/>
    <d v="2026-06-09T00:00:00"/>
    <n v="6"/>
    <n v="9"/>
    <n v="2026"/>
    <x v="2"/>
    <s v="Q2"/>
    <x v="1"/>
  </r>
  <r>
    <s v="O105012"/>
    <x v="506"/>
    <x v="0"/>
    <x v="4"/>
    <x v="3"/>
    <x v="3"/>
    <n v="3"/>
    <n v="594032"/>
    <d v="2025-01-11T00:00:00"/>
    <n v="1"/>
    <n v="11"/>
    <n v="2025"/>
    <x v="6"/>
    <s v="Q1"/>
    <x v="3"/>
  </r>
  <r>
    <s v="O103337"/>
    <x v="199"/>
    <x v="1"/>
    <x v="5"/>
    <x v="2"/>
    <x v="1"/>
    <n v="4"/>
    <n v="593801"/>
    <d v="2025-07-22T00:00:00"/>
    <n v="7"/>
    <n v="22"/>
    <n v="2025"/>
    <x v="10"/>
    <s v="Q3"/>
    <x v="2"/>
  </r>
  <r>
    <s v="O100163"/>
    <x v="761"/>
    <x v="10"/>
    <x v="2"/>
    <x v="3"/>
    <x v="3"/>
    <n v="2"/>
    <n v="593580"/>
    <d v="2025-10-01T00:00:00"/>
    <n v="10"/>
    <n v="1"/>
    <n v="2025"/>
    <x v="9"/>
    <s v="Q4"/>
    <x v="3"/>
  </r>
  <r>
    <s v="O100646"/>
    <x v="89"/>
    <x v="2"/>
    <x v="5"/>
    <x v="4"/>
    <x v="3"/>
    <n v="4"/>
    <n v="592645"/>
    <d v="2025-09-02T00:00:00"/>
    <n v="9"/>
    <n v="2"/>
    <n v="2025"/>
    <x v="1"/>
    <s v="Q3"/>
    <x v="4"/>
  </r>
  <r>
    <s v="O102530"/>
    <x v="419"/>
    <x v="4"/>
    <x v="3"/>
    <x v="3"/>
    <x v="2"/>
    <n v="3"/>
    <n v="592617"/>
    <d v="2025-03-06T00:00:00"/>
    <n v="3"/>
    <n v="6"/>
    <n v="2025"/>
    <x v="5"/>
    <s v="Q1"/>
    <x v="3"/>
  </r>
  <r>
    <s v="O100770"/>
    <x v="537"/>
    <x v="2"/>
    <x v="5"/>
    <x v="0"/>
    <x v="2"/>
    <n v="6"/>
    <n v="592172"/>
    <d v="2025-02-16T00:00:00"/>
    <n v="2"/>
    <n v="16"/>
    <n v="2025"/>
    <x v="4"/>
    <s v="Q1"/>
    <x v="0"/>
  </r>
  <r>
    <s v="O109797"/>
    <x v="260"/>
    <x v="3"/>
    <x v="3"/>
    <x v="1"/>
    <x v="0"/>
    <n v="3"/>
    <n v="592064"/>
    <d v="2026-08-19T00:00:00"/>
    <n v="8"/>
    <n v="19"/>
    <n v="2026"/>
    <x v="8"/>
    <s v="Q3"/>
    <x v="1"/>
  </r>
  <r>
    <s v="O107184"/>
    <x v="558"/>
    <x v="3"/>
    <x v="4"/>
    <x v="2"/>
    <x v="2"/>
    <n v="3"/>
    <n v="591933"/>
    <d v="2026-03-13T00:00:00"/>
    <n v="3"/>
    <n v="13"/>
    <n v="2026"/>
    <x v="5"/>
    <s v="Q1"/>
    <x v="2"/>
  </r>
  <r>
    <s v="O102136"/>
    <x v="794"/>
    <x v="10"/>
    <x v="5"/>
    <x v="0"/>
    <x v="3"/>
    <n v="6"/>
    <n v="591625"/>
    <d v="2025-10-05T00:00:00"/>
    <n v="10"/>
    <n v="5"/>
    <n v="2025"/>
    <x v="9"/>
    <s v="Q4"/>
    <x v="0"/>
  </r>
  <r>
    <s v="O106469"/>
    <x v="432"/>
    <x v="8"/>
    <x v="3"/>
    <x v="3"/>
    <x v="2"/>
    <n v="3"/>
    <n v="590413"/>
    <d v="2026-01-28T00:00:00"/>
    <n v="1"/>
    <n v="28"/>
    <n v="2026"/>
    <x v="6"/>
    <s v="Q1"/>
    <x v="3"/>
  </r>
  <r>
    <s v="O111970"/>
    <x v="254"/>
    <x v="0"/>
    <x v="4"/>
    <x v="0"/>
    <x v="3"/>
    <n v="4"/>
    <n v="589898"/>
    <d v="2026-12-29T00:00:00"/>
    <n v="12"/>
    <n v="29"/>
    <n v="2026"/>
    <x v="7"/>
    <s v="Q4"/>
    <x v="0"/>
  </r>
  <r>
    <s v="O110519"/>
    <x v="643"/>
    <x v="3"/>
    <x v="4"/>
    <x v="1"/>
    <x v="1"/>
    <n v="4"/>
    <n v="589690"/>
    <d v="2026-02-10T00:00:00"/>
    <n v="2"/>
    <n v="10"/>
    <n v="2026"/>
    <x v="4"/>
    <s v="Q1"/>
    <x v="1"/>
  </r>
  <r>
    <s v="O106879"/>
    <x v="224"/>
    <x v="9"/>
    <x v="4"/>
    <x v="1"/>
    <x v="1"/>
    <n v="4"/>
    <n v="589040"/>
    <d v="2026-02-22T00:00:00"/>
    <n v="2"/>
    <n v="22"/>
    <n v="2026"/>
    <x v="4"/>
    <s v="Q1"/>
    <x v="1"/>
  </r>
  <r>
    <s v="O110577"/>
    <x v="790"/>
    <x v="9"/>
    <x v="3"/>
    <x v="1"/>
    <x v="2"/>
    <n v="3"/>
    <n v="588815"/>
    <d v="2026-05-10T00:00:00"/>
    <n v="5"/>
    <n v="10"/>
    <n v="2026"/>
    <x v="3"/>
    <s v="Q2"/>
    <x v="1"/>
  </r>
  <r>
    <s v="O108512"/>
    <x v="796"/>
    <x v="10"/>
    <x v="2"/>
    <x v="3"/>
    <x v="0"/>
    <n v="2"/>
    <n v="588641"/>
    <d v="2026-02-06T00:00:00"/>
    <n v="2"/>
    <n v="6"/>
    <n v="2026"/>
    <x v="4"/>
    <s v="Q1"/>
    <x v="3"/>
  </r>
  <r>
    <s v="O110278"/>
    <x v="293"/>
    <x v="2"/>
    <x v="5"/>
    <x v="3"/>
    <x v="0"/>
    <n v="4"/>
    <n v="588354"/>
    <d v="2026-09-17T00:00:00"/>
    <n v="9"/>
    <n v="17"/>
    <n v="2026"/>
    <x v="1"/>
    <s v="Q3"/>
    <x v="3"/>
  </r>
  <r>
    <s v="O111212"/>
    <x v="590"/>
    <x v="0"/>
    <x v="4"/>
    <x v="2"/>
    <x v="3"/>
    <n v="4"/>
    <n v="588293"/>
    <d v="2026-11-13T00:00:00"/>
    <n v="11"/>
    <n v="13"/>
    <n v="2026"/>
    <x v="0"/>
    <s v="Q4"/>
    <x v="2"/>
  </r>
  <r>
    <s v="O106627"/>
    <x v="385"/>
    <x v="8"/>
    <x v="4"/>
    <x v="0"/>
    <x v="2"/>
    <n v="3"/>
    <n v="588096"/>
    <d v="2026-07-02T00:00:00"/>
    <n v="7"/>
    <n v="2"/>
    <n v="2026"/>
    <x v="10"/>
    <s v="Q3"/>
    <x v="0"/>
  </r>
  <r>
    <s v="O100184"/>
    <x v="697"/>
    <x v="5"/>
    <x v="5"/>
    <x v="3"/>
    <x v="0"/>
    <n v="6"/>
    <n v="587444"/>
    <d v="2025-12-01T00:00:00"/>
    <n v="12"/>
    <n v="1"/>
    <n v="2025"/>
    <x v="7"/>
    <s v="Q4"/>
    <x v="3"/>
  </r>
  <r>
    <s v="O104546"/>
    <x v="430"/>
    <x v="10"/>
    <x v="5"/>
    <x v="2"/>
    <x v="3"/>
    <n v="4"/>
    <n v="587134"/>
    <d v="2025-04-10T00:00:00"/>
    <n v="4"/>
    <n v="10"/>
    <n v="2025"/>
    <x v="11"/>
    <s v="Q2"/>
    <x v="2"/>
  </r>
  <r>
    <s v="O106715"/>
    <x v="761"/>
    <x v="6"/>
    <x v="5"/>
    <x v="4"/>
    <x v="3"/>
    <n v="6"/>
    <n v="586989"/>
    <d v="2026-12-02T00:00:00"/>
    <n v="12"/>
    <n v="2"/>
    <n v="2026"/>
    <x v="7"/>
    <s v="Q4"/>
    <x v="4"/>
  </r>
  <r>
    <s v="O111149"/>
    <x v="150"/>
    <x v="8"/>
    <x v="5"/>
    <x v="4"/>
    <x v="0"/>
    <n v="5"/>
    <n v="586313"/>
    <d v="2026-09-11T00:00:00"/>
    <n v="9"/>
    <n v="11"/>
    <n v="2026"/>
    <x v="1"/>
    <s v="Q3"/>
    <x v="4"/>
  </r>
  <r>
    <s v="O105867"/>
    <x v="224"/>
    <x v="5"/>
    <x v="4"/>
    <x v="2"/>
    <x v="0"/>
    <n v="3"/>
    <n v="586059"/>
    <d v="2025-12-23T00:00:00"/>
    <n v="12"/>
    <n v="23"/>
    <n v="2025"/>
    <x v="7"/>
    <s v="Q4"/>
    <x v="2"/>
  </r>
  <r>
    <s v="O106683"/>
    <x v="536"/>
    <x v="8"/>
    <x v="5"/>
    <x v="3"/>
    <x v="1"/>
    <n v="4"/>
    <n v="585732"/>
    <d v="2026-10-02T00:00:00"/>
    <n v="10"/>
    <n v="2"/>
    <n v="2026"/>
    <x v="9"/>
    <s v="Q4"/>
    <x v="3"/>
  </r>
  <r>
    <s v="O107519"/>
    <x v="694"/>
    <x v="1"/>
    <x v="4"/>
    <x v="0"/>
    <x v="1"/>
    <n v="3"/>
    <n v="585714"/>
    <d v="2026-02-04T00:00:00"/>
    <n v="2"/>
    <n v="4"/>
    <n v="2026"/>
    <x v="4"/>
    <s v="Q1"/>
    <x v="0"/>
  </r>
  <r>
    <s v="O110760"/>
    <x v="352"/>
    <x v="1"/>
    <x v="4"/>
    <x v="1"/>
    <x v="2"/>
    <n v="3"/>
    <n v="585577"/>
    <d v="2026-10-16T00:00:00"/>
    <n v="10"/>
    <n v="16"/>
    <n v="2026"/>
    <x v="9"/>
    <s v="Q4"/>
    <x v="1"/>
  </r>
  <r>
    <s v="O107604"/>
    <x v="120"/>
    <x v="3"/>
    <x v="5"/>
    <x v="3"/>
    <x v="0"/>
    <n v="4"/>
    <n v="585346"/>
    <d v="2026-07-04T00:00:00"/>
    <n v="7"/>
    <n v="4"/>
    <n v="2026"/>
    <x v="10"/>
    <s v="Q3"/>
    <x v="3"/>
  </r>
  <r>
    <s v="O110676"/>
    <x v="775"/>
    <x v="2"/>
    <x v="4"/>
    <x v="0"/>
    <x v="1"/>
    <n v="3"/>
    <n v="585004"/>
    <d v="2026-11-10T00:00:00"/>
    <n v="11"/>
    <n v="10"/>
    <n v="2026"/>
    <x v="0"/>
    <s v="Q4"/>
    <x v="0"/>
  </r>
  <r>
    <s v="O101936"/>
    <x v="36"/>
    <x v="6"/>
    <x v="4"/>
    <x v="1"/>
    <x v="1"/>
    <n v="4"/>
    <n v="584792"/>
    <d v="2025-04-28T00:00:00"/>
    <n v="4"/>
    <n v="28"/>
    <n v="2025"/>
    <x v="11"/>
    <s v="Q2"/>
    <x v="1"/>
  </r>
  <r>
    <s v="O110802"/>
    <x v="455"/>
    <x v="6"/>
    <x v="5"/>
    <x v="5"/>
    <x v="2"/>
    <n v="4"/>
    <n v="583711"/>
    <d v="2026-10-19T00:00:00"/>
    <n v="10"/>
    <n v="19"/>
    <n v="2026"/>
    <x v="9"/>
    <s v="Q4"/>
    <x v="5"/>
  </r>
  <r>
    <s v="O108626"/>
    <x v="519"/>
    <x v="3"/>
    <x v="2"/>
    <x v="3"/>
    <x v="1"/>
    <n v="2"/>
    <n v="583587"/>
    <d v="2026-09-06T00:00:00"/>
    <n v="9"/>
    <n v="6"/>
    <n v="2026"/>
    <x v="1"/>
    <s v="Q3"/>
    <x v="3"/>
  </r>
  <r>
    <s v="O106714"/>
    <x v="348"/>
    <x v="3"/>
    <x v="5"/>
    <x v="3"/>
    <x v="3"/>
    <n v="4"/>
    <n v="583574"/>
    <d v="2026-12-02T00:00:00"/>
    <n v="12"/>
    <n v="2"/>
    <n v="2026"/>
    <x v="7"/>
    <s v="Q4"/>
    <x v="3"/>
  </r>
  <r>
    <s v="O105953"/>
    <x v="344"/>
    <x v="4"/>
    <x v="4"/>
    <x v="1"/>
    <x v="2"/>
    <n v="3"/>
    <n v="583260"/>
    <d v="2025-12-28T00:00:00"/>
    <n v="12"/>
    <n v="28"/>
    <n v="2025"/>
    <x v="7"/>
    <s v="Q4"/>
    <x v="1"/>
  </r>
  <r>
    <s v="O109201"/>
    <x v="528"/>
    <x v="10"/>
    <x v="3"/>
    <x v="4"/>
    <x v="0"/>
    <n v="3"/>
    <n v="582824"/>
    <d v="2026-07-13T00:00:00"/>
    <n v="7"/>
    <n v="13"/>
    <n v="2026"/>
    <x v="10"/>
    <s v="Q3"/>
    <x v="4"/>
  </r>
  <r>
    <s v="O111475"/>
    <x v="486"/>
    <x v="10"/>
    <x v="4"/>
    <x v="0"/>
    <x v="1"/>
    <n v="3"/>
    <n v="582821"/>
    <d v="2026-11-29T00:00:00"/>
    <n v="11"/>
    <n v="29"/>
    <n v="2026"/>
    <x v="0"/>
    <s v="Q4"/>
    <x v="0"/>
  </r>
  <r>
    <s v="O108142"/>
    <x v="238"/>
    <x v="10"/>
    <x v="4"/>
    <x v="4"/>
    <x v="3"/>
    <n v="3"/>
    <n v="582248"/>
    <d v="2026-10-05T00:00:00"/>
    <n v="10"/>
    <n v="5"/>
    <n v="2026"/>
    <x v="9"/>
    <s v="Q4"/>
    <x v="4"/>
  </r>
  <r>
    <s v="O105623"/>
    <x v="799"/>
    <x v="10"/>
    <x v="5"/>
    <x v="4"/>
    <x v="3"/>
    <n v="6"/>
    <n v="582187"/>
    <d v="2025-08-12T00:00:00"/>
    <n v="8"/>
    <n v="12"/>
    <n v="2025"/>
    <x v="8"/>
    <s v="Q3"/>
    <x v="4"/>
  </r>
  <r>
    <s v="O110589"/>
    <x v="552"/>
    <x v="3"/>
    <x v="4"/>
    <x v="4"/>
    <x v="2"/>
    <n v="3"/>
    <n v="581676"/>
    <d v="2026-06-10T00:00:00"/>
    <n v="6"/>
    <n v="10"/>
    <n v="2026"/>
    <x v="2"/>
    <s v="Q2"/>
    <x v="4"/>
  </r>
  <r>
    <s v="O107316"/>
    <x v="596"/>
    <x v="5"/>
    <x v="3"/>
    <x v="4"/>
    <x v="1"/>
    <n v="3"/>
    <n v="581607"/>
    <d v="2026-03-21T00:00:00"/>
    <n v="3"/>
    <n v="21"/>
    <n v="2026"/>
    <x v="5"/>
    <m/>
    <x v="4"/>
  </r>
  <r>
    <s v="O102108"/>
    <x v="461"/>
    <x v="3"/>
    <x v="5"/>
    <x v="1"/>
    <x v="1"/>
    <n v="4"/>
    <n v="581078"/>
    <d v="2025-09-05T00:00:00"/>
    <n v="9"/>
    <n v="5"/>
    <n v="2025"/>
    <x v="1"/>
    <s v="Q3"/>
    <x v="1"/>
  </r>
  <r>
    <s v="O105246"/>
    <x v="417"/>
    <x v="9"/>
    <x v="2"/>
    <x v="1"/>
    <x v="3"/>
    <n v="2"/>
    <n v="580831"/>
    <d v="2025-11-15T00:00:00"/>
    <n v="11"/>
    <n v="15"/>
    <n v="2025"/>
    <x v="0"/>
    <s v="Q4"/>
    <x v="1"/>
  </r>
  <r>
    <s v="O110576"/>
    <x v="640"/>
    <x v="6"/>
    <x v="5"/>
    <x v="3"/>
    <x v="2"/>
    <n v="6"/>
    <n v="580728"/>
    <d v="2026-05-10T00:00:00"/>
    <n v="5"/>
    <n v="10"/>
    <n v="2026"/>
    <x v="3"/>
    <s v="Q2"/>
    <x v="3"/>
  </r>
  <r>
    <s v="O107183"/>
    <x v="607"/>
    <x v="3"/>
    <x v="4"/>
    <x v="3"/>
    <x v="3"/>
    <n v="3"/>
    <n v="580373"/>
    <d v="2026-03-13T00:00:00"/>
    <n v="3"/>
    <n v="13"/>
    <n v="2026"/>
    <x v="5"/>
    <s v="Q1"/>
    <x v="3"/>
  </r>
  <r>
    <s v="O109840"/>
    <x v="274"/>
    <x v="8"/>
    <x v="5"/>
    <x v="1"/>
    <x v="1"/>
    <n v="4"/>
    <n v="579633"/>
    <d v="2026-08-21T00:00:00"/>
    <n v="8"/>
    <n v="21"/>
    <n v="2026"/>
    <x v="8"/>
    <s v="Q3"/>
    <x v="1"/>
  </r>
  <r>
    <s v="O105513"/>
    <x v="699"/>
    <x v="2"/>
    <x v="5"/>
    <x v="3"/>
    <x v="1"/>
    <n v="5"/>
    <n v="579589"/>
    <d v="2025-01-12T00:00:00"/>
    <n v="1"/>
    <n v="12"/>
    <n v="2025"/>
    <x v="6"/>
    <s v="Q1"/>
    <x v="3"/>
  </r>
  <r>
    <s v="O103909"/>
    <x v="570"/>
    <x v="5"/>
    <x v="2"/>
    <x v="3"/>
    <x v="3"/>
    <n v="2"/>
    <n v="578921"/>
    <d v="2025-08-26T00:00:00"/>
    <n v="8"/>
    <n v="26"/>
    <n v="2025"/>
    <x v="8"/>
    <s v="Q3"/>
    <x v="3"/>
  </r>
  <r>
    <s v="O107974"/>
    <x v="399"/>
    <x v="5"/>
    <x v="5"/>
    <x v="4"/>
    <x v="0"/>
    <n v="6"/>
    <n v="578905"/>
    <d v="2026-04-30T00:00:00"/>
    <n v="4"/>
    <n v="30"/>
    <n v="2026"/>
    <x v="11"/>
    <s v="Q2"/>
    <x v="4"/>
  </r>
  <r>
    <s v="O100535"/>
    <x v="239"/>
    <x v="1"/>
    <x v="4"/>
    <x v="0"/>
    <x v="2"/>
    <n v="3"/>
    <n v="578053"/>
    <d v="2025-02-02T00:00:00"/>
    <n v="2"/>
    <n v="2"/>
    <n v="2025"/>
    <x v="4"/>
    <s v="Q1"/>
    <x v="0"/>
  </r>
  <r>
    <s v="O108718"/>
    <x v="402"/>
    <x v="2"/>
    <x v="4"/>
    <x v="3"/>
    <x v="3"/>
    <n v="3"/>
    <n v="577891"/>
    <d v="2026-06-14T00:00:00"/>
    <n v="6"/>
    <n v="14"/>
    <n v="2026"/>
    <x v="2"/>
    <s v="Q2"/>
    <x v="3"/>
  </r>
  <r>
    <s v="O107686"/>
    <x v="75"/>
    <x v="8"/>
    <x v="4"/>
    <x v="2"/>
    <x v="0"/>
    <n v="3"/>
    <n v="576770"/>
    <d v="2026-12-04T00:00:00"/>
    <n v="12"/>
    <n v="4"/>
    <n v="2026"/>
    <x v="7"/>
    <m/>
    <x v="2"/>
  </r>
  <r>
    <s v="O108756"/>
    <x v="606"/>
    <x v="8"/>
    <x v="5"/>
    <x v="2"/>
    <x v="2"/>
    <n v="4"/>
    <n v="576672"/>
    <d v="2026-06-16T00:00:00"/>
    <n v="6"/>
    <n v="16"/>
    <n v="2026"/>
    <x v="2"/>
    <s v="Q2"/>
    <x v="2"/>
  </r>
  <r>
    <s v="O101179"/>
    <x v="258"/>
    <x v="2"/>
    <x v="4"/>
    <x v="2"/>
    <x v="0"/>
    <n v="4"/>
    <n v="576480"/>
    <d v="2025-03-13T00:00:00"/>
    <n v="3"/>
    <n v="13"/>
    <n v="2025"/>
    <x v="5"/>
    <m/>
    <x v="2"/>
  </r>
  <r>
    <s v="O107136"/>
    <x v="333"/>
    <x v="6"/>
    <x v="4"/>
    <x v="2"/>
    <x v="3"/>
    <n v="4"/>
    <n v="575762"/>
    <d v="2026-10-03T00:00:00"/>
    <n v="10"/>
    <n v="3"/>
    <n v="2026"/>
    <x v="9"/>
    <s v="Q4"/>
    <x v="2"/>
  </r>
  <r>
    <s v="O106003"/>
    <x v="779"/>
    <x v="6"/>
    <x v="5"/>
    <x v="4"/>
    <x v="2"/>
    <n v="6"/>
    <n v="575508"/>
    <d v="2025-12-31T00:00:00"/>
    <n v="12"/>
    <n v="31"/>
    <n v="2025"/>
    <x v="7"/>
    <s v="Q4"/>
    <x v="4"/>
  </r>
  <r>
    <s v="O107911"/>
    <x v="240"/>
    <x v="5"/>
    <x v="5"/>
    <x v="2"/>
    <x v="0"/>
    <n v="5"/>
    <n v="575429"/>
    <d v="2026-04-26T00:00:00"/>
    <n v="4"/>
    <n v="26"/>
    <n v="2026"/>
    <x v="11"/>
    <s v="Q2"/>
    <x v="2"/>
  </r>
  <r>
    <s v="O102255"/>
    <x v="757"/>
    <x v="2"/>
    <x v="5"/>
    <x v="0"/>
    <x v="0"/>
    <n v="5"/>
    <n v="575173"/>
    <d v="2025-05-17T00:00:00"/>
    <n v="5"/>
    <n v="17"/>
    <n v="2025"/>
    <x v="3"/>
    <s v="Q2"/>
    <x v="0"/>
  </r>
  <r>
    <s v="O100985"/>
    <x v="464"/>
    <x v="3"/>
    <x v="4"/>
    <x v="2"/>
    <x v="0"/>
    <n v="3"/>
    <n v="575060"/>
    <d v="2025-01-03T00:00:00"/>
    <n v="1"/>
    <n v="3"/>
    <n v="2025"/>
    <x v="6"/>
    <s v="Q1"/>
    <x v="2"/>
  </r>
  <r>
    <s v="O103514"/>
    <x v="768"/>
    <x v="2"/>
    <x v="5"/>
    <x v="5"/>
    <x v="2"/>
    <n v="5"/>
    <n v="574975"/>
    <d v="2025-02-08T00:00:00"/>
    <n v="2"/>
    <n v="8"/>
    <n v="2025"/>
    <x v="4"/>
    <s v="Q1"/>
    <x v="5"/>
  </r>
  <r>
    <s v="O101812"/>
    <x v="208"/>
    <x v="10"/>
    <x v="4"/>
    <x v="0"/>
    <x v="3"/>
    <n v="3"/>
    <n v="574009"/>
    <d v="2025-04-21T00:00:00"/>
    <n v="4"/>
    <n v="21"/>
    <n v="2025"/>
    <x v="11"/>
    <s v="Q2"/>
    <x v="0"/>
  </r>
  <r>
    <s v="O110539"/>
    <x v="787"/>
    <x v="9"/>
    <x v="2"/>
    <x v="1"/>
    <x v="1"/>
    <n v="2"/>
    <n v="573911"/>
    <d v="2026-03-10T00:00:00"/>
    <n v="3"/>
    <n v="10"/>
    <n v="2026"/>
    <x v="5"/>
    <s v="Q1"/>
    <x v="1"/>
  </r>
  <r>
    <s v="O100315"/>
    <x v="519"/>
    <x v="4"/>
    <x v="5"/>
    <x v="4"/>
    <x v="0"/>
    <n v="5"/>
    <n v="573352"/>
    <d v="2025-01-20T00:00:00"/>
    <n v="1"/>
    <n v="20"/>
    <n v="2025"/>
    <x v="6"/>
    <s v="Q1"/>
    <x v="4"/>
  </r>
  <r>
    <s v="O107783"/>
    <x v="657"/>
    <x v="6"/>
    <x v="5"/>
    <x v="0"/>
    <x v="1"/>
    <n v="6"/>
    <n v="572433"/>
    <d v="2026-04-18T00:00:00"/>
    <n v="4"/>
    <n v="18"/>
    <n v="2026"/>
    <x v="11"/>
    <s v="Q2"/>
    <x v="0"/>
  </r>
  <r>
    <s v="O109111"/>
    <x v="581"/>
    <x v="5"/>
    <x v="3"/>
    <x v="4"/>
    <x v="3"/>
    <n v="3"/>
    <n v="571532"/>
    <d v="2026-08-07T00:00:00"/>
    <n v="8"/>
    <n v="7"/>
    <n v="2026"/>
    <x v="8"/>
    <s v="Q3"/>
    <x v="4"/>
  </r>
  <r>
    <s v="O100212"/>
    <x v="26"/>
    <x v="5"/>
    <x v="4"/>
    <x v="1"/>
    <x v="2"/>
    <n v="3"/>
    <n v="570723"/>
    <d v="2025-01-13T00:00:00"/>
    <n v="1"/>
    <n v="13"/>
    <n v="2025"/>
    <x v="6"/>
    <s v="Q1"/>
    <x v="1"/>
  </r>
  <r>
    <s v="O102008"/>
    <x v="708"/>
    <x v="10"/>
    <x v="4"/>
    <x v="1"/>
    <x v="0"/>
    <n v="3"/>
    <n v="570562"/>
    <d v="2025-02-05T00:00:00"/>
    <n v="2"/>
    <n v="5"/>
    <n v="2025"/>
    <x v="4"/>
    <s v="Q1"/>
    <x v="1"/>
  </r>
  <r>
    <s v="O101728"/>
    <x v="634"/>
    <x v="6"/>
    <x v="3"/>
    <x v="3"/>
    <x v="1"/>
    <n v="3"/>
    <n v="569607"/>
    <d v="2025-04-15T00:00:00"/>
    <n v="4"/>
    <n v="15"/>
    <n v="2025"/>
    <x v="11"/>
    <s v="Q2"/>
    <x v="3"/>
  </r>
  <r>
    <s v="O108448"/>
    <x v="526"/>
    <x v="1"/>
    <x v="5"/>
    <x v="3"/>
    <x v="3"/>
    <n v="5"/>
    <n v="569481"/>
    <d v="2026-05-29T00:00:00"/>
    <n v="5"/>
    <n v="29"/>
    <n v="2026"/>
    <x v="3"/>
    <s v="Q2"/>
    <x v="3"/>
  </r>
  <r>
    <s v="O103361"/>
    <x v="557"/>
    <x v="8"/>
    <x v="4"/>
    <x v="3"/>
    <x v="2"/>
    <n v="3"/>
    <n v="569467"/>
    <d v="2025-07-24T00:00:00"/>
    <n v="7"/>
    <n v="24"/>
    <n v="2025"/>
    <x v="10"/>
    <s v="Q3"/>
    <x v="3"/>
  </r>
  <r>
    <s v="O107893"/>
    <x v="366"/>
    <x v="4"/>
    <x v="4"/>
    <x v="3"/>
    <x v="1"/>
    <n v="3"/>
    <n v="569339"/>
    <d v="2026-04-25T00:00:00"/>
    <n v="4"/>
    <n v="25"/>
    <n v="2026"/>
    <x v="11"/>
    <s v="Q2"/>
    <x v="3"/>
  </r>
  <r>
    <s v="O111783"/>
    <x v="493"/>
    <x v="3"/>
    <x v="4"/>
    <x v="0"/>
    <x v="2"/>
    <n v="4"/>
    <n v="568261"/>
    <d v="2026-12-17T00:00:00"/>
    <n v="12"/>
    <n v="17"/>
    <n v="2026"/>
    <x v="7"/>
    <s v="Q4"/>
    <x v="0"/>
  </r>
  <r>
    <s v="O108384"/>
    <x v="196"/>
    <x v="3"/>
    <x v="5"/>
    <x v="1"/>
    <x v="0"/>
    <n v="4"/>
    <n v="568145"/>
    <d v="2026-05-25T00:00:00"/>
    <n v="5"/>
    <n v="25"/>
    <n v="2026"/>
    <x v="3"/>
    <s v="Q2"/>
    <x v="1"/>
  </r>
  <r>
    <s v="O110297"/>
    <x v="190"/>
    <x v="0"/>
    <x v="5"/>
    <x v="0"/>
    <x v="0"/>
    <n v="5"/>
    <n v="568135"/>
    <d v="2026-09-18T00:00:00"/>
    <n v="9"/>
    <n v="18"/>
    <n v="2026"/>
    <x v="1"/>
    <s v="Q3"/>
    <x v="0"/>
  </r>
  <r>
    <s v="O101882"/>
    <x v="236"/>
    <x v="10"/>
    <x v="5"/>
    <x v="3"/>
    <x v="2"/>
    <n v="6"/>
    <n v="567740"/>
    <d v="2025-04-25T00:00:00"/>
    <n v="4"/>
    <n v="25"/>
    <n v="2025"/>
    <x v="11"/>
    <s v="Q2"/>
    <x v="3"/>
  </r>
  <r>
    <s v="O108011"/>
    <x v="286"/>
    <x v="6"/>
    <x v="5"/>
    <x v="1"/>
    <x v="3"/>
    <n v="-2"/>
    <n v="567712"/>
    <d v="2026-02-05T00:00:00"/>
    <n v="2"/>
    <n v="5"/>
    <n v="2026"/>
    <x v="4"/>
    <s v="Q1"/>
    <x v="1"/>
  </r>
  <r>
    <s v="O109383"/>
    <x v="197"/>
    <x v="2"/>
    <x v="2"/>
    <x v="1"/>
    <x v="2"/>
    <n v="2"/>
    <n v="567280"/>
    <d v="2026-07-25T00:00:00"/>
    <n v="7"/>
    <n v="25"/>
    <n v="2026"/>
    <x v="10"/>
    <s v="Q3"/>
    <x v="1"/>
  </r>
  <r>
    <s v="O104776"/>
    <x v="544"/>
    <x v="3"/>
    <x v="5"/>
    <x v="4"/>
    <x v="3"/>
    <n v="5"/>
    <n v="566952"/>
    <d v="2025-10-18T00:00:00"/>
    <n v="10"/>
    <n v="18"/>
    <n v="2025"/>
    <x v="9"/>
    <s v="Q4"/>
    <x v="4"/>
  </r>
  <r>
    <s v="O101255"/>
    <x v="254"/>
    <x v="2"/>
    <x v="2"/>
    <x v="0"/>
    <x v="1"/>
    <n v="2"/>
    <n v="566943"/>
    <d v="2025-03-18T00:00:00"/>
    <n v="3"/>
    <n v="18"/>
    <n v="2025"/>
    <x v="5"/>
    <s v="Q1"/>
    <x v="0"/>
  </r>
  <r>
    <s v="O100192"/>
    <x v="63"/>
    <x v="9"/>
    <x v="5"/>
    <x v="4"/>
    <x v="3"/>
    <n v="5"/>
    <n v="566665"/>
    <d v="2025-12-01T00:00:00"/>
    <n v="12"/>
    <n v="1"/>
    <n v="2025"/>
    <x v="7"/>
    <s v="Q4"/>
    <x v="4"/>
  </r>
  <r>
    <s v="O101518"/>
    <x v="65"/>
    <x v="4"/>
    <x v="5"/>
    <x v="2"/>
    <x v="2"/>
    <n v="4"/>
    <n v="566605"/>
    <d v="2025-03-04T00:00:00"/>
    <n v="3"/>
    <n v="4"/>
    <n v="2025"/>
    <x v="5"/>
    <s v="Q1"/>
    <x v="2"/>
  </r>
  <r>
    <s v="O104916"/>
    <x v="3"/>
    <x v="10"/>
    <x v="3"/>
    <x v="0"/>
    <x v="3"/>
    <n v="3"/>
    <n v="566378"/>
    <d v="2025-10-26T00:00:00"/>
    <n v="10"/>
    <n v="26"/>
    <n v="2025"/>
    <x v="9"/>
    <s v="Q4"/>
    <x v="0"/>
  </r>
  <r>
    <s v="O100854"/>
    <x v="764"/>
    <x v="5"/>
    <x v="5"/>
    <x v="4"/>
    <x v="3"/>
    <n v="5"/>
    <n v="566123"/>
    <d v="2025-02-21T00:00:00"/>
    <n v="2"/>
    <n v="21"/>
    <n v="2025"/>
    <x v="4"/>
    <s v="Q1"/>
    <x v="4"/>
  </r>
  <r>
    <s v="O111595"/>
    <x v="599"/>
    <x v="1"/>
    <x v="5"/>
    <x v="0"/>
    <x v="1"/>
    <n v="4"/>
    <n v="565610"/>
    <d v="2026-06-12T00:00:00"/>
    <n v="6"/>
    <n v="12"/>
    <n v="2026"/>
    <x v="2"/>
    <s v="Q2"/>
    <x v="0"/>
  </r>
  <r>
    <s v="O102783"/>
    <x v="608"/>
    <x v="2"/>
    <x v="3"/>
    <x v="1"/>
    <x v="2"/>
    <n v="3"/>
    <n v="565532"/>
    <d v="2025-06-19T00:00:00"/>
    <n v="6"/>
    <n v="19"/>
    <n v="2025"/>
    <x v="2"/>
    <s v="Q2"/>
    <x v="1"/>
  </r>
  <r>
    <s v="O101559"/>
    <x v="347"/>
    <x v="5"/>
    <x v="5"/>
    <x v="3"/>
    <x v="1"/>
    <n v="6"/>
    <n v="564420"/>
    <d v="2025-05-04T00:00:00"/>
    <n v="5"/>
    <n v="4"/>
    <n v="2025"/>
    <x v="3"/>
    <s v="Q2"/>
    <x v="3"/>
  </r>
  <r>
    <s v="O100760"/>
    <x v="698"/>
    <x v="6"/>
    <x v="4"/>
    <x v="10"/>
    <x v="1"/>
    <n v="3"/>
    <n v="564265"/>
    <d v="2025-02-16T00:00:00"/>
    <n v="2"/>
    <n v="16"/>
    <n v="2025"/>
    <x v="4"/>
    <s v="Q1"/>
    <x v="1"/>
  </r>
  <r>
    <s v="O109747"/>
    <x v="537"/>
    <x v="8"/>
    <x v="4"/>
    <x v="0"/>
    <x v="3"/>
    <n v="4"/>
    <n v="564130"/>
    <d v="2026-08-16T00:00:00"/>
    <n v="8"/>
    <n v="16"/>
    <n v="2026"/>
    <x v="8"/>
    <s v="Q3"/>
    <x v="0"/>
  </r>
  <r>
    <s v="O101150"/>
    <x v="162"/>
    <x v="2"/>
    <x v="5"/>
    <x v="2"/>
    <x v="1"/>
    <n v="5"/>
    <n v="563873"/>
    <d v="2025-11-03T00:00:00"/>
    <n v="11"/>
    <n v="3"/>
    <n v="2025"/>
    <x v="0"/>
    <s v="Q4"/>
    <x v="2"/>
  </r>
  <r>
    <s v="O108319"/>
    <x v="696"/>
    <x v="5"/>
    <x v="5"/>
    <x v="0"/>
    <x v="2"/>
    <n v="5"/>
    <n v="563801"/>
    <d v="2026-05-21T00:00:00"/>
    <n v="5"/>
    <n v="21"/>
    <n v="2026"/>
    <x v="3"/>
    <s v="Q2"/>
    <x v="0"/>
  </r>
  <r>
    <s v="O108075"/>
    <x v="84"/>
    <x v="2"/>
    <x v="5"/>
    <x v="0"/>
    <x v="0"/>
    <n v="4"/>
    <n v="563763"/>
    <d v="2026-06-05T00:00:00"/>
    <n v="6"/>
    <n v="5"/>
    <n v="2026"/>
    <x v="2"/>
    <s v="Q2"/>
    <x v="0"/>
  </r>
  <r>
    <s v="O109669"/>
    <x v="701"/>
    <x v="9"/>
    <x v="4"/>
    <x v="2"/>
    <x v="3"/>
    <n v="3"/>
    <n v="563535"/>
    <d v="2026-11-08T00:00:00"/>
    <n v="11"/>
    <n v="8"/>
    <n v="2026"/>
    <x v="0"/>
    <s v="Q4"/>
    <x v="2"/>
  </r>
  <r>
    <s v="O105617"/>
    <x v="692"/>
    <x v="6"/>
    <x v="5"/>
    <x v="1"/>
    <x v="2"/>
    <n v="4"/>
    <n v="563332"/>
    <d v="2025-08-12T00:00:00"/>
    <n v="8"/>
    <n v="12"/>
    <n v="2025"/>
    <x v="8"/>
    <s v="Q3"/>
    <x v="1"/>
  </r>
  <r>
    <s v="O104933"/>
    <x v="540"/>
    <x v="4"/>
    <x v="3"/>
    <x v="4"/>
    <x v="0"/>
    <n v="3"/>
    <n v="563207"/>
    <d v="2025-10-27T00:00:00"/>
    <n v="10"/>
    <n v="27"/>
    <n v="2025"/>
    <x v="9"/>
    <s v="Q4"/>
    <x v="4"/>
  </r>
  <r>
    <s v="O111305"/>
    <x v="640"/>
    <x v="8"/>
    <x v="0"/>
    <x v="0"/>
    <x v="1"/>
    <n v="1"/>
    <n v="562388"/>
    <d v="2026-11-18T00:00:00"/>
    <n v="11"/>
    <n v="18"/>
    <n v="2026"/>
    <x v="0"/>
    <s v="Q4"/>
    <x v="0"/>
  </r>
  <r>
    <s v="O102482"/>
    <x v="128"/>
    <x v="9"/>
    <x v="5"/>
    <x v="2"/>
    <x v="4"/>
    <n v="4"/>
    <n v="562379"/>
    <d v="2025-05-31T00:00:00"/>
    <n v="5"/>
    <n v="31"/>
    <n v="2025"/>
    <x v="3"/>
    <s v="Q2"/>
    <x v="2"/>
  </r>
  <r>
    <s v="O110772"/>
    <x v="434"/>
    <x v="4"/>
    <x v="4"/>
    <x v="3"/>
    <x v="2"/>
    <n v="4"/>
    <n v="562305"/>
    <d v="2026-10-17T00:00:00"/>
    <n v="10"/>
    <n v="17"/>
    <n v="2026"/>
    <x v="9"/>
    <s v="Q4"/>
    <x v="3"/>
  </r>
  <r>
    <s v="O104937"/>
    <x v="331"/>
    <x v="3"/>
    <x v="5"/>
    <x v="0"/>
    <x v="2"/>
    <n v="4"/>
    <n v="561945"/>
    <d v="2025-10-27T00:00:00"/>
    <n v="10"/>
    <n v="27"/>
    <n v="2025"/>
    <x v="9"/>
    <s v="Q4"/>
    <x v="0"/>
  </r>
  <r>
    <s v="O105155"/>
    <x v="662"/>
    <x v="5"/>
    <x v="2"/>
    <x v="3"/>
    <x v="0"/>
    <n v="2"/>
    <n v="561798"/>
    <d v="2025-10-11T00:00:00"/>
    <n v="10"/>
    <n v="11"/>
    <n v="2025"/>
    <x v="9"/>
    <s v="Q4"/>
    <x v="3"/>
  </r>
  <r>
    <s v="O110891"/>
    <x v="20"/>
    <x v="2"/>
    <x v="5"/>
    <x v="1"/>
    <x v="3"/>
    <n v="4"/>
    <n v="561015"/>
    <d v="2026-10-24T00:00:00"/>
    <n v="10"/>
    <n v="24"/>
    <n v="2026"/>
    <x v="9"/>
    <s v="Q4"/>
    <x v="1"/>
  </r>
  <r>
    <s v="O103438"/>
    <x v="163"/>
    <x v="8"/>
    <x v="2"/>
    <x v="1"/>
    <x v="0"/>
    <n v="2"/>
    <n v="560926"/>
    <d v="2025-07-28T00:00:00"/>
    <n v="7"/>
    <n v="28"/>
    <n v="2025"/>
    <x v="10"/>
    <s v="Q3"/>
    <x v="1"/>
  </r>
  <r>
    <s v="O109538"/>
    <x v="738"/>
    <x v="0"/>
    <x v="4"/>
    <x v="4"/>
    <x v="0"/>
    <n v="3"/>
    <n v="560743"/>
    <d v="2026-03-08T00:00:00"/>
    <n v="3"/>
    <n v="8"/>
    <n v="2026"/>
    <x v="5"/>
    <s v="Q1"/>
    <x v="4"/>
  </r>
  <r>
    <s v="O103216"/>
    <x v="75"/>
    <x v="3"/>
    <x v="0"/>
    <x v="4"/>
    <x v="3"/>
    <n v="1"/>
    <n v="560658"/>
    <d v="2025-07-15T00:00:00"/>
    <n v="7"/>
    <n v="15"/>
    <n v="2025"/>
    <x v="10"/>
    <m/>
    <x v="4"/>
  </r>
  <r>
    <s v="O102247"/>
    <x v="789"/>
    <x v="6"/>
    <x v="0"/>
    <x v="1"/>
    <x v="3"/>
    <n v="1"/>
    <n v="560312"/>
    <d v="2025-05-17T00:00:00"/>
    <n v="5"/>
    <n v="17"/>
    <n v="2025"/>
    <x v="3"/>
    <s v="Q2"/>
    <x v="1"/>
  </r>
  <r>
    <s v="O102298"/>
    <x v="455"/>
    <x v="9"/>
    <x v="0"/>
    <x v="3"/>
    <x v="1"/>
    <n v="1"/>
    <n v="560280"/>
    <d v="2025-05-20T00:00:00"/>
    <n v="5"/>
    <n v="20"/>
    <n v="2025"/>
    <x v="3"/>
    <s v="Q2"/>
    <x v="3"/>
  </r>
  <r>
    <s v="O105927"/>
    <x v="706"/>
    <x v="0"/>
    <x v="4"/>
    <x v="4"/>
    <x v="0"/>
    <n v="3"/>
    <n v="560195"/>
    <d v="2025-12-27T00:00:00"/>
    <n v="12"/>
    <n v="27"/>
    <n v="2025"/>
    <x v="7"/>
    <s v="Q4"/>
    <x v="4"/>
  </r>
  <r>
    <s v="O107564"/>
    <x v="46"/>
    <x v="9"/>
    <x v="4"/>
    <x v="2"/>
    <x v="2"/>
    <n v="3"/>
    <n v="559828"/>
    <d v="2026-05-04T00:00:00"/>
    <n v="5"/>
    <n v="4"/>
    <n v="2026"/>
    <x v="3"/>
    <s v="Q2"/>
    <x v="2"/>
  </r>
  <r>
    <s v="O105650"/>
    <x v="394"/>
    <x v="9"/>
    <x v="2"/>
    <x v="4"/>
    <x v="2"/>
    <n v="2"/>
    <n v="559747"/>
    <d v="2025-10-12T00:00:00"/>
    <n v="10"/>
    <n v="12"/>
    <n v="2025"/>
    <x v="9"/>
    <s v="Q4"/>
    <x v="4"/>
  </r>
  <r>
    <s v="O101521"/>
    <x v="747"/>
    <x v="0"/>
    <x v="0"/>
    <x v="4"/>
    <x v="3"/>
    <n v="1"/>
    <n v="559623"/>
    <d v="2025-03-04T00:00:00"/>
    <n v="3"/>
    <n v="4"/>
    <n v="2025"/>
    <x v="5"/>
    <m/>
    <x v="4"/>
  </r>
  <r>
    <s v="O110191"/>
    <x v="193"/>
    <x v="2"/>
    <x v="2"/>
    <x v="8"/>
    <x v="2"/>
    <n v="2"/>
    <n v="559615"/>
    <d v="2026-12-09T00:00:00"/>
    <n v="12"/>
    <n v="9"/>
    <n v="2026"/>
    <x v="7"/>
    <s v="Q4"/>
    <x v="2"/>
  </r>
  <r>
    <s v="O105757"/>
    <x v="283"/>
    <x v="8"/>
    <x v="2"/>
    <x v="3"/>
    <x v="0"/>
    <n v="2"/>
    <n v="559462"/>
    <d v="2025-12-16T00:00:00"/>
    <n v="12"/>
    <n v="16"/>
    <n v="2025"/>
    <x v="7"/>
    <s v="Q4"/>
    <x v="3"/>
  </r>
  <r>
    <s v="O108538"/>
    <x v="54"/>
    <x v="1"/>
    <x v="5"/>
    <x v="3"/>
    <x v="0"/>
    <n v="5"/>
    <n v="559348"/>
    <d v="2026-03-06T00:00:00"/>
    <n v="3"/>
    <n v="6"/>
    <n v="2026"/>
    <x v="5"/>
    <s v="Q1"/>
    <x v="3"/>
  </r>
  <r>
    <s v="O103283"/>
    <x v="176"/>
    <x v="0"/>
    <x v="5"/>
    <x v="3"/>
    <x v="1"/>
    <n v="6"/>
    <n v="559340"/>
    <d v="2025-07-19T00:00:00"/>
    <n v="7"/>
    <n v="19"/>
    <n v="2025"/>
    <x v="10"/>
    <s v="Q3"/>
    <x v="3"/>
  </r>
  <r>
    <s v="O111991"/>
    <x v="173"/>
    <x v="1"/>
    <x v="0"/>
    <x v="3"/>
    <x v="0"/>
    <n v="1"/>
    <n v="559340"/>
    <d v="2026-12-30T00:00:00"/>
    <n v="12"/>
    <n v="30"/>
    <n v="2026"/>
    <x v="7"/>
    <s v="Q4"/>
    <x v="3"/>
  </r>
  <r>
    <s v="O108119"/>
    <x v="371"/>
    <x v="3"/>
    <x v="0"/>
    <x v="1"/>
    <x v="3"/>
    <n v="1"/>
    <n v="559254"/>
    <d v="2026-09-05T00:00:00"/>
    <n v="9"/>
    <n v="5"/>
    <n v="2026"/>
    <x v="1"/>
    <s v="Q3"/>
    <x v="1"/>
  </r>
  <r>
    <s v="O101456"/>
    <x v="160"/>
    <x v="0"/>
    <x v="3"/>
    <x v="2"/>
    <x v="0"/>
    <n v="3"/>
    <n v="559142"/>
    <d v="2025-03-30T00:00:00"/>
    <n v="3"/>
    <n v="30"/>
    <n v="2025"/>
    <x v="5"/>
    <s v="Q1"/>
    <x v="2"/>
  </r>
  <r>
    <s v="O103067"/>
    <x v="252"/>
    <x v="1"/>
    <x v="0"/>
    <x v="1"/>
    <x v="1"/>
    <n v="1"/>
    <n v="558586"/>
    <d v="2025-06-07T00:00:00"/>
    <n v="6"/>
    <n v="7"/>
    <n v="2025"/>
    <x v="2"/>
    <s v="Q2"/>
    <x v="1"/>
  </r>
  <r>
    <s v="O110112"/>
    <x v="156"/>
    <x v="10"/>
    <x v="0"/>
    <x v="3"/>
    <x v="1"/>
    <n v="1"/>
    <n v="558090"/>
    <d v="2026-07-09T00:00:00"/>
    <n v="7"/>
    <n v="9"/>
    <n v="2026"/>
    <x v="10"/>
    <s v="Q3"/>
    <x v="3"/>
  </r>
  <r>
    <s v="O103298"/>
    <x v="60"/>
    <x v="10"/>
    <x v="0"/>
    <x v="0"/>
    <x v="1"/>
    <n v="-1"/>
    <n v="558075"/>
    <d v="2025-07-20T00:00:00"/>
    <n v="7"/>
    <n v="20"/>
    <n v="2025"/>
    <x v="10"/>
    <s v="Q3"/>
    <x v="0"/>
  </r>
  <r>
    <s v="O109994"/>
    <x v="626"/>
    <x v="9"/>
    <x v="5"/>
    <x v="4"/>
    <x v="1"/>
    <n v="6"/>
    <n v="558006"/>
    <d v="2026-08-31T00:00:00"/>
    <n v="8"/>
    <n v="31"/>
    <n v="2026"/>
    <x v="8"/>
    <s v="Q3"/>
    <x v="4"/>
  </r>
  <r>
    <s v="O103823"/>
    <x v="194"/>
    <x v="9"/>
    <x v="4"/>
    <x v="2"/>
    <x v="3"/>
    <n v="3"/>
    <n v="557802"/>
    <d v="2025-08-21T00:00:00"/>
    <n v="8"/>
    <n v="21"/>
    <n v="2025"/>
    <x v="8"/>
    <s v="Q3"/>
    <x v="2"/>
  </r>
  <r>
    <s v="O107085"/>
    <x v="124"/>
    <x v="6"/>
    <x v="2"/>
    <x v="4"/>
    <x v="2"/>
    <n v="2"/>
    <n v="557460"/>
    <d v="2026-07-03T00:00:00"/>
    <n v="7"/>
    <n v="3"/>
    <n v="2026"/>
    <x v="10"/>
    <s v="Q3"/>
    <x v="4"/>
  </r>
  <r>
    <s v="O108825"/>
    <x v="794"/>
    <x v="0"/>
    <x v="5"/>
    <x v="2"/>
    <x v="2"/>
    <n v="5"/>
    <n v="557278"/>
    <d v="2026-06-21T00:00:00"/>
    <n v="6"/>
    <n v="21"/>
    <n v="2026"/>
    <x v="2"/>
    <s v="Q2"/>
    <x v="2"/>
  </r>
  <r>
    <s v="O110824"/>
    <x v="112"/>
    <x v="8"/>
    <x v="0"/>
    <x v="0"/>
    <x v="1"/>
    <n v="1"/>
    <n v="557237"/>
    <d v="2026-10-20T00:00:00"/>
    <n v="10"/>
    <n v="20"/>
    <n v="2026"/>
    <x v="9"/>
    <s v="Q4"/>
    <x v="0"/>
  </r>
  <r>
    <s v="O105913"/>
    <x v="58"/>
    <x v="8"/>
    <x v="4"/>
    <x v="2"/>
    <x v="0"/>
    <n v="3"/>
    <n v="557106"/>
    <d v="2025-12-26T00:00:00"/>
    <n v="12"/>
    <n v="26"/>
    <n v="2025"/>
    <x v="7"/>
    <s v="Q4"/>
    <x v="2"/>
  </r>
  <r>
    <s v="O102976"/>
    <x v="363"/>
    <x v="5"/>
    <x v="0"/>
    <x v="3"/>
    <x v="3"/>
    <n v="1"/>
    <n v="557002"/>
    <d v="2025-06-30T00:00:00"/>
    <n v="6"/>
    <n v="30"/>
    <n v="2025"/>
    <x v="2"/>
    <s v="Q2"/>
    <x v="3"/>
  </r>
  <r>
    <s v="O111333"/>
    <x v="245"/>
    <x v="5"/>
    <x v="5"/>
    <x v="0"/>
    <x v="3"/>
    <n v="5"/>
    <n v="556528"/>
    <d v="2026-11-20T00:00:00"/>
    <n v="11"/>
    <n v="20"/>
    <n v="2026"/>
    <x v="0"/>
    <s v="Q4"/>
    <x v="0"/>
  </r>
  <r>
    <s v="O101354"/>
    <x v="520"/>
    <x v="5"/>
    <x v="4"/>
    <x v="0"/>
    <x v="0"/>
    <n v="3"/>
    <n v="555972"/>
    <d v="2025-03-24T00:00:00"/>
    <n v="3"/>
    <n v="24"/>
    <n v="2025"/>
    <x v="5"/>
    <s v="Q1"/>
    <x v="0"/>
  </r>
  <r>
    <s v="O106967"/>
    <x v="527"/>
    <x v="5"/>
    <x v="5"/>
    <x v="1"/>
    <x v="3"/>
    <n v="4"/>
    <n v="555669"/>
    <d v="2026-02-28T00:00:00"/>
    <n v="2"/>
    <n v="28"/>
    <n v="2026"/>
    <x v="4"/>
    <m/>
    <x v="1"/>
  </r>
  <r>
    <s v="O107900"/>
    <x v="551"/>
    <x v="4"/>
    <x v="5"/>
    <x v="0"/>
    <x v="3"/>
    <n v="4"/>
    <n v="555633"/>
    <d v="2026-04-25T00:00:00"/>
    <n v="4"/>
    <n v="25"/>
    <n v="2026"/>
    <x v="11"/>
    <s v="Q2"/>
    <x v="0"/>
  </r>
  <r>
    <s v="O103694"/>
    <x v="107"/>
    <x v="9"/>
    <x v="0"/>
    <x v="4"/>
    <x v="2"/>
    <n v="1"/>
    <n v="555549"/>
    <d v="2025-08-13T00:00:00"/>
    <n v="8"/>
    <n v="13"/>
    <n v="2025"/>
    <x v="8"/>
    <s v="Q3"/>
    <x v="4"/>
  </r>
  <r>
    <s v="O108200"/>
    <x v="115"/>
    <x v="4"/>
    <x v="0"/>
    <x v="1"/>
    <x v="1"/>
    <n v="1"/>
    <n v="555542"/>
    <d v="2026-05-14T00:00:00"/>
    <n v="5"/>
    <n v="14"/>
    <n v="2026"/>
    <x v="3"/>
    <s v="Q2"/>
    <x v="1"/>
  </r>
  <r>
    <s v="O110159"/>
    <x v="443"/>
    <x v="9"/>
    <x v="5"/>
    <x v="1"/>
    <x v="0"/>
    <n v="5"/>
    <n v="555242"/>
    <d v="2026-10-09T00:00:00"/>
    <n v="10"/>
    <n v="9"/>
    <n v="2026"/>
    <x v="9"/>
    <m/>
    <x v="1"/>
  </r>
  <r>
    <s v="O105604"/>
    <x v="783"/>
    <x v="9"/>
    <x v="2"/>
    <x v="2"/>
    <x v="1"/>
    <n v="2"/>
    <n v="554372"/>
    <d v="2025-07-12T00:00:00"/>
    <n v="7"/>
    <n v="12"/>
    <n v="2025"/>
    <x v="10"/>
    <s v="Q3"/>
    <x v="2"/>
  </r>
  <r>
    <s v="O101349"/>
    <x v="252"/>
    <x v="8"/>
    <x v="3"/>
    <x v="2"/>
    <x v="2"/>
    <n v="3"/>
    <n v="553697"/>
    <d v="2025-03-23T00:00:00"/>
    <n v="3"/>
    <n v="23"/>
    <n v="2025"/>
    <x v="5"/>
    <s v="Q1"/>
    <x v="2"/>
  </r>
  <r>
    <s v="O100509"/>
    <x v="512"/>
    <x v="6"/>
    <x v="3"/>
    <x v="1"/>
    <x v="3"/>
    <n v="3"/>
    <n v="553463"/>
    <d v="2025-01-31T00:00:00"/>
    <n v="1"/>
    <n v="31"/>
    <n v="2025"/>
    <x v="6"/>
    <s v="Q1"/>
    <x v="1"/>
  </r>
  <r>
    <s v="O100445"/>
    <x v="598"/>
    <x v="4"/>
    <x v="5"/>
    <x v="4"/>
    <x v="2"/>
    <n v="5"/>
    <n v="553288"/>
    <d v="2025-01-27T00:00:00"/>
    <n v="1"/>
    <n v="27"/>
    <n v="2025"/>
    <x v="6"/>
    <s v="Q1"/>
    <x v="4"/>
  </r>
  <r>
    <s v="O104732"/>
    <x v="669"/>
    <x v="6"/>
    <x v="0"/>
    <x v="3"/>
    <x v="1"/>
    <n v="1"/>
    <n v="553244"/>
    <d v="2025-10-15T00:00:00"/>
    <n v="10"/>
    <n v="15"/>
    <n v="2025"/>
    <x v="9"/>
    <s v="Q4"/>
    <x v="3"/>
  </r>
  <r>
    <s v="O107100"/>
    <x v="759"/>
    <x v="9"/>
    <x v="5"/>
    <x v="4"/>
    <x v="3"/>
    <n v="6"/>
    <n v="553224"/>
    <d v="2026-08-03T00:00:00"/>
    <n v="8"/>
    <n v="3"/>
    <n v="2026"/>
    <x v="8"/>
    <s v="Q3"/>
    <x v="4"/>
  </r>
  <r>
    <s v="O104158"/>
    <x v="575"/>
    <x v="10"/>
    <x v="5"/>
    <x v="2"/>
    <x v="0"/>
    <n v="4"/>
    <n v="553200"/>
    <d v="2025-10-09T00:00:00"/>
    <n v="10"/>
    <n v="9"/>
    <n v="2025"/>
    <x v="9"/>
    <s v="Q4"/>
    <x v="2"/>
  </r>
  <r>
    <s v="O110653"/>
    <x v="640"/>
    <x v="2"/>
    <x v="5"/>
    <x v="3"/>
    <x v="2"/>
    <n v="6"/>
    <n v="552951"/>
    <d v="2026-10-10T00:00:00"/>
    <n v="10"/>
    <n v="10"/>
    <n v="2026"/>
    <x v="9"/>
    <s v="Q4"/>
    <x v="3"/>
  </r>
  <r>
    <s v="O110288"/>
    <x v="435"/>
    <x v="2"/>
    <x v="0"/>
    <x v="1"/>
    <x v="1"/>
    <n v="1"/>
    <n v="552821"/>
    <d v="2026-09-17T00:00:00"/>
    <n v="9"/>
    <n v="17"/>
    <n v="2026"/>
    <x v="1"/>
    <s v="Q3"/>
    <x v="1"/>
  </r>
  <r>
    <s v="O102154"/>
    <x v="562"/>
    <x v="6"/>
    <x v="5"/>
    <x v="3"/>
    <x v="0"/>
    <n v="6"/>
    <n v="552141"/>
    <d v="2025-11-05T00:00:00"/>
    <n v="11"/>
    <n v="5"/>
    <n v="2025"/>
    <x v="0"/>
    <s v="Q4"/>
    <x v="3"/>
  </r>
  <r>
    <s v="O105692"/>
    <x v="767"/>
    <x v="5"/>
    <x v="0"/>
    <x v="4"/>
    <x v="2"/>
    <n v="1"/>
    <n v="551922"/>
    <d v="2025-12-12T00:00:00"/>
    <n v="12"/>
    <n v="12"/>
    <n v="2025"/>
    <x v="7"/>
    <s v="Q4"/>
    <x v="4"/>
  </r>
  <r>
    <s v="O105229"/>
    <x v="416"/>
    <x v="0"/>
    <x v="0"/>
    <x v="1"/>
    <x v="3"/>
    <n v="1"/>
    <n v="551707"/>
    <d v="2025-11-14T00:00:00"/>
    <n v="11"/>
    <n v="14"/>
    <n v="2025"/>
    <x v="0"/>
    <s v="Q4"/>
    <x v="1"/>
  </r>
  <r>
    <s v="O102024"/>
    <x v="461"/>
    <x v="10"/>
    <x v="0"/>
    <x v="2"/>
    <x v="2"/>
    <n v="1"/>
    <n v="551234"/>
    <d v="2025-03-05T00:00:00"/>
    <n v="3"/>
    <n v="5"/>
    <n v="2025"/>
    <x v="5"/>
    <s v="Q1"/>
    <x v="2"/>
  </r>
  <r>
    <s v="O102796"/>
    <x v="465"/>
    <x v="1"/>
    <x v="2"/>
    <x v="3"/>
    <x v="3"/>
    <n v="2"/>
    <n v="551116"/>
    <d v="2025-06-19T00:00:00"/>
    <n v="6"/>
    <n v="19"/>
    <n v="2025"/>
    <x v="2"/>
    <s v="Q2"/>
    <x v="3"/>
  </r>
  <r>
    <s v="O107877"/>
    <x v="790"/>
    <x v="8"/>
    <x v="2"/>
    <x v="2"/>
    <x v="1"/>
    <n v="2"/>
    <n v="551085"/>
    <d v="2026-04-24T00:00:00"/>
    <n v="4"/>
    <n v="24"/>
    <n v="2026"/>
    <x v="11"/>
    <s v="Q2"/>
    <x v="2"/>
  </r>
  <r>
    <s v="O103169"/>
    <x v="709"/>
    <x v="3"/>
    <x v="4"/>
    <x v="4"/>
    <x v="3"/>
    <n v="4"/>
    <n v="550805"/>
    <d v="2025-12-07T00:00:00"/>
    <n v="12"/>
    <n v="7"/>
    <n v="2025"/>
    <x v="7"/>
    <s v="Q4"/>
    <x v="4"/>
  </r>
  <r>
    <s v="O110841"/>
    <x v="181"/>
    <x v="10"/>
    <x v="5"/>
    <x v="1"/>
    <x v="2"/>
    <n v="5"/>
    <n v="550763"/>
    <d v="2026-10-21T00:00:00"/>
    <n v="10"/>
    <n v="21"/>
    <n v="2026"/>
    <x v="9"/>
    <s v="Q4"/>
    <x v="1"/>
  </r>
  <r>
    <s v="O102435"/>
    <x v="201"/>
    <x v="0"/>
    <x v="3"/>
    <x v="1"/>
    <x v="0"/>
    <n v="3"/>
    <n v="550692"/>
    <d v="2025-05-28T00:00:00"/>
    <n v="5"/>
    <n v="28"/>
    <n v="2025"/>
    <x v="3"/>
    <s v="Q2"/>
    <x v="1"/>
  </r>
  <r>
    <s v="O105294"/>
    <x v="675"/>
    <x v="9"/>
    <x v="0"/>
    <x v="3"/>
    <x v="0"/>
    <n v="1"/>
    <n v="550375"/>
    <d v="2025-11-18T00:00:00"/>
    <n v="11"/>
    <n v="18"/>
    <n v="2025"/>
    <x v="0"/>
    <s v="Q4"/>
    <x v="3"/>
  </r>
  <r>
    <s v="O100026"/>
    <x v="7"/>
    <x v="2"/>
    <x v="4"/>
    <x v="3"/>
    <x v="3"/>
    <n v="4"/>
    <n v="549850"/>
    <d v="2025-02-01T00:00:00"/>
    <n v="2"/>
    <n v="1"/>
    <n v="2025"/>
    <x v="4"/>
    <s v="Q1"/>
    <x v="3"/>
  </r>
  <r>
    <s v="O104114"/>
    <x v="707"/>
    <x v="6"/>
    <x v="0"/>
    <x v="0"/>
    <x v="0"/>
    <n v="1"/>
    <n v="549677"/>
    <d v="2025-07-09T00:00:00"/>
    <n v="7"/>
    <n v="9"/>
    <n v="2025"/>
    <x v="10"/>
    <s v="Q3"/>
    <x v="0"/>
  </r>
  <r>
    <s v="O111864"/>
    <x v="354"/>
    <x v="8"/>
    <x v="3"/>
    <x v="1"/>
    <x v="3"/>
    <n v="3"/>
    <n v="549346"/>
    <d v="2026-12-22T00:00:00"/>
    <n v="12"/>
    <n v="22"/>
    <n v="2026"/>
    <x v="7"/>
    <s v="Q4"/>
    <x v="1"/>
  </r>
  <r>
    <s v="O109778"/>
    <x v="175"/>
    <x v="8"/>
    <x v="3"/>
    <x v="4"/>
    <x v="3"/>
    <n v="2"/>
    <n v="548719"/>
    <d v="2026-08-18T00:00:00"/>
    <n v="8"/>
    <n v="18"/>
    <n v="2026"/>
    <x v="8"/>
    <s v="Q3"/>
    <x v="4"/>
  </r>
  <r>
    <s v="O100829"/>
    <x v="100"/>
    <x v="0"/>
    <x v="4"/>
    <x v="0"/>
    <x v="0"/>
    <n v="4"/>
    <n v="548645"/>
    <d v="2025-02-20T00:00:00"/>
    <n v="2"/>
    <n v="20"/>
    <n v="2025"/>
    <x v="4"/>
    <s v="Q1"/>
    <x v="0"/>
  </r>
  <r>
    <s v="O101900"/>
    <x v="80"/>
    <x v="1"/>
    <x v="4"/>
    <x v="0"/>
    <x v="2"/>
    <n v="4"/>
    <n v="548613"/>
    <d v="2025-04-26T00:00:00"/>
    <n v="4"/>
    <n v="26"/>
    <n v="2025"/>
    <x v="11"/>
    <s v="Q2"/>
    <x v="0"/>
  </r>
  <r>
    <s v="O101787"/>
    <x v="726"/>
    <x v="10"/>
    <x v="2"/>
    <x v="0"/>
    <x v="2"/>
    <n v="2"/>
    <n v="548604"/>
    <d v="2025-04-19T00:00:00"/>
    <n v="4"/>
    <n v="19"/>
    <n v="2025"/>
    <x v="11"/>
    <s v="Q2"/>
    <x v="0"/>
  </r>
  <r>
    <s v="O100013"/>
    <x v="769"/>
    <x v="2"/>
    <x v="5"/>
    <x v="2"/>
    <x v="2"/>
    <n v="5"/>
    <n v="548468"/>
    <d v="2025-01-01T00:00:00"/>
    <n v="1"/>
    <n v="1"/>
    <n v="2025"/>
    <x v="6"/>
    <s v="Q1"/>
    <x v="2"/>
  </r>
  <r>
    <s v="O111140"/>
    <x v="39"/>
    <x v="0"/>
    <x v="3"/>
    <x v="4"/>
    <x v="1"/>
    <n v="2"/>
    <n v="547936"/>
    <d v="2026-08-11T00:00:00"/>
    <n v="8"/>
    <n v="11"/>
    <n v="2026"/>
    <x v="8"/>
    <s v="Q3"/>
    <x v="4"/>
  </r>
  <r>
    <s v="O109296"/>
    <x v="525"/>
    <x v="9"/>
    <x v="5"/>
    <x v="1"/>
    <x v="1"/>
    <n v="4"/>
    <n v="547308"/>
    <d v="2026-07-19T00:00:00"/>
    <n v="7"/>
    <n v="19"/>
    <n v="2026"/>
    <x v="10"/>
    <s v="Q3"/>
    <x v="1"/>
  </r>
  <r>
    <s v="O105095"/>
    <x v="783"/>
    <x v="0"/>
    <x v="0"/>
    <x v="2"/>
    <x v="1"/>
    <n v="1"/>
    <n v="547274"/>
    <d v="2025-06-11T00:00:00"/>
    <n v="6"/>
    <n v="11"/>
    <n v="2025"/>
    <x v="2"/>
    <s v="Q2"/>
    <x v="2"/>
  </r>
  <r>
    <s v="O103969"/>
    <x v="489"/>
    <x v="2"/>
    <x v="2"/>
    <x v="1"/>
    <x v="0"/>
    <n v="2"/>
    <n v="546968"/>
    <d v="2025-08-30T00:00:00"/>
    <n v="8"/>
    <n v="30"/>
    <n v="2025"/>
    <x v="8"/>
    <s v="Q3"/>
    <x v="1"/>
  </r>
  <r>
    <s v="O111661"/>
    <x v="299"/>
    <x v="8"/>
    <x v="5"/>
    <x v="0"/>
    <x v="3"/>
    <n v="5"/>
    <n v="546715"/>
    <d v="2026-10-12T00:00:00"/>
    <n v="10"/>
    <n v="12"/>
    <n v="2026"/>
    <x v="9"/>
    <s v="Q4"/>
    <x v="0"/>
  </r>
  <r>
    <s v="O106650"/>
    <x v="603"/>
    <x v="1"/>
    <x v="5"/>
    <x v="4"/>
    <x v="2"/>
    <n v="4"/>
    <n v="546591"/>
    <d v="2026-08-02T00:00:00"/>
    <n v="8"/>
    <n v="2"/>
    <n v="2026"/>
    <x v="8"/>
    <s v="Q3"/>
    <x v="4"/>
  </r>
  <r>
    <s v="O103128"/>
    <x v="783"/>
    <x v="9"/>
    <x v="0"/>
    <x v="0"/>
    <x v="0"/>
    <n v="1"/>
    <n v="546486"/>
    <d v="2025-09-07T00:00:00"/>
    <n v="9"/>
    <n v="7"/>
    <n v="2025"/>
    <x v="1"/>
    <s v="Q3"/>
    <x v="0"/>
  </r>
  <r>
    <s v="O107229"/>
    <x v="578"/>
    <x v="3"/>
    <x v="3"/>
    <x v="4"/>
    <x v="2"/>
    <n v="2"/>
    <n v="546399"/>
    <d v="2026-03-16T00:00:00"/>
    <n v="3"/>
    <n v="16"/>
    <n v="2026"/>
    <x v="5"/>
    <s v="Q1"/>
    <x v="4"/>
  </r>
  <r>
    <s v="O108930"/>
    <x v="90"/>
    <x v="4"/>
    <x v="3"/>
    <x v="2"/>
    <x v="0"/>
    <n v="2"/>
    <n v="546369"/>
    <d v="2026-06-27T00:00:00"/>
    <n v="6"/>
    <n v="27"/>
    <n v="2026"/>
    <x v="2"/>
    <s v="Q2"/>
    <x v="2"/>
  </r>
  <r>
    <s v="O104294"/>
    <x v="62"/>
    <x v="2"/>
    <x v="5"/>
    <x v="0"/>
    <x v="0"/>
    <n v="5"/>
    <n v="545990"/>
    <d v="2025-09-18T00:00:00"/>
    <n v="9"/>
    <n v="18"/>
    <n v="2025"/>
    <x v="1"/>
    <s v="Q3"/>
    <x v="0"/>
  </r>
  <r>
    <s v="O108285"/>
    <x v="279"/>
    <x v="1"/>
    <x v="2"/>
    <x v="1"/>
    <x v="1"/>
    <n v="2"/>
    <n v="545868"/>
    <d v="2026-05-19T00:00:00"/>
    <n v="5"/>
    <n v="19"/>
    <n v="2026"/>
    <x v="3"/>
    <s v="Q2"/>
    <x v="1"/>
  </r>
  <r>
    <s v="O102960"/>
    <x v="12"/>
    <x v="1"/>
    <x v="4"/>
    <x v="1"/>
    <x v="2"/>
    <n v="3"/>
    <n v="545370"/>
    <d v="2025-06-29T00:00:00"/>
    <n v="6"/>
    <n v="29"/>
    <n v="2025"/>
    <x v="2"/>
    <s v="Q2"/>
    <x v="1"/>
  </r>
  <r>
    <s v="O102462"/>
    <x v="287"/>
    <x v="5"/>
    <x v="5"/>
    <x v="2"/>
    <x v="1"/>
    <n v="5"/>
    <n v="545334"/>
    <d v="2025-05-30T00:00:00"/>
    <n v="5"/>
    <n v="30"/>
    <n v="2025"/>
    <x v="3"/>
    <s v="Q2"/>
    <x v="2"/>
  </r>
  <r>
    <s v="O111797"/>
    <x v="721"/>
    <x v="0"/>
    <x v="0"/>
    <x v="0"/>
    <x v="2"/>
    <n v="1"/>
    <n v="544994"/>
    <d v="2026-12-18T00:00:00"/>
    <n v="12"/>
    <n v="18"/>
    <n v="2026"/>
    <x v="7"/>
    <s v="Q4"/>
    <x v="0"/>
  </r>
  <r>
    <s v="O110309"/>
    <x v="319"/>
    <x v="8"/>
    <x v="5"/>
    <x v="4"/>
    <x v="3"/>
    <n v="4"/>
    <n v="544894"/>
    <d v="2026-09-19T00:00:00"/>
    <n v="9"/>
    <n v="19"/>
    <n v="2026"/>
    <x v="1"/>
    <s v="Q3"/>
    <x v="4"/>
  </r>
  <r>
    <s v="O108484"/>
    <x v="137"/>
    <x v="6"/>
    <x v="3"/>
    <x v="1"/>
    <x v="4"/>
    <n v="3"/>
    <n v="543832"/>
    <d v="2026-05-31T00:00:00"/>
    <n v="5"/>
    <n v="31"/>
    <n v="2026"/>
    <x v="3"/>
    <s v="Q2"/>
    <x v="1"/>
  </r>
  <r>
    <s v="O102198"/>
    <x v="354"/>
    <x v="6"/>
    <x v="5"/>
    <x v="1"/>
    <x v="0"/>
    <n v="4"/>
    <n v="543822"/>
    <d v="2025-05-14T00:00:00"/>
    <n v="5"/>
    <n v="14"/>
    <n v="2025"/>
    <x v="3"/>
    <s v="Q2"/>
    <x v="1"/>
  </r>
  <r>
    <s v="O100561"/>
    <x v="54"/>
    <x v="3"/>
    <x v="4"/>
    <x v="0"/>
    <x v="0"/>
    <n v="3"/>
    <n v="543205"/>
    <d v="2025-04-02T00:00:00"/>
    <n v="4"/>
    <n v="2"/>
    <n v="2025"/>
    <x v="11"/>
    <s v="Q2"/>
    <x v="0"/>
  </r>
  <r>
    <s v="O107030"/>
    <x v="126"/>
    <x v="4"/>
    <x v="0"/>
    <x v="0"/>
    <x v="3"/>
    <n v="1"/>
    <n v="543037"/>
    <d v="2026-04-03T00:00:00"/>
    <n v="4"/>
    <n v="3"/>
    <n v="2026"/>
    <x v="11"/>
    <s v="Q2"/>
    <x v="0"/>
  </r>
  <r>
    <s v="O104049"/>
    <x v="533"/>
    <x v="0"/>
    <x v="5"/>
    <x v="0"/>
    <x v="2"/>
    <n v="4"/>
    <n v="543005"/>
    <d v="2025-03-09T00:00:00"/>
    <n v="3"/>
    <n v="9"/>
    <n v="2025"/>
    <x v="5"/>
    <s v="Q1"/>
    <x v="0"/>
  </r>
  <r>
    <s v="O102471"/>
    <x v="20"/>
    <x v="2"/>
    <x v="0"/>
    <x v="0"/>
    <x v="0"/>
    <n v="1"/>
    <n v="542969"/>
    <d v="2025-05-31T00:00:00"/>
    <n v="5"/>
    <n v="31"/>
    <n v="2025"/>
    <x v="3"/>
    <s v="Q2"/>
    <x v="0"/>
  </r>
  <r>
    <s v="O102014"/>
    <x v="226"/>
    <x v="4"/>
    <x v="0"/>
    <x v="1"/>
    <x v="3"/>
    <n v="1"/>
    <n v="542924"/>
    <d v="2025-03-05T00:00:00"/>
    <n v="3"/>
    <n v="5"/>
    <n v="2025"/>
    <x v="5"/>
    <s v="Q1"/>
    <x v="1"/>
  </r>
  <r>
    <s v="O104423"/>
    <x v="514"/>
    <x v="1"/>
    <x v="2"/>
    <x v="3"/>
    <x v="0"/>
    <n v="2"/>
    <n v="542707"/>
    <d v="2025-09-26T00:00:00"/>
    <n v="9"/>
    <n v="26"/>
    <n v="2025"/>
    <x v="1"/>
    <m/>
    <x v="3"/>
  </r>
  <r>
    <s v="O103847"/>
    <x v="78"/>
    <x v="8"/>
    <x v="3"/>
    <x v="3"/>
    <x v="0"/>
    <n v="2"/>
    <n v="542671"/>
    <d v="2025-08-22T00:00:00"/>
    <n v="8"/>
    <n v="22"/>
    <n v="2025"/>
    <x v="8"/>
    <s v="Q3"/>
    <x v="3"/>
  </r>
  <r>
    <s v="O101828"/>
    <x v="396"/>
    <x v="0"/>
    <x v="3"/>
    <x v="0"/>
    <x v="2"/>
    <n v="2"/>
    <n v="542633"/>
    <d v="2025-04-21T00:00:00"/>
    <n v="4"/>
    <n v="21"/>
    <n v="2025"/>
    <x v="11"/>
    <s v="Q2"/>
    <x v="0"/>
  </r>
  <r>
    <s v="O103777"/>
    <x v="781"/>
    <x v="3"/>
    <x v="5"/>
    <x v="4"/>
    <x v="3"/>
    <n v="6"/>
    <n v="542603"/>
    <d v="2025-08-18T00:00:00"/>
    <n v="8"/>
    <n v="18"/>
    <n v="2025"/>
    <x v="8"/>
    <s v="Q3"/>
    <x v="4"/>
  </r>
  <r>
    <s v="O106316"/>
    <x v="223"/>
    <x v="5"/>
    <x v="3"/>
    <x v="0"/>
    <x v="1"/>
    <n v="2"/>
    <n v="542268"/>
    <d v="2026-01-19T00:00:00"/>
    <n v="1"/>
    <n v="19"/>
    <n v="2026"/>
    <x v="6"/>
    <s v="Q1"/>
    <x v="0"/>
  </r>
  <r>
    <s v="O107594"/>
    <x v="733"/>
    <x v="6"/>
    <x v="5"/>
    <x v="1"/>
    <x v="0"/>
    <n v="5"/>
    <n v="542266"/>
    <d v="2026-07-04T00:00:00"/>
    <n v="7"/>
    <n v="4"/>
    <n v="2026"/>
    <x v="10"/>
    <s v="Q3"/>
    <x v="1"/>
  </r>
  <r>
    <s v="O104168"/>
    <x v="387"/>
    <x v="5"/>
    <x v="0"/>
    <x v="0"/>
    <x v="0"/>
    <n v="1"/>
    <n v="541994"/>
    <d v="2025-11-09T00:00:00"/>
    <n v="11"/>
    <n v="9"/>
    <n v="2025"/>
    <x v="0"/>
    <s v="Q4"/>
    <x v="0"/>
  </r>
  <r>
    <s v="O110364"/>
    <x v="297"/>
    <x v="5"/>
    <x v="5"/>
    <x v="4"/>
    <x v="0"/>
    <n v="6"/>
    <n v="541836"/>
    <d v="2026-09-22T00:00:00"/>
    <n v="9"/>
    <n v="22"/>
    <n v="2026"/>
    <x v="1"/>
    <s v="Q3"/>
    <x v="4"/>
  </r>
  <r>
    <s v="O106853"/>
    <x v="286"/>
    <x v="10"/>
    <x v="5"/>
    <x v="1"/>
    <x v="0"/>
    <n v="5"/>
    <n v="541672"/>
    <d v="2026-02-21T00:00:00"/>
    <n v="2"/>
    <n v="21"/>
    <n v="2026"/>
    <x v="4"/>
    <s v="Q1"/>
    <x v="1"/>
  </r>
  <r>
    <s v="O104028"/>
    <x v="460"/>
    <x v="4"/>
    <x v="0"/>
    <x v="3"/>
    <x v="0"/>
    <n v="1"/>
    <n v="541126"/>
    <d v="2025-02-09T00:00:00"/>
    <n v="2"/>
    <n v="9"/>
    <n v="2025"/>
    <x v="4"/>
    <s v="Q1"/>
    <x v="3"/>
  </r>
  <r>
    <s v="O106332"/>
    <x v="16"/>
    <x v="1"/>
    <x v="4"/>
    <x v="3"/>
    <x v="1"/>
    <n v="3"/>
    <n v="541028"/>
    <d v="2026-01-20T00:00:00"/>
    <n v="1"/>
    <n v="20"/>
    <n v="2026"/>
    <x v="6"/>
    <s v="Q1"/>
    <x v="3"/>
  </r>
  <r>
    <s v="O104609"/>
    <x v="581"/>
    <x v="6"/>
    <x v="3"/>
    <x v="4"/>
    <x v="0"/>
    <n v="2"/>
    <n v="541006"/>
    <d v="2025-07-10T00:00:00"/>
    <n v="7"/>
    <n v="10"/>
    <n v="2025"/>
    <x v="10"/>
    <s v="Q3"/>
    <x v="4"/>
  </r>
  <r>
    <s v="O101473"/>
    <x v="264"/>
    <x v="9"/>
    <x v="5"/>
    <x v="4"/>
    <x v="0"/>
    <n v="6"/>
    <n v="540890"/>
    <d v="2025-03-31T00:00:00"/>
    <n v="3"/>
    <n v="31"/>
    <n v="2025"/>
    <x v="5"/>
    <s v="Q1"/>
    <x v="4"/>
  </r>
  <r>
    <s v="O109038"/>
    <x v="1"/>
    <x v="8"/>
    <x v="5"/>
    <x v="2"/>
    <x v="1"/>
    <n v="4"/>
    <n v="540026"/>
    <d v="2026-04-07T00:00:00"/>
    <n v="4"/>
    <n v="7"/>
    <n v="2026"/>
    <x v="11"/>
    <s v="Q2"/>
    <x v="2"/>
  </r>
  <r>
    <s v="O107553"/>
    <x v="666"/>
    <x v="10"/>
    <x v="2"/>
    <x v="0"/>
    <x v="0"/>
    <n v="2"/>
    <n v="539486"/>
    <d v="2026-04-04T00:00:00"/>
    <n v="4"/>
    <n v="4"/>
    <n v="2026"/>
    <x v="11"/>
    <m/>
    <x v="0"/>
  </r>
  <r>
    <s v="O102651"/>
    <x v="388"/>
    <x v="0"/>
    <x v="0"/>
    <x v="0"/>
    <x v="2"/>
    <n v="1"/>
    <n v="538835"/>
    <d v="2025-11-06T00:00:00"/>
    <n v="11"/>
    <n v="6"/>
    <n v="2025"/>
    <x v="0"/>
    <s v="Q4"/>
    <x v="0"/>
  </r>
  <r>
    <s v="O105717"/>
    <x v="782"/>
    <x v="0"/>
    <x v="0"/>
    <x v="2"/>
    <x v="1"/>
    <n v="1"/>
    <n v="538311"/>
    <d v="2025-12-14T00:00:00"/>
    <n v="12"/>
    <n v="14"/>
    <n v="2025"/>
    <x v="7"/>
    <s v="Q4"/>
    <x v="2"/>
  </r>
  <r>
    <s v="O105658"/>
    <x v="462"/>
    <x v="4"/>
    <x v="5"/>
    <x v="3"/>
    <x v="3"/>
    <n v="4"/>
    <n v="537744"/>
    <d v="2025-10-12T00:00:00"/>
    <n v="10"/>
    <n v="12"/>
    <n v="2025"/>
    <x v="9"/>
    <s v="Q4"/>
    <x v="3"/>
  </r>
  <r>
    <s v="O100299"/>
    <x v="508"/>
    <x v="9"/>
    <x v="2"/>
    <x v="1"/>
    <x v="0"/>
    <n v="2"/>
    <n v="537598"/>
    <d v="2025-01-19T00:00:00"/>
    <n v="1"/>
    <n v="19"/>
    <n v="2025"/>
    <x v="6"/>
    <s v="Q1"/>
    <x v="1"/>
  </r>
  <r>
    <s v="O110938"/>
    <x v="35"/>
    <x v="0"/>
    <x v="0"/>
    <x v="1"/>
    <x v="3"/>
    <n v="1"/>
    <n v="536665"/>
    <d v="2026-10-27T00:00:00"/>
    <n v="10"/>
    <n v="27"/>
    <n v="2026"/>
    <x v="9"/>
    <s v="Q4"/>
    <x v="1"/>
  </r>
  <r>
    <s v="O107350"/>
    <x v="209"/>
    <x v="2"/>
    <x v="3"/>
    <x v="2"/>
    <x v="0"/>
    <n v="2"/>
    <n v="536637"/>
    <d v="2026-03-23T00:00:00"/>
    <n v="3"/>
    <n v="23"/>
    <n v="2026"/>
    <x v="5"/>
    <s v="Q1"/>
    <x v="2"/>
  </r>
  <r>
    <s v="O109290"/>
    <x v="397"/>
    <x v="2"/>
    <x v="0"/>
    <x v="0"/>
    <x v="2"/>
    <n v="1"/>
    <n v="535889"/>
    <d v="2026-07-19T00:00:00"/>
    <n v="7"/>
    <n v="19"/>
    <n v="2026"/>
    <x v="10"/>
    <s v="Q3"/>
    <x v="0"/>
  </r>
  <r>
    <s v="O111334"/>
    <x v="375"/>
    <x v="8"/>
    <x v="4"/>
    <x v="2"/>
    <x v="3"/>
    <n v="3"/>
    <n v="535794"/>
    <d v="2026-11-20T00:00:00"/>
    <n v="11"/>
    <n v="20"/>
    <n v="2026"/>
    <x v="0"/>
    <s v="Q4"/>
    <x v="2"/>
  </r>
  <r>
    <s v="O102746"/>
    <x v="714"/>
    <x v="2"/>
    <x v="4"/>
    <x v="1"/>
    <x v="3"/>
    <n v="3"/>
    <n v="535708"/>
    <d v="2025-06-16T00:00:00"/>
    <n v="6"/>
    <n v="16"/>
    <n v="2025"/>
    <x v="2"/>
    <s v="Q2"/>
    <x v="1"/>
  </r>
  <r>
    <s v="O104234"/>
    <x v="635"/>
    <x v="2"/>
    <x v="3"/>
    <x v="3"/>
    <x v="1"/>
    <n v="3"/>
    <n v="535568"/>
    <d v="2025-09-15T00:00:00"/>
    <n v="9"/>
    <n v="15"/>
    <n v="2025"/>
    <x v="1"/>
    <s v="Q3"/>
    <x v="3"/>
  </r>
  <r>
    <s v="O102722"/>
    <x v="172"/>
    <x v="2"/>
    <x v="4"/>
    <x v="2"/>
    <x v="1"/>
    <n v="3"/>
    <n v="535557"/>
    <d v="2025-06-15T00:00:00"/>
    <n v="6"/>
    <n v="15"/>
    <n v="2025"/>
    <x v="2"/>
    <s v="Q2"/>
    <x v="2"/>
  </r>
  <r>
    <s v="O101965"/>
    <x v="412"/>
    <x v="8"/>
    <x v="2"/>
    <x v="3"/>
    <x v="1"/>
    <n v="2"/>
    <n v="535499"/>
    <d v="2025-04-30T00:00:00"/>
    <n v="4"/>
    <n v="30"/>
    <n v="2025"/>
    <x v="11"/>
    <s v="Q2"/>
    <x v="3"/>
  </r>
  <r>
    <s v="O109633"/>
    <x v="367"/>
    <x v="5"/>
    <x v="0"/>
    <x v="3"/>
    <x v="0"/>
    <n v="1"/>
    <n v="535384"/>
    <d v="2026-09-08T00:00:00"/>
    <n v="9"/>
    <n v="8"/>
    <n v="2026"/>
    <x v="1"/>
    <s v="Q3"/>
    <x v="3"/>
  </r>
  <r>
    <s v="O108866"/>
    <x v="417"/>
    <x v="0"/>
    <x v="4"/>
    <x v="3"/>
    <x v="1"/>
    <n v="3"/>
    <n v="535218"/>
    <d v="2026-06-23T00:00:00"/>
    <n v="6"/>
    <n v="23"/>
    <n v="2026"/>
    <x v="2"/>
    <s v="Q2"/>
    <x v="3"/>
  </r>
  <r>
    <s v="O110086"/>
    <x v="681"/>
    <x v="1"/>
    <x v="2"/>
    <x v="0"/>
    <x v="1"/>
    <n v="2"/>
    <n v="535103"/>
    <d v="2026-05-09T00:00:00"/>
    <n v="5"/>
    <n v="9"/>
    <n v="2026"/>
    <x v="3"/>
    <s v="Q2"/>
    <x v="0"/>
  </r>
  <r>
    <s v="O111455"/>
    <x v="766"/>
    <x v="5"/>
    <x v="3"/>
    <x v="4"/>
    <x v="0"/>
    <n v="2"/>
    <n v="534781"/>
    <d v="2026-11-27T00:00:00"/>
    <n v="11"/>
    <n v="27"/>
    <n v="2026"/>
    <x v="0"/>
    <s v="Q4"/>
    <x v="4"/>
  </r>
  <r>
    <s v="O110070"/>
    <x v="791"/>
    <x v="8"/>
    <x v="5"/>
    <x v="2"/>
    <x v="2"/>
    <n v="4"/>
    <n v="534534"/>
    <d v="2026-04-09T00:00:00"/>
    <n v="4"/>
    <n v="9"/>
    <n v="2026"/>
    <x v="11"/>
    <s v="Q2"/>
    <x v="2"/>
  </r>
  <r>
    <s v="O106797"/>
    <x v="415"/>
    <x v="5"/>
    <x v="3"/>
    <x v="3"/>
    <x v="3"/>
    <n v="3"/>
    <n v="533924"/>
    <d v="2026-02-17T00:00:00"/>
    <n v="2"/>
    <n v="17"/>
    <n v="2026"/>
    <x v="4"/>
    <s v="Q1"/>
    <x v="3"/>
  </r>
  <r>
    <s v="O102509"/>
    <x v="401"/>
    <x v="3"/>
    <x v="5"/>
    <x v="3"/>
    <x v="1"/>
    <n v="5"/>
    <n v="533441"/>
    <d v="2025-02-06T00:00:00"/>
    <n v="2"/>
    <n v="6"/>
    <n v="2025"/>
    <x v="4"/>
    <s v="Q1"/>
    <x v="3"/>
  </r>
  <r>
    <s v="O108726"/>
    <x v="131"/>
    <x v="1"/>
    <x v="4"/>
    <x v="1"/>
    <x v="2"/>
    <n v="3"/>
    <n v="533110"/>
    <d v="2026-06-15T00:00:00"/>
    <n v="6"/>
    <n v="15"/>
    <n v="2026"/>
    <x v="2"/>
    <s v="Q2"/>
    <x v="1"/>
  </r>
  <r>
    <s v="O107364"/>
    <x v="202"/>
    <x v="7"/>
    <x v="5"/>
    <x v="4"/>
    <x v="1"/>
    <n v="4"/>
    <n v="533002"/>
    <d v="2026-03-24T00:00:00"/>
    <n v="3"/>
    <n v="24"/>
    <n v="2026"/>
    <x v="5"/>
    <s v="Q1"/>
    <x v="4"/>
  </r>
  <r>
    <s v="O104520"/>
    <x v="112"/>
    <x v="9"/>
    <x v="0"/>
    <x v="3"/>
    <x v="0"/>
    <n v="1"/>
    <n v="532940"/>
    <d v="2025-02-10T00:00:00"/>
    <n v="2"/>
    <n v="10"/>
    <n v="2025"/>
    <x v="4"/>
    <s v="Q1"/>
    <x v="3"/>
  </r>
  <r>
    <s v="O111589"/>
    <x v="303"/>
    <x v="0"/>
    <x v="4"/>
    <x v="1"/>
    <x v="0"/>
    <n v="3"/>
    <n v="532812"/>
    <d v="2026-06-12T00:00:00"/>
    <n v="6"/>
    <n v="12"/>
    <n v="2026"/>
    <x v="2"/>
    <s v="Q2"/>
    <x v="1"/>
  </r>
  <r>
    <s v="O111757"/>
    <x v="717"/>
    <x v="3"/>
    <x v="5"/>
    <x v="1"/>
    <x v="3"/>
    <n v="4"/>
    <n v="532558"/>
    <d v="2026-12-16T00:00:00"/>
    <n v="12"/>
    <n v="16"/>
    <n v="2026"/>
    <x v="7"/>
    <s v="Q4"/>
    <x v="1"/>
  </r>
  <r>
    <s v="O106852"/>
    <x v="441"/>
    <x v="0"/>
    <x v="3"/>
    <x v="3"/>
    <x v="0"/>
    <n v="2"/>
    <n v="532042"/>
    <d v="2026-02-21T00:00:00"/>
    <n v="2"/>
    <n v="21"/>
    <n v="2026"/>
    <x v="4"/>
    <s v="Q1"/>
    <x v="3"/>
  </r>
  <r>
    <s v="O109323"/>
    <x v="555"/>
    <x v="2"/>
    <x v="2"/>
    <x v="4"/>
    <x v="1"/>
    <n v="2"/>
    <n v="531779"/>
    <d v="2026-07-21T00:00:00"/>
    <n v="7"/>
    <n v="21"/>
    <n v="2026"/>
    <x v="10"/>
    <s v="Q3"/>
    <x v="4"/>
  </r>
  <r>
    <s v="O102913"/>
    <x v="223"/>
    <x v="5"/>
    <x v="4"/>
    <x v="3"/>
    <x v="1"/>
    <n v="3"/>
    <n v="531647"/>
    <d v="2025-06-26T00:00:00"/>
    <n v="6"/>
    <n v="26"/>
    <n v="2025"/>
    <x v="2"/>
    <s v="Q2"/>
    <x v="3"/>
  </r>
  <r>
    <s v="O107636"/>
    <x v="465"/>
    <x v="0"/>
    <x v="0"/>
    <x v="0"/>
    <x v="2"/>
    <n v="1"/>
    <n v="531497"/>
    <d v="2026-09-04T00:00:00"/>
    <n v="9"/>
    <n v="4"/>
    <n v="2026"/>
    <x v="1"/>
    <s v="Q3"/>
    <x v="0"/>
  </r>
  <r>
    <s v="O107301"/>
    <x v="262"/>
    <x v="3"/>
    <x v="0"/>
    <x v="3"/>
    <x v="0"/>
    <n v="1"/>
    <n v="531204"/>
    <d v="2026-03-20T00:00:00"/>
    <n v="3"/>
    <n v="20"/>
    <n v="2026"/>
    <x v="5"/>
    <s v="Q1"/>
    <x v="3"/>
  </r>
  <r>
    <s v="O108337"/>
    <x v="67"/>
    <x v="6"/>
    <x v="3"/>
    <x v="3"/>
    <x v="2"/>
    <n v="2"/>
    <n v="530985"/>
    <d v="2026-05-22T00:00:00"/>
    <n v="5"/>
    <n v="22"/>
    <n v="2026"/>
    <x v="3"/>
    <s v="Q2"/>
    <x v="3"/>
  </r>
  <r>
    <s v="O106818"/>
    <x v="660"/>
    <x v="8"/>
    <x v="3"/>
    <x v="4"/>
    <x v="2"/>
    <n v="3"/>
    <n v="530891"/>
    <d v="2026-02-19T00:00:00"/>
    <n v="2"/>
    <n v="19"/>
    <n v="2026"/>
    <x v="4"/>
    <m/>
    <x v="4"/>
  </r>
  <r>
    <s v="O104634"/>
    <x v="164"/>
    <x v="8"/>
    <x v="5"/>
    <x v="0"/>
    <x v="1"/>
    <n v="4"/>
    <n v="530750"/>
    <d v="2025-09-10T00:00:00"/>
    <n v="9"/>
    <n v="10"/>
    <n v="2025"/>
    <x v="1"/>
    <s v="Q3"/>
    <x v="0"/>
  </r>
  <r>
    <s v="O103872"/>
    <x v="256"/>
    <x v="0"/>
    <x v="0"/>
    <x v="3"/>
    <x v="0"/>
    <n v="1"/>
    <n v="530628"/>
    <d v="2025-08-24T00:00:00"/>
    <n v="8"/>
    <n v="24"/>
    <n v="2025"/>
    <x v="8"/>
    <s v="Q3"/>
    <x v="3"/>
  </r>
  <r>
    <s v="O111215"/>
    <x v="99"/>
    <x v="10"/>
    <x v="5"/>
    <x v="1"/>
    <x v="0"/>
    <n v="4"/>
    <n v="530365"/>
    <d v="2026-11-13T00:00:00"/>
    <n v="11"/>
    <n v="13"/>
    <n v="2026"/>
    <x v="0"/>
    <s v="Q4"/>
    <x v="1"/>
  </r>
  <r>
    <s v="O100548"/>
    <x v="675"/>
    <x v="3"/>
    <x v="2"/>
    <x v="0"/>
    <x v="0"/>
    <n v="2"/>
    <n v="530249"/>
    <d v="2025-03-02T00:00:00"/>
    <n v="3"/>
    <n v="2"/>
    <n v="2025"/>
    <x v="5"/>
    <s v="Q1"/>
    <x v="0"/>
  </r>
  <r>
    <s v="O108353"/>
    <x v="321"/>
    <x v="0"/>
    <x v="5"/>
    <x v="2"/>
    <x v="1"/>
    <n v="4"/>
    <n v="530173"/>
    <d v="2026-05-23T00:00:00"/>
    <n v="5"/>
    <n v="23"/>
    <n v="2026"/>
    <x v="3"/>
    <s v="Q2"/>
    <x v="2"/>
  </r>
  <r>
    <s v="O109373"/>
    <x v="347"/>
    <x v="5"/>
    <x v="0"/>
    <x v="1"/>
    <x v="1"/>
    <n v="1"/>
    <n v="530112"/>
    <d v="2026-07-24T00:00:00"/>
    <n v="7"/>
    <n v="24"/>
    <n v="2026"/>
    <x v="10"/>
    <s v="Q3"/>
    <x v="1"/>
  </r>
  <r>
    <s v="O109908"/>
    <x v="537"/>
    <x v="10"/>
    <x v="0"/>
    <x v="1"/>
    <x v="3"/>
    <n v="1"/>
    <n v="529987"/>
    <d v="2026-08-25T00:00:00"/>
    <n v="8"/>
    <n v="25"/>
    <n v="2026"/>
    <x v="8"/>
    <s v="Q3"/>
    <x v="1"/>
  </r>
  <r>
    <s v="O110746"/>
    <x v="497"/>
    <x v="6"/>
    <x v="2"/>
    <x v="4"/>
    <x v="0"/>
    <n v="2"/>
    <n v="529974"/>
    <d v="2026-10-15T00:00:00"/>
    <n v="10"/>
    <n v="15"/>
    <n v="2026"/>
    <x v="9"/>
    <s v="Q4"/>
    <x v="4"/>
  </r>
  <r>
    <s v="O111644"/>
    <x v="708"/>
    <x v="3"/>
    <x v="4"/>
    <x v="0"/>
    <x v="1"/>
    <n v="3"/>
    <n v="528327"/>
    <d v="2026-09-12T00:00:00"/>
    <n v="9"/>
    <n v="12"/>
    <n v="2026"/>
    <x v="1"/>
    <s v="Q3"/>
    <x v="0"/>
  </r>
  <r>
    <s v="O105836"/>
    <x v="92"/>
    <x v="8"/>
    <x v="2"/>
    <x v="4"/>
    <x v="1"/>
    <n v="2"/>
    <n v="528212"/>
    <d v="2025-12-21T00:00:00"/>
    <n v="12"/>
    <n v="21"/>
    <n v="2025"/>
    <x v="7"/>
    <s v="Q4"/>
    <x v="4"/>
  </r>
  <r>
    <s v="O111459"/>
    <x v="668"/>
    <x v="1"/>
    <x v="5"/>
    <x v="1"/>
    <x v="3"/>
    <n v="5"/>
    <n v="527845"/>
    <d v="2026-11-28T00:00:00"/>
    <n v="11"/>
    <n v="28"/>
    <n v="2026"/>
    <x v="0"/>
    <s v="Q4"/>
    <x v="1"/>
  </r>
  <r>
    <s v="O108480"/>
    <x v="118"/>
    <x v="9"/>
    <x v="3"/>
    <x v="4"/>
    <x v="1"/>
    <n v="3"/>
    <n v="527635"/>
    <d v="2026-05-31T00:00:00"/>
    <n v="5"/>
    <n v="31"/>
    <n v="2026"/>
    <x v="3"/>
    <s v="Q2"/>
    <x v="4"/>
  </r>
  <r>
    <s v="O110032"/>
    <x v="358"/>
    <x v="10"/>
    <x v="3"/>
    <x v="0"/>
    <x v="2"/>
    <n v="2"/>
    <n v="527604"/>
    <d v="2026-02-09T00:00:00"/>
    <n v="2"/>
    <n v="9"/>
    <n v="2026"/>
    <x v="4"/>
    <s v="Q1"/>
    <x v="0"/>
  </r>
  <r>
    <s v="O111883"/>
    <x v="46"/>
    <x v="8"/>
    <x v="0"/>
    <x v="2"/>
    <x v="0"/>
    <n v="1"/>
    <n v="527096"/>
    <d v="2026-12-23T00:00:00"/>
    <n v="12"/>
    <n v="23"/>
    <n v="2026"/>
    <x v="7"/>
    <s v="Q4"/>
    <x v="2"/>
  </r>
  <r>
    <s v="O109979"/>
    <x v="357"/>
    <x v="2"/>
    <x v="3"/>
    <x v="0"/>
    <x v="3"/>
    <n v="2"/>
    <n v="526450"/>
    <d v="2026-08-30T00:00:00"/>
    <n v="8"/>
    <n v="30"/>
    <n v="2026"/>
    <x v="8"/>
    <s v="Q3"/>
    <x v="0"/>
  </r>
  <r>
    <s v="O105677"/>
    <x v="637"/>
    <x v="2"/>
    <x v="2"/>
    <x v="2"/>
    <x v="3"/>
    <n v="2"/>
    <n v="526387"/>
    <d v="2025-11-12T00:00:00"/>
    <n v="11"/>
    <n v="12"/>
    <n v="2025"/>
    <x v="0"/>
    <s v="Q4"/>
    <x v="2"/>
  </r>
  <r>
    <s v="O102908"/>
    <x v="362"/>
    <x v="9"/>
    <x v="0"/>
    <x v="3"/>
    <x v="1"/>
    <n v="1"/>
    <n v="525867"/>
    <d v="2025-06-26T00:00:00"/>
    <n v="6"/>
    <n v="26"/>
    <n v="2025"/>
    <x v="2"/>
    <s v="Q2"/>
    <x v="3"/>
  </r>
  <r>
    <s v="O105439"/>
    <x v="25"/>
    <x v="10"/>
    <x v="0"/>
    <x v="1"/>
    <x v="2"/>
    <n v="1"/>
    <n v="525472"/>
    <d v="2025-11-27T00:00:00"/>
    <n v="11"/>
    <n v="27"/>
    <n v="2025"/>
    <x v="0"/>
    <s v="Q4"/>
    <x v="1"/>
  </r>
  <r>
    <s v="O109924"/>
    <x v="471"/>
    <x v="4"/>
    <x v="2"/>
    <x v="1"/>
    <x v="3"/>
    <n v="2"/>
    <n v="525140"/>
    <d v="2026-08-26T00:00:00"/>
    <n v="8"/>
    <n v="26"/>
    <n v="2026"/>
    <x v="8"/>
    <s v="Q3"/>
    <x v="1"/>
  </r>
  <r>
    <s v="O101516"/>
    <x v="449"/>
    <x v="0"/>
    <x v="0"/>
    <x v="3"/>
    <x v="0"/>
    <n v="1"/>
    <n v="524852"/>
    <d v="2025-03-04T00:00:00"/>
    <n v="3"/>
    <n v="4"/>
    <n v="2025"/>
    <x v="5"/>
    <s v="Q1"/>
    <x v="3"/>
  </r>
  <r>
    <s v="O111197"/>
    <x v="324"/>
    <x v="3"/>
    <x v="5"/>
    <x v="0"/>
    <x v="2"/>
    <n v="4"/>
    <n v="524694"/>
    <d v="2026-12-11T00:00:00"/>
    <n v="12"/>
    <n v="11"/>
    <n v="2026"/>
    <x v="7"/>
    <m/>
    <x v="0"/>
  </r>
  <r>
    <s v="O110110"/>
    <x v="757"/>
    <x v="4"/>
    <x v="0"/>
    <x v="2"/>
    <x v="1"/>
    <n v="1"/>
    <n v="524665"/>
    <d v="2026-07-09T00:00:00"/>
    <n v="7"/>
    <n v="9"/>
    <n v="2026"/>
    <x v="10"/>
    <s v="Q3"/>
    <x v="2"/>
  </r>
  <r>
    <s v="O100204"/>
    <x v="660"/>
    <x v="5"/>
    <x v="5"/>
    <x v="3"/>
    <x v="3"/>
    <n v="4"/>
    <n v="524337"/>
    <d v="2025-01-13T00:00:00"/>
    <n v="1"/>
    <n v="13"/>
    <n v="2025"/>
    <x v="6"/>
    <s v="Q1"/>
    <x v="3"/>
  </r>
  <r>
    <s v="O111290"/>
    <x v="380"/>
    <x v="9"/>
    <x v="4"/>
    <x v="2"/>
    <x v="1"/>
    <n v="3"/>
    <n v="522721"/>
    <d v="2026-11-17T00:00:00"/>
    <n v="11"/>
    <n v="17"/>
    <n v="2026"/>
    <x v="0"/>
    <s v="Q4"/>
    <x v="2"/>
  </r>
  <r>
    <s v="O110357"/>
    <x v="609"/>
    <x v="3"/>
    <x v="4"/>
    <x v="2"/>
    <x v="3"/>
    <n v="3"/>
    <n v="522718"/>
    <d v="2026-09-22T00:00:00"/>
    <n v="9"/>
    <n v="22"/>
    <n v="2026"/>
    <x v="1"/>
    <s v="Q3"/>
    <x v="2"/>
  </r>
  <r>
    <s v="O101203"/>
    <x v="196"/>
    <x v="9"/>
    <x v="0"/>
    <x v="1"/>
    <x v="2"/>
    <n v="1"/>
    <n v="522381"/>
    <d v="2025-03-15T00:00:00"/>
    <n v="3"/>
    <n v="15"/>
    <n v="2025"/>
    <x v="5"/>
    <s v="Q1"/>
    <x v="1"/>
  </r>
  <r>
    <s v="O104672"/>
    <x v="508"/>
    <x v="6"/>
    <x v="5"/>
    <x v="4"/>
    <x v="0"/>
    <n v="4"/>
    <n v="521955"/>
    <d v="2025-11-10T00:00:00"/>
    <n v="11"/>
    <n v="10"/>
    <n v="2025"/>
    <x v="0"/>
    <s v="Q4"/>
    <x v="4"/>
  </r>
  <r>
    <s v="O106514"/>
    <x v="379"/>
    <x v="10"/>
    <x v="4"/>
    <x v="4"/>
    <x v="3"/>
    <n v="3"/>
    <n v="521927"/>
    <d v="2026-01-31T00:00:00"/>
    <n v="1"/>
    <n v="31"/>
    <n v="2026"/>
    <x v="6"/>
    <s v="Q1"/>
    <x v="4"/>
  </r>
  <r>
    <s v="O105984"/>
    <x v="588"/>
    <x v="1"/>
    <x v="0"/>
    <x v="1"/>
    <x v="1"/>
    <n v="1"/>
    <n v="521374"/>
    <d v="2025-12-30T00:00:00"/>
    <n v="12"/>
    <n v="30"/>
    <n v="2025"/>
    <x v="7"/>
    <s v="Q4"/>
    <x v="1"/>
  </r>
  <r>
    <s v="O107678"/>
    <x v="76"/>
    <x v="10"/>
    <x v="3"/>
    <x v="0"/>
    <x v="2"/>
    <n v="3"/>
    <n v="521364"/>
    <d v="2026-12-04T00:00:00"/>
    <n v="12"/>
    <n v="4"/>
    <n v="2026"/>
    <x v="7"/>
    <s v="Q4"/>
    <x v="0"/>
  </r>
  <r>
    <s v="O100447"/>
    <x v="372"/>
    <x v="5"/>
    <x v="3"/>
    <x v="0"/>
    <x v="3"/>
    <n v="3"/>
    <n v="521095"/>
    <d v="2025-01-28T00:00:00"/>
    <n v="1"/>
    <n v="28"/>
    <n v="2025"/>
    <x v="6"/>
    <s v="Q1"/>
    <x v="0"/>
  </r>
  <r>
    <s v="O106583"/>
    <x v="693"/>
    <x v="10"/>
    <x v="4"/>
    <x v="4"/>
    <x v="0"/>
    <n v="3"/>
    <n v="521089"/>
    <d v="2026-04-02T00:00:00"/>
    <n v="4"/>
    <n v="2"/>
    <n v="2026"/>
    <x v="11"/>
    <s v="Q2"/>
    <x v="4"/>
  </r>
  <r>
    <s v="O106240"/>
    <x v="314"/>
    <x v="5"/>
    <x v="5"/>
    <x v="6"/>
    <x v="3"/>
    <n v="4"/>
    <n v="520991"/>
    <d v="2026-01-15T00:00:00"/>
    <n v="1"/>
    <n v="15"/>
    <n v="2026"/>
    <x v="6"/>
    <s v="Q1"/>
    <x v="4"/>
  </r>
  <r>
    <s v="O110601"/>
    <x v="11"/>
    <x v="1"/>
    <x v="0"/>
    <x v="3"/>
    <x v="1"/>
    <n v="1"/>
    <n v="520957"/>
    <d v="2026-07-10T00:00:00"/>
    <n v="7"/>
    <n v="10"/>
    <n v="2026"/>
    <x v="10"/>
    <s v="Q3"/>
    <x v="3"/>
  </r>
  <r>
    <s v="O107392"/>
    <x v="508"/>
    <x v="0"/>
    <x v="0"/>
    <x v="4"/>
    <x v="0"/>
    <n v="1"/>
    <n v="520636"/>
    <d v="2026-03-26T00:00:00"/>
    <n v="3"/>
    <n v="26"/>
    <n v="2026"/>
    <x v="5"/>
    <s v="Q1"/>
    <x v="4"/>
  </r>
  <r>
    <s v="O103920"/>
    <x v="57"/>
    <x v="5"/>
    <x v="4"/>
    <x v="0"/>
    <x v="0"/>
    <n v="3"/>
    <n v="520318"/>
    <d v="2025-08-27T00:00:00"/>
    <n v="8"/>
    <n v="27"/>
    <n v="2025"/>
    <x v="8"/>
    <s v="Q3"/>
    <x v="0"/>
  </r>
  <r>
    <s v="O100242"/>
    <x v="191"/>
    <x v="4"/>
    <x v="3"/>
    <x v="0"/>
    <x v="2"/>
    <n v="2"/>
    <n v="520238"/>
    <d v="2025-01-15T00:00:00"/>
    <n v="1"/>
    <n v="15"/>
    <n v="2025"/>
    <x v="6"/>
    <s v="Q1"/>
    <x v="0"/>
  </r>
  <r>
    <s v="O102882"/>
    <x v="47"/>
    <x v="4"/>
    <x v="5"/>
    <x v="1"/>
    <x v="2"/>
    <n v="4"/>
    <n v="520068"/>
    <d v="2025-06-25T00:00:00"/>
    <n v="6"/>
    <n v="25"/>
    <n v="2025"/>
    <x v="2"/>
    <s v="Q2"/>
    <x v="1"/>
  </r>
  <r>
    <s v="O103010"/>
    <x v="595"/>
    <x v="9"/>
    <x v="0"/>
    <x v="1"/>
    <x v="0"/>
    <n v="1"/>
    <n v="520045"/>
    <d v="2025-02-07T00:00:00"/>
    <n v="2"/>
    <n v="7"/>
    <n v="2025"/>
    <x v="4"/>
    <s v="Q1"/>
    <x v="1"/>
  </r>
  <r>
    <s v="O100011"/>
    <x v="256"/>
    <x v="3"/>
    <x v="0"/>
    <x v="1"/>
    <x v="3"/>
    <n v="1"/>
    <n v="519938"/>
    <d v="2025-01-01T00:00:00"/>
    <n v="1"/>
    <n v="1"/>
    <n v="2025"/>
    <x v="6"/>
    <s v="Q1"/>
    <x v="1"/>
  </r>
  <r>
    <s v="O111311"/>
    <x v="7"/>
    <x v="1"/>
    <x v="0"/>
    <x v="1"/>
    <x v="1"/>
    <n v="1"/>
    <n v="519771"/>
    <d v="2026-11-19T00:00:00"/>
    <n v="11"/>
    <n v="19"/>
    <n v="2026"/>
    <x v="0"/>
    <s v="Q4"/>
    <x v="1"/>
  </r>
  <r>
    <s v="O110867"/>
    <x v="197"/>
    <x v="10"/>
    <x v="0"/>
    <x v="1"/>
    <x v="2"/>
    <n v="1"/>
    <n v="519601"/>
    <d v="2026-10-23T00:00:00"/>
    <n v="10"/>
    <n v="23"/>
    <n v="2026"/>
    <x v="9"/>
    <s v="Q4"/>
    <x v="1"/>
  </r>
  <r>
    <s v="O104946"/>
    <x v="311"/>
    <x v="10"/>
    <x v="3"/>
    <x v="3"/>
    <x v="1"/>
    <n v="3"/>
    <n v="519491"/>
    <d v="2025-10-28T00:00:00"/>
    <n v="10"/>
    <n v="28"/>
    <n v="2025"/>
    <x v="9"/>
    <s v="Q4"/>
    <x v="3"/>
  </r>
  <r>
    <s v="O101627"/>
    <x v="243"/>
    <x v="6"/>
    <x v="0"/>
    <x v="3"/>
    <x v="1"/>
    <n v="1"/>
    <n v="519433"/>
    <d v="2025-09-04T00:00:00"/>
    <n v="9"/>
    <n v="4"/>
    <n v="2025"/>
    <x v="1"/>
    <s v="Q3"/>
    <x v="3"/>
  </r>
  <r>
    <s v="O109088"/>
    <x v="374"/>
    <x v="2"/>
    <x v="3"/>
    <x v="2"/>
    <x v="1"/>
    <n v="2"/>
    <n v="519265"/>
    <d v="2026-07-07T00:00:00"/>
    <n v="7"/>
    <n v="7"/>
    <n v="2026"/>
    <x v="10"/>
    <s v="Q3"/>
    <x v="2"/>
  </r>
  <r>
    <s v="O111330"/>
    <x v="400"/>
    <x v="9"/>
    <x v="0"/>
    <x v="2"/>
    <x v="3"/>
    <n v="1"/>
    <n v="518907"/>
    <d v="2026-11-20T00:00:00"/>
    <n v="11"/>
    <n v="20"/>
    <n v="2026"/>
    <x v="0"/>
    <s v="Q4"/>
    <x v="2"/>
  </r>
  <r>
    <s v="O108822"/>
    <x v="57"/>
    <x v="9"/>
    <x v="3"/>
    <x v="1"/>
    <x v="3"/>
    <n v="3"/>
    <n v="518839"/>
    <d v="2026-06-20T00:00:00"/>
    <n v="6"/>
    <n v="20"/>
    <n v="2026"/>
    <x v="2"/>
    <s v="Q2"/>
    <x v="1"/>
  </r>
  <r>
    <s v="O105607"/>
    <x v="567"/>
    <x v="9"/>
    <x v="5"/>
    <x v="2"/>
    <x v="2"/>
    <n v="4"/>
    <n v="518754"/>
    <d v="2025-07-12T00:00:00"/>
    <n v="7"/>
    <n v="12"/>
    <n v="2025"/>
    <x v="10"/>
    <s v="Q3"/>
    <x v="2"/>
  </r>
  <r>
    <s v="O109863"/>
    <x v="772"/>
    <x v="8"/>
    <x v="3"/>
    <x v="2"/>
    <x v="2"/>
    <n v="2"/>
    <n v="518535"/>
    <d v="2026-08-23T00:00:00"/>
    <n v="8"/>
    <n v="23"/>
    <n v="2026"/>
    <x v="8"/>
    <s v="Q3"/>
    <x v="2"/>
  </r>
  <r>
    <s v="O109807"/>
    <x v="324"/>
    <x v="0"/>
    <x v="4"/>
    <x v="2"/>
    <x v="1"/>
    <n v="3"/>
    <n v="518459"/>
    <d v="2026-08-19T00:00:00"/>
    <n v="8"/>
    <n v="19"/>
    <n v="2026"/>
    <x v="8"/>
    <m/>
    <x v="2"/>
  </r>
  <r>
    <s v="O111322"/>
    <x v="98"/>
    <x v="0"/>
    <x v="2"/>
    <x v="3"/>
    <x v="1"/>
    <n v="2"/>
    <n v="518299"/>
    <d v="2026-11-19T00:00:00"/>
    <n v="11"/>
    <n v="19"/>
    <n v="2026"/>
    <x v="0"/>
    <s v="Q4"/>
    <x v="3"/>
  </r>
  <r>
    <s v="O111371"/>
    <x v="108"/>
    <x v="0"/>
    <x v="3"/>
    <x v="4"/>
    <x v="4"/>
    <n v="2"/>
    <n v="517707"/>
    <d v="2026-11-22T00:00:00"/>
    <n v="11"/>
    <n v="22"/>
    <n v="2026"/>
    <x v="0"/>
    <s v="Q4"/>
    <x v="4"/>
  </r>
  <r>
    <s v="O108435"/>
    <x v="284"/>
    <x v="3"/>
    <x v="3"/>
    <x v="0"/>
    <x v="3"/>
    <n v="2"/>
    <n v="517428"/>
    <d v="2026-05-28T00:00:00"/>
    <n v="5"/>
    <n v="28"/>
    <n v="2026"/>
    <x v="3"/>
    <s v="Q2"/>
    <x v="0"/>
  </r>
  <r>
    <s v="O104272"/>
    <x v="132"/>
    <x v="4"/>
    <x v="3"/>
    <x v="0"/>
    <x v="0"/>
    <n v="2"/>
    <n v="517357"/>
    <d v="2025-09-17T00:00:00"/>
    <n v="9"/>
    <n v="17"/>
    <n v="2025"/>
    <x v="1"/>
    <s v="Q3"/>
    <x v="0"/>
  </r>
  <r>
    <s v="O107880"/>
    <x v="126"/>
    <x v="6"/>
    <x v="0"/>
    <x v="4"/>
    <x v="2"/>
    <n v="1"/>
    <n v="517264"/>
    <d v="2026-04-24T00:00:00"/>
    <n v="4"/>
    <n v="24"/>
    <n v="2026"/>
    <x v="11"/>
    <s v="Q2"/>
    <x v="4"/>
  </r>
  <r>
    <s v="O101051"/>
    <x v="260"/>
    <x v="9"/>
    <x v="5"/>
    <x v="3"/>
    <x v="2"/>
    <n v="5"/>
    <n v="517079"/>
    <d v="2025-05-03T00:00:00"/>
    <n v="5"/>
    <n v="3"/>
    <n v="2025"/>
    <x v="3"/>
    <s v="Q2"/>
    <x v="3"/>
  </r>
  <r>
    <s v="O101369"/>
    <x v="209"/>
    <x v="1"/>
    <x v="0"/>
    <x v="0"/>
    <x v="1"/>
    <n v="1"/>
    <n v="516861"/>
    <d v="2025-03-25T00:00:00"/>
    <n v="3"/>
    <n v="25"/>
    <n v="2025"/>
    <x v="5"/>
    <s v="Q1"/>
    <x v="0"/>
  </r>
  <r>
    <s v="O103547"/>
    <x v="187"/>
    <x v="4"/>
    <x v="0"/>
    <x v="0"/>
    <x v="0"/>
    <n v="1"/>
    <n v="516768"/>
    <d v="2025-04-08T00:00:00"/>
    <n v="4"/>
    <n v="8"/>
    <n v="2025"/>
    <x v="11"/>
    <s v="Q2"/>
    <x v="0"/>
  </r>
  <r>
    <s v="O100898"/>
    <x v="652"/>
    <x v="0"/>
    <x v="5"/>
    <x v="4"/>
    <x v="3"/>
    <n v="4"/>
    <n v="516623"/>
    <d v="2025-02-24T00:00:00"/>
    <n v="2"/>
    <n v="24"/>
    <n v="2025"/>
    <x v="4"/>
    <s v="Q1"/>
    <x v="4"/>
  </r>
  <r>
    <s v="O109294"/>
    <x v="674"/>
    <x v="2"/>
    <x v="2"/>
    <x v="3"/>
    <x v="1"/>
    <n v="2"/>
    <n v="516391"/>
    <d v="2026-07-19T00:00:00"/>
    <n v="7"/>
    <n v="19"/>
    <n v="2026"/>
    <x v="10"/>
    <s v="Q3"/>
    <x v="3"/>
  </r>
  <r>
    <s v="O101216"/>
    <x v="110"/>
    <x v="1"/>
    <x v="0"/>
    <x v="4"/>
    <x v="2"/>
    <n v="1"/>
    <n v="516045"/>
    <d v="2025-03-15T00:00:00"/>
    <n v="3"/>
    <n v="15"/>
    <n v="2025"/>
    <x v="5"/>
    <s v="Q1"/>
    <x v="4"/>
  </r>
  <r>
    <s v="O100438"/>
    <x v="730"/>
    <x v="0"/>
    <x v="5"/>
    <x v="1"/>
    <x v="1"/>
    <n v="5"/>
    <n v="515975"/>
    <d v="2025-01-27T00:00:00"/>
    <n v="1"/>
    <n v="27"/>
    <n v="2025"/>
    <x v="6"/>
    <s v="Q1"/>
    <x v="1"/>
  </r>
  <r>
    <s v="O101449"/>
    <x v="287"/>
    <x v="5"/>
    <x v="3"/>
    <x v="4"/>
    <x v="1"/>
    <n v="2"/>
    <n v="515820"/>
    <d v="2025-03-29T00:00:00"/>
    <n v="3"/>
    <n v="29"/>
    <n v="2025"/>
    <x v="5"/>
    <s v="Q1"/>
    <x v="4"/>
  </r>
  <r>
    <s v="O110335"/>
    <x v="621"/>
    <x v="0"/>
    <x v="0"/>
    <x v="2"/>
    <x v="0"/>
    <n v="1"/>
    <n v="515667"/>
    <d v="2026-09-20T00:00:00"/>
    <n v="9"/>
    <n v="20"/>
    <n v="2026"/>
    <x v="1"/>
    <s v="Q3"/>
    <x v="2"/>
  </r>
  <r>
    <s v="O103769"/>
    <x v="750"/>
    <x v="1"/>
    <x v="0"/>
    <x v="0"/>
    <x v="0"/>
    <n v="1"/>
    <n v="515349"/>
    <d v="2025-08-17T00:00:00"/>
    <n v="8"/>
    <n v="17"/>
    <n v="2025"/>
    <x v="8"/>
    <s v="Q3"/>
    <x v="0"/>
  </r>
  <r>
    <s v="O105111"/>
    <x v="719"/>
    <x v="8"/>
    <x v="3"/>
    <x v="3"/>
    <x v="0"/>
    <n v="2"/>
    <n v="515217"/>
    <d v="2025-07-11T00:00:00"/>
    <n v="7"/>
    <n v="11"/>
    <n v="2025"/>
    <x v="10"/>
    <s v="Q3"/>
    <x v="3"/>
  </r>
  <r>
    <s v="O109552"/>
    <x v="672"/>
    <x v="0"/>
    <x v="3"/>
    <x v="1"/>
    <x v="1"/>
    <n v="2"/>
    <n v="514791"/>
    <d v="2026-04-08T00:00:00"/>
    <n v="4"/>
    <n v="8"/>
    <n v="2026"/>
    <x v="11"/>
    <s v="Q2"/>
    <x v="1"/>
  </r>
  <r>
    <s v="O104718"/>
    <x v="693"/>
    <x v="2"/>
    <x v="3"/>
    <x v="2"/>
    <x v="1"/>
    <n v="3"/>
    <n v="514437"/>
    <d v="2025-10-14T00:00:00"/>
    <n v="10"/>
    <n v="14"/>
    <n v="2025"/>
    <x v="9"/>
    <s v="Q4"/>
    <x v="2"/>
  </r>
  <r>
    <s v="O106474"/>
    <x v="591"/>
    <x v="5"/>
    <x v="3"/>
    <x v="4"/>
    <x v="2"/>
    <n v="3"/>
    <n v="514417"/>
    <d v="2026-01-29T00:00:00"/>
    <n v="1"/>
    <n v="29"/>
    <n v="2026"/>
    <x v="6"/>
    <s v="Q1"/>
    <x v="4"/>
  </r>
  <r>
    <s v="O106836"/>
    <x v="567"/>
    <x v="3"/>
    <x v="0"/>
    <x v="2"/>
    <x v="3"/>
    <n v="1"/>
    <n v="514188"/>
    <d v="2026-02-20T00:00:00"/>
    <n v="2"/>
    <n v="20"/>
    <n v="2026"/>
    <x v="4"/>
    <s v="Q1"/>
    <x v="2"/>
  </r>
  <r>
    <s v="O103832"/>
    <x v="522"/>
    <x v="10"/>
    <x v="4"/>
    <x v="0"/>
    <x v="3"/>
    <n v="3"/>
    <n v="514153"/>
    <d v="2025-08-21T00:00:00"/>
    <n v="8"/>
    <n v="21"/>
    <n v="2025"/>
    <x v="8"/>
    <s v="Q3"/>
    <x v="0"/>
  </r>
  <r>
    <s v="O105298"/>
    <x v="287"/>
    <x v="1"/>
    <x v="2"/>
    <x v="2"/>
    <x v="3"/>
    <n v="2"/>
    <n v="514137"/>
    <d v="2025-11-18T00:00:00"/>
    <n v="11"/>
    <n v="18"/>
    <n v="2025"/>
    <x v="0"/>
    <s v="Q4"/>
    <x v="2"/>
  </r>
  <r>
    <s v="O103395"/>
    <x v="102"/>
    <x v="5"/>
    <x v="5"/>
    <x v="4"/>
    <x v="0"/>
    <n v="4"/>
    <n v="514073"/>
    <d v="2025-07-26T00:00:00"/>
    <n v="7"/>
    <n v="26"/>
    <n v="2025"/>
    <x v="10"/>
    <s v="Q3"/>
    <x v="4"/>
  </r>
  <r>
    <s v="O100381"/>
    <x v="192"/>
    <x v="5"/>
    <x v="0"/>
    <x v="3"/>
    <x v="1"/>
    <n v="1"/>
    <n v="513908"/>
    <d v="2025-01-24T00:00:00"/>
    <n v="1"/>
    <n v="24"/>
    <n v="2025"/>
    <x v="6"/>
    <s v="Q1"/>
    <x v="3"/>
  </r>
  <r>
    <s v="O111027"/>
    <x v="454"/>
    <x v="10"/>
    <x v="0"/>
    <x v="4"/>
    <x v="0"/>
    <n v="1"/>
    <n v="513682"/>
    <d v="2026-01-11T00:00:00"/>
    <n v="1"/>
    <n v="11"/>
    <n v="2026"/>
    <x v="6"/>
    <s v="Q1"/>
    <x v="4"/>
  </r>
  <r>
    <s v="O109684"/>
    <x v="24"/>
    <x v="9"/>
    <x v="5"/>
    <x v="0"/>
    <x v="0"/>
    <n v="4"/>
    <n v="513192"/>
    <d v="2026-12-08T00:00:00"/>
    <n v="12"/>
    <n v="8"/>
    <n v="2026"/>
    <x v="7"/>
    <s v="Q4"/>
    <x v="0"/>
  </r>
  <r>
    <s v="O104972"/>
    <x v="335"/>
    <x v="10"/>
    <x v="5"/>
    <x v="1"/>
    <x v="3"/>
    <n v="5"/>
    <n v="513131"/>
    <d v="2025-10-30T00:00:00"/>
    <n v="10"/>
    <n v="30"/>
    <n v="2025"/>
    <x v="9"/>
    <s v="Q4"/>
    <x v="1"/>
  </r>
  <r>
    <s v="O102223"/>
    <x v="114"/>
    <x v="3"/>
    <x v="0"/>
    <x v="0"/>
    <x v="1"/>
    <n v="1"/>
    <n v="513115"/>
    <d v="2025-05-15T00:00:00"/>
    <n v="5"/>
    <n v="15"/>
    <n v="2025"/>
    <x v="3"/>
    <s v="Q2"/>
    <x v="0"/>
  </r>
  <r>
    <s v="O111612"/>
    <x v="221"/>
    <x v="8"/>
    <x v="0"/>
    <x v="0"/>
    <x v="0"/>
    <n v="1"/>
    <n v="513102"/>
    <d v="2026-07-12T00:00:00"/>
    <n v="7"/>
    <n v="12"/>
    <n v="2026"/>
    <x v="10"/>
    <s v="Q3"/>
    <x v="0"/>
  </r>
  <r>
    <s v="O102707"/>
    <x v="417"/>
    <x v="0"/>
    <x v="0"/>
    <x v="2"/>
    <x v="1"/>
    <n v="1"/>
    <n v="513048"/>
    <d v="2025-06-14T00:00:00"/>
    <n v="6"/>
    <n v="14"/>
    <n v="2025"/>
    <x v="2"/>
    <s v="Q2"/>
    <x v="2"/>
  </r>
  <r>
    <s v="O103138"/>
    <x v="18"/>
    <x v="4"/>
    <x v="4"/>
    <x v="4"/>
    <x v="2"/>
    <n v="3"/>
    <n v="512721"/>
    <d v="2025-10-07T00:00:00"/>
    <n v="10"/>
    <n v="7"/>
    <n v="2025"/>
    <x v="9"/>
    <s v="Q4"/>
    <x v="4"/>
  </r>
  <r>
    <s v="O106273"/>
    <x v="282"/>
    <x v="4"/>
    <x v="0"/>
    <x v="4"/>
    <x v="0"/>
    <n v="1"/>
    <n v="512584"/>
    <d v="2026-01-17T00:00:00"/>
    <n v="1"/>
    <n v="17"/>
    <n v="2026"/>
    <x v="6"/>
    <s v="Q1"/>
    <x v="4"/>
  </r>
  <r>
    <s v="O102612"/>
    <x v="305"/>
    <x v="10"/>
    <x v="0"/>
    <x v="2"/>
    <x v="1"/>
    <n v="1"/>
    <n v="512233"/>
    <d v="2025-08-06T00:00:00"/>
    <n v="8"/>
    <n v="6"/>
    <n v="2025"/>
    <x v="8"/>
    <s v="Q3"/>
    <x v="2"/>
  </r>
  <r>
    <s v="O106741"/>
    <x v="62"/>
    <x v="3"/>
    <x v="0"/>
    <x v="3"/>
    <x v="2"/>
    <n v="1"/>
    <n v="512192"/>
    <d v="2026-02-14T00:00:00"/>
    <n v="2"/>
    <n v="14"/>
    <n v="2026"/>
    <x v="4"/>
    <s v="Q1"/>
    <x v="3"/>
  </r>
  <r>
    <s v="O111620"/>
    <x v="275"/>
    <x v="2"/>
    <x v="0"/>
    <x v="2"/>
    <x v="1"/>
    <n v="1"/>
    <n v="512071"/>
    <d v="2026-07-12T00:00:00"/>
    <n v="7"/>
    <n v="12"/>
    <n v="2026"/>
    <x v="10"/>
    <s v="Q3"/>
    <x v="2"/>
  </r>
  <r>
    <s v="O104144"/>
    <x v="420"/>
    <x v="8"/>
    <x v="5"/>
    <x v="3"/>
    <x v="2"/>
    <n v="5"/>
    <n v="511892"/>
    <d v="2025-09-09T00:00:00"/>
    <n v="9"/>
    <n v="9"/>
    <n v="2025"/>
    <x v="1"/>
    <s v="Q3"/>
    <x v="3"/>
  </r>
  <r>
    <s v="O100665"/>
    <x v="701"/>
    <x v="4"/>
    <x v="0"/>
    <x v="3"/>
    <x v="0"/>
    <n v="1"/>
    <n v="511782"/>
    <d v="2025-10-02T00:00:00"/>
    <n v="10"/>
    <n v="2"/>
    <n v="2025"/>
    <x v="9"/>
    <s v="Q4"/>
    <x v="3"/>
  </r>
  <r>
    <s v="O104367"/>
    <x v="781"/>
    <x v="1"/>
    <x v="0"/>
    <x v="1"/>
    <x v="2"/>
    <n v="1"/>
    <n v="511307"/>
    <d v="2025-09-23T00:00:00"/>
    <n v="9"/>
    <n v="23"/>
    <n v="2025"/>
    <x v="1"/>
    <s v="Q3"/>
    <x v="1"/>
  </r>
  <r>
    <s v="O105072"/>
    <x v="94"/>
    <x v="8"/>
    <x v="4"/>
    <x v="1"/>
    <x v="1"/>
    <n v="3"/>
    <n v="511039"/>
    <d v="2025-05-11T00:00:00"/>
    <n v="5"/>
    <n v="11"/>
    <n v="2025"/>
    <x v="3"/>
    <s v="Q2"/>
    <x v="1"/>
  </r>
  <r>
    <s v="O100338"/>
    <x v="783"/>
    <x v="2"/>
    <x v="4"/>
    <x v="1"/>
    <x v="3"/>
    <n v="3"/>
    <n v="510584"/>
    <d v="2025-01-21T00:00:00"/>
    <n v="1"/>
    <n v="21"/>
    <n v="2025"/>
    <x v="6"/>
    <s v="Q1"/>
    <x v="1"/>
  </r>
  <r>
    <s v="O109107"/>
    <x v="660"/>
    <x v="8"/>
    <x v="0"/>
    <x v="0"/>
    <x v="3"/>
    <n v="1"/>
    <n v="510103"/>
    <d v="2026-08-07T00:00:00"/>
    <n v="8"/>
    <n v="7"/>
    <n v="2026"/>
    <x v="8"/>
    <m/>
    <x v="0"/>
  </r>
  <r>
    <s v="O101123"/>
    <x v="146"/>
    <x v="6"/>
    <x v="5"/>
    <x v="6"/>
    <x v="0"/>
    <n v="5"/>
    <n v="510076"/>
    <d v="2025-10-03T00:00:00"/>
    <n v="10"/>
    <n v="3"/>
    <n v="2025"/>
    <x v="9"/>
    <s v="Q4"/>
    <x v="4"/>
  </r>
  <r>
    <s v="O104881"/>
    <x v="299"/>
    <x v="6"/>
    <x v="0"/>
    <x v="3"/>
    <x v="1"/>
    <n v="1"/>
    <n v="509884"/>
    <d v="2025-10-24T00:00:00"/>
    <n v="10"/>
    <n v="24"/>
    <n v="2025"/>
    <x v="9"/>
    <s v="Q4"/>
    <x v="3"/>
  </r>
  <r>
    <s v="O111150"/>
    <x v="642"/>
    <x v="9"/>
    <x v="5"/>
    <x v="3"/>
    <x v="3"/>
    <n v="4"/>
    <n v="509560"/>
    <d v="2026-09-11T00:00:00"/>
    <n v="9"/>
    <n v="11"/>
    <n v="2026"/>
    <x v="1"/>
    <s v="Q3"/>
    <x v="3"/>
  </r>
  <r>
    <s v="O100236"/>
    <x v="371"/>
    <x v="9"/>
    <x v="4"/>
    <x v="4"/>
    <x v="1"/>
    <n v="3"/>
    <n v="509532"/>
    <d v="2025-01-15T00:00:00"/>
    <n v="1"/>
    <n v="15"/>
    <n v="2025"/>
    <x v="6"/>
    <s v="Q1"/>
    <x v="4"/>
  </r>
  <r>
    <s v="O107936"/>
    <x v="493"/>
    <x v="0"/>
    <x v="0"/>
    <x v="3"/>
    <x v="3"/>
    <n v="1"/>
    <n v="509036"/>
    <d v="2026-04-28T00:00:00"/>
    <n v="4"/>
    <n v="28"/>
    <n v="2026"/>
    <x v="11"/>
    <s v="Q2"/>
    <x v="3"/>
  </r>
  <r>
    <s v="O105320"/>
    <x v="387"/>
    <x v="2"/>
    <x v="2"/>
    <x v="0"/>
    <x v="0"/>
    <n v="2"/>
    <n v="508852"/>
    <d v="2025-11-20T00:00:00"/>
    <n v="11"/>
    <n v="20"/>
    <n v="2025"/>
    <x v="0"/>
    <s v="Q4"/>
    <x v="0"/>
  </r>
  <r>
    <s v="O109179"/>
    <x v="645"/>
    <x v="5"/>
    <x v="2"/>
    <x v="0"/>
    <x v="0"/>
    <n v="2"/>
    <n v="508355"/>
    <d v="2026-12-07T00:00:00"/>
    <n v="12"/>
    <n v="7"/>
    <n v="2026"/>
    <x v="7"/>
    <s v="Q4"/>
    <x v="0"/>
  </r>
  <r>
    <s v="O105897"/>
    <x v="382"/>
    <x v="4"/>
    <x v="3"/>
    <x v="0"/>
    <x v="2"/>
    <n v="2"/>
    <n v="508300"/>
    <d v="2025-12-25T00:00:00"/>
    <n v="12"/>
    <n v="25"/>
    <n v="2025"/>
    <x v="7"/>
    <s v="Q4"/>
    <x v="0"/>
  </r>
  <r>
    <s v="O109967"/>
    <x v="696"/>
    <x v="4"/>
    <x v="4"/>
    <x v="0"/>
    <x v="1"/>
    <n v="3"/>
    <n v="508271"/>
    <d v="2026-08-29T00:00:00"/>
    <n v="8"/>
    <n v="29"/>
    <n v="2026"/>
    <x v="8"/>
    <s v="Q3"/>
    <x v="0"/>
  </r>
  <r>
    <s v="O107811"/>
    <x v="277"/>
    <x v="9"/>
    <x v="0"/>
    <x v="4"/>
    <x v="0"/>
    <n v="1"/>
    <n v="508143"/>
    <d v="2026-04-20T00:00:00"/>
    <n v="4"/>
    <n v="20"/>
    <n v="2026"/>
    <x v="11"/>
    <s v="Q2"/>
    <x v="4"/>
  </r>
  <r>
    <s v="O104305"/>
    <x v="608"/>
    <x v="10"/>
    <x v="5"/>
    <x v="3"/>
    <x v="3"/>
    <n v="5"/>
    <n v="507788"/>
    <d v="2025-09-19T00:00:00"/>
    <n v="9"/>
    <n v="19"/>
    <n v="2025"/>
    <x v="1"/>
    <s v="Q3"/>
    <x v="3"/>
  </r>
  <r>
    <s v="O100015"/>
    <x v="551"/>
    <x v="6"/>
    <x v="0"/>
    <x v="2"/>
    <x v="1"/>
    <n v="1"/>
    <n v="507767"/>
    <d v="2025-01-01T00:00:00"/>
    <n v="1"/>
    <n v="1"/>
    <n v="2025"/>
    <x v="6"/>
    <s v="Q1"/>
    <x v="2"/>
  </r>
  <r>
    <s v="O111850"/>
    <x v="629"/>
    <x v="9"/>
    <x v="3"/>
    <x v="2"/>
    <x v="2"/>
    <n v="2"/>
    <n v="507672"/>
    <d v="2026-12-21T00:00:00"/>
    <n v="12"/>
    <n v="21"/>
    <n v="2026"/>
    <x v="7"/>
    <s v="Q4"/>
    <x v="2"/>
  </r>
  <r>
    <s v="O100756"/>
    <x v="627"/>
    <x v="5"/>
    <x v="4"/>
    <x v="1"/>
    <x v="1"/>
    <n v="3"/>
    <n v="507240"/>
    <d v="2025-02-15T00:00:00"/>
    <n v="2"/>
    <n v="15"/>
    <n v="2025"/>
    <x v="4"/>
    <s v="Q1"/>
    <x v="1"/>
  </r>
  <r>
    <s v="O102022"/>
    <x v="719"/>
    <x v="4"/>
    <x v="2"/>
    <x v="1"/>
    <x v="0"/>
    <n v="2"/>
    <n v="507177"/>
    <d v="2025-03-05T00:00:00"/>
    <n v="3"/>
    <n v="5"/>
    <n v="2025"/>
    <x v="5"/>
    <s v="Q1"/>
    <x v="1"/>
  </r>
  <r>
    <s v="O104818"/>
    <x v="465"/>
    <x v="9"/>
    <x v="5"/>
    <x v="1"/>
    <x v="2"/>
    <n v="4"/>
    <n v="507165"/>
    <d v="2025-10-20T00:00:00"/>
    <n v="10"/>
    <n v="20"/>
    <n v="2025"/>
    <x v="9"/>
    <s v="Q4"/>
    <x v="1"/>
  </r>
  <r>
    <s v="O101012"/>
    <x v="688"/>
    <x v="9"/>
    <x v="3"/>
    <x v="0"/>
    <x v="2"/>
    <n v="2"/>
    <n v="506125"/>
    <d v="2025-03-03T00:00:00"/>
    <n v="3"/>
    <n v="3"/>
    <n v="2025"/>
    <x v="5"/>
    <s v="Q1"/>
    <x v="0"/>
  </r>
  <r>
    <s v="O105779"/>
    <x v="288"/>
    <x v="8"/>
    <x v="5"/>
    <x v="4"/>
    <x v="2"/>
    <n v="5"/>
    <n v="506093"/>
    <d v="2025-12-18T00:00:00"/>
    <n v="12"/>
    <n v="18"/>
    <n v="2025"/>
    <x v="7"/>
    <s v="Q4"/>
    <x v="4"/>
  </r>
  <r>
    <s v="O110155"/>
    <x v="343"/>
    <x v="3"/>
    <x v="4"/>
    <x v="3"/>
    <x v="1"/>
    <n v="3"/>
    <n v="505604"/>
    <d v="2026-09-09T00:00:00"/>
    <n v="9"/>
    <n v="9"/>
    <n v="2026"/>
    <x v="1"/>
    <s v="Q3"/>
    <x v="3"/>
  </r>
  <r>
    <s v="O108636"/>
    <x v="3"/>
    <x v="5"/>
    <x v="4"/>
    <x v="1"/>
    <x v="0"/>
    <n v="3"/>
    <n v="505372"/>
    <d v="2026-09-06T00:00:00"/>
    <n v="9"/>
    <n v="6"/>
    <n v="2026"/>
    <x v="1"/>
    <s v="Q3"/>
    <x v="1"/>
  </r>
  <r>
    <s v="O107441"/>
    <x v="477"/>
    <x v="3"/>
    <x v="2"/>
    <x v="0"/>
    <x v="0"/>
    <n v="2"/>
    <n v="505005"/>
    <d v="2026-03-29T00:00:00"/>
    <n v="3"/>
    <n v="29"/>
    <n v="2026"/>
    <x v="5"/>
    <s v="Q1"/>
    <x v="0"/>
  </r>
  <r>
    <s v="O105813"/>
    <x v="269"/>
    <x v="2"/>
    <x v="5"/>
    <x v="1"/>
    <x v="0"/>
    <n v="4"/>
    <n v="504555"/>
    <d v="2025-12-20T00:00:00"/>
    <n v="12"/>
    <n v="20"/>
    <n v="2025"/>
    <x v="7"/>
    <s v="Q4"/>
    <x v="1"/>
  </r>
  <r>
    <s v="O110430"/>
    <x v="562"/>
    <x v="10"/>
    <x v="5"/>
    <x v="0"/>
    <x v="2"/>
    <n v="4"/>
    <n v="504432"/>
    <d v="2026-09-26T00:00:00"/>
    <n v="9"/>
    <n v="26"/>
    <n v="2026"/>
    <x v="1"/>
    <s v="Q3"/>
    <x v="0"/>
  </r>
  <r>
    <s v="O110693"/>
    <x v="436"/>
    <x v="4"/>
    <x v="3"/>
    <x v="4"/>
    <x v="0"/>
    <n v="3"/>
    <n v="504222"/>
    <d v="2026-12-10T00:00:00"/>
    <n v="12"/>
    <n v="10"/>
    <n v="2026"/>
    <x v="7"/>
    <s v="Q4"/>
    <x v="4"/>
  </r>
  <r>
    <s v="O103865"/>
    <x v="98"/>
    <x v="4"/>
    <x v="0"/>
    <x v="3"/>
    <x v="1"/>
    <n v="1"/>
    <n v="504219"/>
    <d v="2025-08-23T00:00:00"/>
    <n v="8"/>
    <n v="23"/>
    <n v="2025"/>
    <x v="8"/>
    <s v="Q3"/>
    <x v="3"/>
  </r>
  <r>
    <s v="O102084"/>
    <x v="263"/>
    <x v="4"/>
    <x v="5"/>
    <x v="2"/>
    <x v="0"/>
    <n v="5"/>
    <n v="504200"/>
    <d v="2025-07-05T00:00:00"/>
    <n v="7"/>
    <n v="5"/>
    <n v="2025"/>
    <x v="10"/>
    <s v="Q3"/>
    <x v="2"/>
  </r>
  <r>
    <s v="O110047"/>
    <x v="775"/>
    <x v="9"/>
    <x v="0"/>
    <x v="1"/>
    <x v="1"/>
    <n v="1"/>
    <n v="504135"/>
    <d v="2026-03-09T00:00:00"/>
    <n v="3"/>
    <n v="9"/>
    <n v="2026"/>
    <x v="5"/>
    <s v="Q1"/>
    <x v="1"/>
  </r>
  <r>
    <s v="O104067"/>
    <x v="653"/>
    <x v="0"/>
    <x v="0"/>
    <x v="3"/>
    <x v="2"/>
    <n v="1"/>
    <n v="504134"/>
    <d v="2025-05-09T00:00:00"/>
    <n v="5"/>
    <n v="9"/>
    <n v="2025"/>
    <x v="3"/>
    <s v="Q2"/>
    <x v="3"/>
  </r>
  <r>
    <s v="O110336"/>
    <x v="472"/>
    <x v="5"/>
    <x v="4"/>
    <x v="3"/>
    <x v="3"/>
    <n v="3"/>
    <n v="504130"/>
    <d v="2026-09-20T00:00:00"/>
    <n v="9"/>
    <n v="20"/>
    <n v="2026"/>
    <x v="1"/>
    <s v="Q3"/>
    <x v="3"/>
  </r>
  <r>
    <s v="O101109"/>
    <x v="395"/>
    <x v="4"/>
    <x v="4"/>
    <x v="1"/>
    <x v="0"/>
    <n v="3"/>
    <n v="503662"/>
    <d v="2025-09-03T00:00:00"/>
    <n v="9"/>
    <n v="3"/>
    <n v="2025"/>
    <x v="1"/>
    <s v="Q3"/>
    <x v="1"/>
  </r>
  <r>
    <s v="O107515"/>
    <x v="187"/>
    <x v="10"/>
    <x v="2"/>
    <x v="2"/>
    <x v="2"/>
    <n v="2"/>
    <n v="503425"/>
    <d v="2026-02-04T00:00:00"/>
    <n v="2"/>
    <n v="4"/>
    <n v="2026"/>
    <x v="4"/>
    <s v="Q1"/>
    <x v="2"/>
  </r>
  <r>
    <s v="O104026"/>
    <x v="616"/>
    <x v="3"/>
    <x v="5"/>
    <x v="3"/>
    <x v="3"/>
    <n v="5"/>
    <n v="502891"/>
    <d v="2025-02-09T00:00:00"/>
    <n v="2"/>
    <n v="9"/>
    <n v="2025"/>
    <x v="4"/>
    <s v="Q1"/>
    <x v="3"/>
  </r>
  <r>
    <s v="O102922"/>
    <x v="492"/>
    <x v="4"/>
    <x v="4"/>
    <x v="0"/>
    <x v="1"/>
    <n v="3"/>
    <n v="502663"/>
    <d v="2025-06-27T00:00:00"/>
    <n v="6"/>
    <n v="27"/>
    <n v="2025"/>
    <x v="2"/>
    <s v="Q2"/>
    <x v="0"/>
  </r>
  <r>
    <s v="O105780"/>
    <x v="135"/>
    <x v="1"/>
    <x v="0"/>
    <x v="3"/>
    <x v="2"/>
    <n v="1"/>
    <n v="502570"/>
    <d v="2025-12-18T00:00:00"/>
    <n v="12"/>
    <n v="18"/>
    <n v="2025"/>
    <x v="7"/>
    <s v="Q4"/>
    <x v="3"/>
  </r>
  <r>
    <s v="O105579"/>
    <x v="495"/>
    <x v="6"/>
    <x v="3"/>
    <x v="1"/>
    <x v="0"/>
    <n v="2"/>
    <n v="502459"/>
    <d v="2025-05-12T00:00:00"/>
    <n v="5"/>
    <n v="12"/>
    <n v="2025"/>
    <x v="3"/>
    <s v="Q2"/>
    <x v="1"/>
  </r>
  <r>
    <s v="O103515"/>
    <x v="756"/>
    <x v="4"/>
    <x v="5"/>
    <x v="0"/>
    <x v="0"/>
    <n v="5"/>
    <n v="502020"/>
    <d v="2025-02-08T00:00:00"/>
    <n v="2"/>
    <n v="8"/>
    <n v="2025"/>
    <x v="4"/>
    <s v="Q1"/>
    <x v="0"/>
  </r>
  <r>
    <s v="O102665"/>
    <x v="191"/>
    <x v="0"/>
    <x v="2"/>
    <x v="4"/>
    <x v="0"/>
    <n v="2"/>
    <n v="501874"/>
    <d v="2025-11-06T00:00:00"/>
    <n v="11"/>
    <n v="6"/>
    <n v="2025"/>
    <x v="0"/>
    <s v="Q4"/>
    <x v="4"/>
  </r>
  <r>
    <s v="O100625"/>
    <x v="347"/>
    <x v="10"/>
    <x v="2"/>
    <x v="3"/>
    <x v="0"/>
    <n v="2"/>
    <n v="501509"/>
    <d v="2025-07-02T00:00:00"/>
    <n v="7"/>
    <n v="2"/>
    <n v="2025"/>
    <x v="10"/>
    <s v="Q3"/>
    <x v="3"/>
  </r>
  <r>
    <s v="O103023"/>
    <x v="345"/>
    <x v="2"/>
    <x v="2"/>
    <x v="0"/>
    <x v="0"/>
    <n v="2"/>
    <n v="501433"/>
    <d v="2025-03-07T00:00:00"/>
    <n v="3"/>
    <n v="7"/>
    <n v="2025"/>
    <x v="5"/>
    <s v="Q1"/>
    <x v="0"/>
  </r>
  <r>
    <s v="O108943"/>
    <x v="378"/>
    <x v="4"/>
    <x v="5"/>
    <x v="0"/>
    <x v="2"/>
    <n v="5"/>
    <n v="501205"/>
    <d v="2026-06-28T00:00:00"/>
    <n v="6"/>
    <n v="28"/>
    <n v="2026"/>
    <x v="2"/>
    <m/>
    <x v="0"/>
  </r>
  <r>
    <s v="O108850"/>
    <x v="580"/>
    <x v="1"/>
    <x v="0"/>
    <x v="0"/>
    <x v="2"/>
    <n v="1"/>
    <n v="500559"/>
    <d v="2026-06-22T00:00:00"/>
    <n v="6"/>
    <n v="22"/>
    <n v="2026"/>
    <x v="2"/>
    <s v="Q2"/>
    <x v="0"/>
  </r>
  <r>
    <s v="O106969"/>
    <x v="320"/>
    <x v="8"/>
    <x v="2"/>
    <x v="0"/>
    <x v="2"/>
    <n v="2"/>
    <n v="499786"/>
    <d v="2026-02-28T00:00:00"/>
    <n v="2"/>
    <n v="28"/>
    <n v="2026"/>
    <x v="4"/>
    <s v="Q1"/>
    <x v="0"/>
  </r>
  <r>
    <s v="O107289"/>
    <x v="697"/>
    <x v="1"/>
    <x v="3"/>
    <x v="1"/>
    <x v="2"/>
    <n v="3"/>
    <n v="499455"/>
    <d v="2026-03-19T00:00:00"/>
    <n v="3"/>
    <n v="19"/>
    <n v="2026"/>
    <x v="5"/>
    <s v="Q1"/>
    <x v="1"/>
  </r>
  <r>
    <s v="O103553"/>
    <x v="521"/>
    <x v="9"/>
    <x v="2"/>
    <x v="1"/>
    <x v="2"/>
    <n v="2"/>
    <n v="499166"/>
    <d v="2025-04-08T00:00:00"/>
    <n v="4"/>
    <n v="8"/>
    <n v="2025"/>
    <x v="11"/>
    <s v="Q2"/>
    <x v="1"/>
  </r>
  <r>
    <s v="O102692"/>
    <x v="183"/>
    <x v="10"/>
    <x v="2"/>
    <x v="3"/>
    <x v="3"/>
    <n v="2"/>
    <n v="498494"/>
    <d v="2025-06-13T00:00:00"/>
    <n v="6"/>
    <n v="13"/>
    <n v="2025"/>
    <x v="2"/>
    <s v="Q2"/>
    <x v="3"/>
  </r>
  <r>
    <s v="O102408"/>
    <x v="183"/>
    <x v="9"/>
    <x v="0"/>
    <x v="0"/>
    <x v="3"/>
    <n v="1"/>
    <n v="498371"/>
    <d v="2025-05-27T00:00:00"/>
    <n v="5"/>
    <n v="27"/>
    <n v="2025"/>
    <x v="3"/>
    <s v="Q2"/>
    <x v="0"/>
  </r>
  <r>
    <s v="O103071"/>
    <x v="537"/>
    <x v="2"/>
    <x v="4"/>
    <x v="3"/>
    <x v="0"/>
    <n v="3"/>
    <n v="498230"/>
    <d v="2025-06-07T00:00:00"/>
    <n v="6"/>
    <n v="7"/>
    <n v="2025"/>
    <x v="2"/>
    <s v="Q2"/>
    <x v="3"/>
  </r>
  <r>
    <s v="O109347"/>
    <x v="559"/>
    <x v="8"/>
    <x v="4"/>
    <x v="1"/>
    <x v="2"/>
    <n v="3"/>
    <n v="497929"/>
    <d v="2026-07-22T00:00:00"/>
    <n v="7"/>
    <n v="22"/>
    <n v="2026"/>
    <x v="10"/>
    <m/>
    <x v="1"/>
  </r>
  <r>
    <s v="O111190"/>
    <x v="244"/>
    <x v="10"/>
    <x v="2"/>
    <x v="1"/>
    <x v="0"/>
    <n v="2"/>
    <n v="497899"/>
    <d v="2026-11-11T00:00:00"/>
    <n v="11"/>
    <n v="11"/>
    <n v="2026"/>
    <x v="0"/>
    <s v="Q4"/>
    <x v="1"/>
  </r>
  <r>
    <s v="O107360"/>
    <x v="572"/>
    <x v="5"/>
    <x v="5"/>
    <x v="0"/>
    <x v="1"/>
    <n v="5"/>
    <n v="497157"/>
    <d v="2026-03-24T00:00:00"/>
    <n v="3"/>
    <n v="24"/>
    <n v="2026"/>
    <x v="5"/>
    <s v="Q1"/>
    <x v="0"/>
  </r>
  <r>
    <s v="O110892"/>
    <x v="319"/>
    <x v="1"/>
    <x v="0"/>
    <x v="0"/>
    <x v="1"/>
    <n v="1"/>
    <n v="497043"/>
    <d v="2026-10-24T00:00:00"/>
    <n v="10"/>
    <n v="24"/>
    <n v="2026"/>
    <x v="9"/>
    <s v="Q4"/>
    <x v="0"/>
  </r>
  <r>
    <s v="O110450"/>
    <x v="712"/>
    <x v="4"/>
    <x v="3"/>
    <x v="0"/>
    <x v="3"/>
    <n v="2"/>
    <n v="496829"/>
    <d v="2026-09-27T00:00:00"/>
    <n v="9"/>
    <n v="27"/>
    <n v="2026"/>
    <x v="1"/>
    <s v="Q3"/>
    <x v="0"/>
  </r>
  <r>
    <s v="O100059"/>
    <x v="91"/>
    <x v="0"/>
    <x v="0"/>
    <x v="0"/>
    <x v="3"/>
    <n v="1"/>
    <n v="496622"/>
    <d v="2025-04-01T00:00:00"/>
    <n v="4"/>
    <n v="1"/>
    <n v="2025"/>
    <x v="11"/>
    <s v="Q2"/>
    <x v="0"/>
  </r>
  <r>
    <s v="O108393"/>
    <x v="586"/>
    <x v="8"/>
    <x v="3"/>
    <x v="2"/>
    <x v="2"/>
    <n v="3"/>
    <n v="496391"/>
    <d v="2026-05-25T00:00:00"/>
    <n v="5"/>
    <n v="25"/>
    <n v="2026"/>
    <x v="3"/>
    <s v="Q2"/>
    <x v="2"/>
  </r>
  <r>
    <s v="O107145"/>
    <x v="427"/>
    <x v="5"/>
    <x v="3"/>
    <x v="0"/>
    <x v="3"/>
    <n v="2"/>
    <n v="495128"/>
    <d v="2026-11-03T00:00:00"/>
    <n v="11"/>
    <n v="3"/>
    <n v="2026"/>
    <x v="0"/>
    <s v="Q4"/>
    <x v="0"/>
  </r>
  <r>
    <s v="O104504"/>
    <x v="260"/>
    <x v="2"/>
    <x v="0"/>
    <x v="2"/>
    <x v="1"/>
    <n v="1"/>
    <n v="495125"/>
    <d v="2025-01-10T00:00:00"/>
    <n v="1"/>
    <n v="10"/>
    <n v="2025"/>
    <x v="6"/>
    <s v="Q1"/>
    <x v="2"/>
  </r>
  <r>
    <s v="O104246"/>
    <x v="70"/>
    <x v="9"/>
    <x v="3"/>
    <x v="0"/>
    <x v="3"/>
    <n v="3"/>
    <n v="495089"/>
    <d v="2025-09-15T00:00:00"/>
    <n v="9"/>
    <n v="15"/>
    <n v="2025"/>
    <x v="1"/>
    <s v="Q3"/>
    <x v="0"/>
  </r>
  <r>
    <s v="O102231"/>
    <x v="173"/>
    <x v="4"/>
    <x v="4"/>
    <x v="0"/>
    <x v="1"/>
    <n v="3"/>
    <n v="495079"/>
    <d v="2025-05-16T00:00:00"/>
    <n v="5"/>
    <n v="16"/>
    <n v="2025"/>
    <x v="3"/>
    <s v="Q2"/>
    <x v="0"/>
  </r>
  <r>
    <s v="O107221"/>
    <x v="769"/>
    <x v="0"/>
    <x v="3"/>
    <x v="3"/>
    <x v="2"/>
    <n v="3"/>
    <n v="495015"/>
    <d v="2026-03-15T00:00:00"/>
    <n v="3"/>
    <n v="15"/>
    <n v="2026"/>
    <x v="5"/>
    <s v="Q1"/>
    <x v="3"/>
  </r>
  <r>
    <s v="O106788"/>
    <x v="528"/>
    <x v="0"/>
    <x v="4"/>
    <x v="1"/>
    <x v="1"/>
    <n v="3"/>
    <n v="494995"/>
    <d v="2026-02-17T00:00:00"/>
    <n v="2"/>
    <n v="17"/>
    <n v="2026"/>
    <x v="4"/>
    <s v="Q1"/>
    <x v="1"/>
  </r>
  <r>
    <s v="O111665"/>
    <x v="20"/>
    <x v="10"/>
    <x v="4"/>
    <x v="2"/>
    <x v="3"/>
    <n v="3"/>
    <n v="494967"/>
    <d v="2026-10-12T00:00:00"/>
    <n v="10"/>
    <n v="12"/>
    <n v="2026"/>
    <x v="9"/>
    <s v="Q4"/>
    <x v="2"/>
  </r>
  <r>
    <s v="O110706"/>
    <x v="127"/>
    <x v="9"/>
    <x v="2"/>
    <x v="0"/>
    <x v="0"/>
    <n v="2"/>
    <n v="494837"/>
    <d v="2026-10-13T00:00:00"/>
    <n v="10"/>
    <n v="13"/>
    <n v="2026"/>
    <x v="9"/>
    <s v="Q4"/>
    <x v="0"/>
  </r>
  <r>
    <s v="O111724"/>
    <x v="172"/>
    <x v="3"/>
    <x v="2"/>
    <x v="3"/>
    <x v="1"/>
    <n v="2"/>
    <n v="494079"/>
    <d v="2026-12-14T00:00:00"/>
    <n v="12"/>
    <n v="14"/>
    <n v="2026"/>
    <x v="7"/>
    <s v="Q4"/>
    <x v="3"/>
  </r>
  <r>
    <s v="O102105"/>
    <x v="739"/>
    <x v="6"/>
    <x v="4"/>
    <x v="4"/>
    <x v="1"/>
    <n v="3"/>
    <n v="493582"/>
    <d v="2025-08-05T00:00:00"/>
    <n v="8"/>
    <n v="5"/>
    <n v="2025"/>
    <x v="8"/>
    <s v="Q3"/>
    <x v="4"/>
  </r>
  <r>
    <s v="O109351"/>
    <x v="625"/>
    <x v="3"/>
    <x v="0"/>
    <x v="0"/>
    <x v="2"/>
    <n v="1"/>
    <n v="493234"/>
    <d v="2026-07-23T00:00:00"/>
    <n v="7"/>
    <n v="23"/>
    <n v="2026"/>
    <x v="10"/>
    <s v="Q3"/>
    <x v="0"/>
  </r>
  <r>
    <s v="O100265"/>
    <x v="665"/>
    <x v="8"/>
    <x v="5"/>
    <x v="2"/>
    <x v="0"/>
    <n v="4"/>
    <n v="492955"/>
    <d v="2025-01-17T00:00:00"/>
    <n v="1"/>
    <n v="17"/>
    <n v="2025"/>
    <x v="6"/>
    <s v="Q1"/>
    <x v="2"/>
  </r>
  <r>
    <s v="O106272"/>
    <x v="613"/>
    <x v="4"/>
    <x v="3"/>
    <x v="1"/>
    <x v="0"/>
    <n v="2"/>
    <n v="492470"/>
    <d v="2026-01-16T00:00:00"/>
    <n v="1"/>
    <n v="16"/>
    <n v="2026"/>
    <x v="6"/>
    <s v="Q1"/>
    <x v="1"/>
  </r>
  <r>
    <s v="O109228"/>
    <x v="799"/>
    <x v="6"/>
    <x v="5"/>
    <x v="2"/>
    <x v="2"/>
    <n v="5"/>
    <n v="492467"/>
    <d v="2026-07-15T00:00:00"/>
    <n v="7"/>
    <n v="15"/>
    <n v="2026"/>
    <x v="10"/>
    <s v="Q3"/>
    <x v="2"/>
  </r>
  <r>
    <s v="O108307"/>
    <x v="642"/>
    <x v="4"/>
    <x v="0"/>
    <x v="9"/>
    <x v="2"/>
    <n v="1"/>
    <n v="492400"/>
    <d v="2026-05-20T00:00:00"/>
    <n v="5"/>
    <n v="20"/>
    <n v="2026"/>
    <x v="3"/>
    <s v="Q2"/>
    <x v="0"/>
  </r>
  <r>
    <s v="O108491"/>
    <x v="314"/>
    <x v="3"/>
    <x v="5"/>
    <x v="2"/>
    <x v="3"/>
    <n v="5"/>
    <n v="491965"/>
    <d v="2026-05-31T00:00:00"/>
    <n v="5"/>
    <n v="31"/>
    <n v="2026"/>
    <x v="3"/>
    <s v="Q2"/>
    <x v="2"/>
  </r>
  <r>
    <s v="O106121"/>
    <x v="592"/>
    <x v="9"/>
    <x v="0"/>
    <x v="4"/>
    <x v="0"/>
    <n v="1"/>
    <n v="491350"/>
    <d v="2026-07-01T00:00:00"/>
    <n v="7"/>
    <n v="1"/>
    <n v="2026"/>
    <x v="10"/>
    <s v="Q3"/>
    <x v="4"/>
  </r>
  <r>
    <s v="O107479"/>
    <x v="667"/>
    <x v="5"/>
    <x v="5"/>
    <x v="1"/>
    <x v="3"/>
    <n v="5"/>
    <n v="490592"/>
    <d v="2026-03-31T00:00:00"/>
    <n v="3"/>
    <n v="31"/>
    <n v="2026"/>
    <x v="5"/>
    <s v="Q1"/>
    <x v="1"/>
  </r>
  <r>
    <s v="O105498"/>
    <x v="253"/>
    <x v="2"/>
    <x v="5"/>
    <x v="1"/>
    <x v="3"/>
    <n v="4"/>
    <n v="489984"/>
    <d v="2025-11-30T00:00:00"/>
    <n v="11"/>
    <n v="30"/>
    <n v="2025"/>
    <x v="0"/>
    <s v="Q4"/>
    <x v="1"/>
  </r>
  <r>
    <s v="O108027"/>
    <x v="763"/>
    <x v="4"/>
    <x v="5"/>
    <x v="0"/>
    <x v="3"/>
    <n v="4"/>
    <n v="489890"/>
    <d v="2026-03-05T00:00:00"/>
    <n v="3"/>
    <n v="5"/>
    <n v="2026"/>
    <x v="5"/>
    <s v="Q1"/>
    <x v="0"/>
  </r>
  <r>
    <s v="O109145"/>
    <x v="228"/>
    <x v="0"/>
    <x v="4"/>
    <x v="4"/>
    <x v="3"/>
    <n v="3"/>
    <n v="488687"/>
    <d v="2026-10-07T00:00:00"/>
    <n v="10"/>
    <n v="7"/>
    <n v="2026"/>
    <x v="9"/>
    <s v="Q4"/>
    <x v="4"/>
  </r>
  <r>
    <s v="O110405"/>
    <x v="713"/>
    <x v="5"/>
    <x v="3"/>
    <x v="2"/>
    <x v="3"/>
    <n v="2"/>
    <n v="488180"/>
    <d v="2026-09-25T00:00:00"/>
    <n v="9"/>
    <n v="25"/>
    <n v="2026"/>
    <x v="1"/>
    <s v="Q3"/>
    <x v="2"/>
  </r>
  <r>
    <s v="O105678"/>
    <x v="49"/>
    <x v="3"/>
    <x v="0"/>
    <x v="1"/>
    <x v="0"/>
    <n v="1"/>
    <n v="487922"/>
    <d v="2025-11-12T00:00:00"/>
    <n v="11"/>
    <n v="12"/>
    <n v="2025"/>
    <x v="0"/>
    <s v="Q4"/>
    <x v="1"/>
  </r>
  <r>
    <s v="O107864"/>
    <x v="549"/>
    <x v="10"/>
    <x v="2"/>
    <x v="1"/>
    <x v="1"/>
    <n v="2"/>
    <n v="487889"/>
    <d v="2026-04-23T00:00:00"/>
    <n v="4"/>
    <n v="23"/>
    <n v="2026"/>
    <x v="11"/>
    <s v="Q2"/>
    <x v="1"/>
  </r>
  <r>
    <s v="O111952"/>
    <x v="146"/>
    <x v="2"/>
    <x v="0"/>
    <x v="1"/>
    <x v="2"/>
    <n v="1"/>
    <n v="487661"/>
    <d v="2026-12-28T00:00:00"/>
    <n v="12"/>
    <n v="28"/>
    <n v="2026"/>
    <x v="7"/>
    <s v="Q4"/>
    <x v="1"/>
  </r>
  <r>
    <s v="O102103"/>
    <x v="597"/>
    <x v="1"/>
    <x v="0"/>
    <x v="3"/>
    <x v="3"/>
    <n v="1"/>
    <n v="487566"/>
    <d v="2025-08-05T00:00:00"/>
    <n v="8"/>
    <n v="5"/>
    <n v="2025"/>
    <x v="8"/>
    <s v="Q3"/>
    <x v="3"/>
  </r>
  <r>
    <s v="O104804"/>
    <x v="46"/>
    <x v="5"/>
    <x v="0"/>
    <x v="1"/>
    <x v="1"/>
    <n v="1"/>
    <n v="487458"/>
    <d v="2025-10-19T00:00:00"/>
    <n v="10"/>
    <n v="19"/>
    <n v="2025"/>
    <x v="9"/>
    <s v="Q4"/>
    <x v="1"/>
  </r>
  <r>
    <s v="O105649"/>
    <x v="532"/>
    <x v="4"/>
    <x v="2"/>
    <x v="3"/>
    <x v="3"/>
    <n v="2"/>
    <n v="487060"/>
    <d v="2025-10-12T00:00:00"/>
    <n v="10"/>
    <n v="12"/>
    <n v="2025"/>
    <x v="9"/>
    <s v="Q4"/>
    <x v="3"/>
  </r>
  <r>
    <s v="O102989"/>
    <x v="543"/>
    <x v="5"/>
    <x v="4"/>
    <x v="2"/>
    <x v="2"/>
    <n v="3"/>
    <n v="486144"/>
    <d v="2025-01-07T00:00:00"/>
    <n v="1"/>
    <n v="7"/>
    <n v="2025"/>
    <x v="6"/>
    <s v="Q1"/>
    <x v="2"/>
  </r>
  <r>
    <s v="O106928"/>
    <x v="622"/>
    <x v="6"/>
    <x v="2"/>
    <x v="2"/>
    <x v="3"/>
    <n v="2"/>
    <n v="485796"/>
    <d v="2026-02-25T00:00:00"/>
    <n v="2"/>
    <n v="25"/>
    <n v="2026"/>
    <x v="4"/>
    <s v="Q1"/>
    <x v="2"/>
  </r>
  <r>
    <s v="O107016"/>
    <x v="247"/>
    <x v="5"/>
    <x v="5"/>
    <x v="4"/>
    <x v="0"/>
    <n v="5"/>
    <n v="484891"/>
    <d v="2026-03-03T00:00:00"/>
    <n v="3"/>
    <n v="3"/>
    <n v="2026"/>
    <x v="5"/>
    <s v="Q1"/>
    <x v="4"/>
  </r>
  <r>
    <s v="O103592"/>
    <x v="293"/>
    <x v="10"/>
    <x v="0"/>
    <x v="0"/>
    <x v="3"/>
    <n v="1"/>
    <n v="484704"/>
    <d v="2025-07-08T00:00:00"/>
    <n v="7"/>
    <n v="8"/>
    <n v="2025"/>
    <x v="10"/>
    <s v="Q3"/>
    <x v="0"/>
  </r>
  <r>
    <s v="O107599"/>
    <x v="770"/>
    <x v="4"/>
    <x v="3"/>
    <x v="3"/>
    <x v="0"/>
    <n v="2"/>
    <n v="484635"/>
    <d v="2026-07-04T00:00:00"/>
    <n v="7"/>
    <n v="4"/>
    <n v="2026"/>
    <x v="10"/>
    <s v="Q3"/>
    <x v="3"/>
  </r>
  <r>
    <s v="O110391"/>
    <x v="217"/>
    <x v="8"/>
    <x v="5"/>
    <x v="4"/>
    <x v="0"/>
    <n v="4"/>
    <n v="484542"/>
    <d v="2026-09-24T00:00:00"/>
    <n v="9"/>
    <n v="24"/>
    <n v="2026"/>
    <x v="1"/>
    <s v="Q3"/>
    <x v="4"/>
  </r>
  <r>
    <s v="O110033"/>
    <x v="454"/>
    <x v="9"/>
    <x v="5"/>
    <x v="2"/>
    <x v="1"/>
    <n v="4"/>
    <n v="484364"/>
    <d v="2026-02-09T00:00:00"/>
    <n v="2"/>
    <n v="9"/>
    <n v="2026"/>
    <x v="4"/>
    <s v="Q1"/>
    <x v="2"/>
  </r>
  <r>
    <s v="O104566"/>
    <x v="247"/>
    <x v="6"/>
    <x v="5"/>
    <x v="2"/>
    <x v="3"/>
    <n v="4"/>
    <n v="484217"/>
    <d v="2025-05-10T00:00:00"/>
    <n v="5"/>
    <n v="10"/>
    <n v="2025"/>
    <x v="3"/>
    <s v="Q2"/>
    <x v="2"/>
  </r>
  <r>
    <s v="O104015"/>
    <x v="739"/>
    <x v="0"/>
    <x v="2"/>
    <x v="3"/>
    <x v="2"/>
    <n v="2"/>
    <n v="484053"/>
    <d v="2025-01-09T00:00:00"/>
    <n v="1"/>
    <n v="9"/>
    <n v="2025"/>
    <x v="6"/>
    <s v="Q1"/>
    <x v="3"/>
  </r>
  <r>
    <s v="O110701"/>
    <x v="460"/>
    <x v="10"/>
    <x v="0"/>
    <x v="1"/>
    <x v="0"/>
    <n v="1"/>
    <n v="483831"/>
    <d v="2026-10-13T00:00:00"/>
    <n v="10"/>
    <n v="13"/>
    <n v="2026"/>
    <x v="9"/>
    <s v="Q4"/>
    <x v="1"/>
  </r>
  <r>
    <s v="O101039"/>
    <x v="179"/>
    <x v="4"/>
    <x v="0"/>
    <x v="0"/>
    <x v="2"/>
    <n v="1"/>
    <n v="483316"/>
    <d v="2025-05-03T00:00:00"/>
    <n v="5"/>
    <n v="3"/>
    <n v="2025"/>
    <x v="3"/>
    <s v="Q2"/>
    <x v="0"/>
  </r>
  <r>
    <s v="O107239"/>
    <x v="153"/>
    <x v="3"/>
    <x v="2"/>
    <x v="0"/>
    <x v="3"/>
    <n v="2"/>
    <n v="483097"/>
    <d v="2026-03-16T00:00:00"/>
    <n v="3"/>
    <n v="16"/>
    <n v="2026"/>
    <x v="5"/>
    <s v="Q1"/>
    <x v="0"/>
  </r>
  <r>
    <s v="O104559"/>
    <x v="80"/>
    <x v="10"/>
    <x v="3"/>
    <x v="4"/>
    <x v="0"/>
    <n v="2"/>
    <n v="482794"/>
    <d v="2025-04-10T00:00:00"/>
    <n v="4"/>
    <n v="10"/>
    <n v="2025"/>
    <x v="11"/>
    <s v="Q2"/>
    <x v="4"/>
  </r>
  <r>
    <s v="O104606"/>
    <x v="586"/>
    <x v="1"/>
    <x v="5"/>
    <x v="0"/>
    <x v="3"/>
    <n v="5"/>
    <n v="482667"/>
    <d v="2025-07-10T00:00:00"/>
    <n v="7"/>
    <n v="10"/>
    <n v="2025"/>
    <x v="10"/>
    <s v="Q3"/>
    <x v="0"/>
  </r>
  <r>
    <s v="O103913"/>
    <x v="368"/>
    <x v="6"/>
    <x v="0"/>
    <x v="0"/>
    <x v="2"/>
    <n v="1"/>
    <n v="482658"/>
    <d v="2025-08-26T00:00:00"/>
    <n v="8"/>
    <n v="26"/>
    <n v="2025"/>
    <x v="8"/>
    <s v="Q3"/>
    <x v="0"/>
  </r>
  <r>
    <s v="O105576"/>
    <x v="794"/>
    <x v="0"/>
    <x v="0"/>
    <x v="2"/>
    <x v="1"/>
    <n v="1"/>
    <n v="482247"/>
    <d v="2025-05-12T00:00:00"/>
    <n v="5"/>
    <n v="12"/>
    <n v="2025"/>
    <x v="3"/>
    <s v="Q2"/>
    <x v="2"/>
  </r>
  <r>
    <s v="O103813"/>
    <x v="536"/>
    <x v="1"/>
    <x v="0"/>
    <x v="3"/>
    <x v="2"/>
    <n v="1"/>
    <n v="480891"/>
    <d v="2025-08-20T00:00:00"/>
    <n v="8"/>
    <n v="20"/>
    <n v="2025"/>
    <x v="8"/>
    <s v="Q3"/>
    <x v="3"/>
  </r>
  <r>
    <s v="O110765"/>
    <x v="490"/>
    <x v="3"/>
    <x v="4"/>
    <x v="2"/>
    <x v="0"/>
    <n v="3"/>
    <n v="480734"/>
    <d v="2026-10-16T00:00:00"/>
    <n v="10"/>
    <n v="16"/>
    <n v="2026"/>
    <x v="9"/>
    <s v="Q4"/>
    <x v="2"/>
  </r>
  <r>
    <s v="O107949"/>
    <x v="136"/>
    <x v="10"/>
    <x v="3"/>
    <x v="4"/>
    <x v="0"/>
    <n v="2"/>
    <n v="480014"/>
    <d v="2026-04-28T00:00:00"/>
    <n v="4"/>
    <n v="28"/>
    <n v="2026"/>
    <x v="11"/>
    <s v="Q2"/>
    <x v="4"/>
  </r>
  <r>
    <s v="O103653"/>
    <x v="51"/>
    <x v="9"/>
    <x v="5"/>
    <x v="1"/>
    <x v="1"/>
    <n v="5"/>
    <n v="480002"/>
    <d v="2025-10-08T00:00:00"/>
    <n v="10"/>
    <n v="8"/>
    <n v="2025"/>
    <x v="9"/>
    <m/>
    <x v="1"/>
  </r>
  <r>
    <s v="O100943"/>
    <x v="346"/>
    <x v="0"/>
    <x v="2"/>
    <x v="0"/>
    <x v="2"/>
    <n v="2"/>
    <n v="479860"/>
    <d v="2025-02-27T00:00:00"/>
    <n v="2"/>
    <n v="27"/>
    <n v="2025"/>
    <x v="4"/>
    <m/>
    <x v="0"/>
  </r>
  <r>
    <s v="O108749"/>
    <x v="658"/>
    <x v="8"/>
    <x v="0"/>
    <x v="1"/>
    <x v="3"/>
    <n v="1"/>
    <n v="479112"/>
    <d v="2026-06-16T00:00:00"/>
    <n v="6"/>
    <n v="16"/>
    <n v="2026"/>
    <x v="2"/>
    <s v="Q2"/>
    <x v="1"/>
  </r>
  <r>
    <s v="O106041"/>
    <x v="607"/>
    <x v="3"/>
    <x v="2"/>
    <x v="1"/>
    <x v="2"/>
    <n v="2"/>
    <n v="478703"/>
    <d v="2026-02-01T00:00:00"/>
    <n v="2"/>
    <n v="1"/>
    <n v="2026"/>
    <x v="4"/>
    <s v="Q1"/>
    <x v="1"/>
  </r>
  <r>
    <s v="O107243"/>
    <x v="661"/>
    <x v="9"/>
    <x v="0"/>
    <x v="4"/>
    <x v="1"/>
    <n v="1"/>
    <n v="478273"/>
    <d v="2026-03-16T00:00:00"/>
    <n v="3"/>
    <n v="16"/>
    <n v="2026"/>
    <x v="5"/>
    <s v="Q1"/>
    <x v="4"/>
  </r>
  <r>
    <s v="O111310"/>
    <x v="479"/>
    <x v="1"/>
    <x v="0"/>
    <x v="1"/>
    <x v="1"/>
    <n v="1"/>
    <n v="478255"/>
    <d v="2026-11-19T00:00:00"/>
    <n v="11"/>
    <n v="19"/>
    <n v="2026"/>
    <x v="0"/>
    <s v="Q4"/>
    <x v="1"/>
  </r>
  <r>
    <s v="O100367"/>
    <x v="293"/>
    <x v="9"/>
    <x v="3"/>
    <x v="2"/>
    <x v="0"/>
    <n v="2"/>
    <n v="478184"/>
    <d v="2025-01-23T00:00:00"/>
    <n v="1"/>
    <n v="23"/>
    <n v="2025"/>
    <x v="6"/>
    <s v="Q1"/>
    <x v="2"/>
  </r>
  <r>
    <s v="O106510"/>
    <x v="493"/>
    <x v="3"/>
    <x v="2"/>
    <x v="2"/>
    <x v="2"/>
    <n v="2"/>
    <n v="478013"/>
    <d v="2026-01-31T00:00:00"/>
    <n v="1"/>
    <n v="31"/>
    <n v="2026"/>
    <x v="6"/>
    <s v="Q1"/>
    <x v="2"/>
  </r>
  <r>
    <s v="O108475"/>
    <x v="247"/>
    <x v="2"/>
    <x v="5"/>
    <x v="5"/>
    <x v="0"/>
    <n v="4"/>
    <n v="477959"/>
    <d v="2026-05-30T00:00:00"/>
    <n v="5"/>
    <n v="30"/>
    <n v="2026"/>
    <x v="3"/>
    <s v="Q2"/>
    <x v="5"/>
  </r>
  <r>
    <s v="O102237"/>
    <x v="537"/>
    <x v="3"/>
    <x v="5"/>
    <x v="0"/>
    <x v="1"/>
    <n v="4"/>
    <n v="477959"/>
    <d v="2025-05-16T00:00:00"/>
    <n v="5"/>
    <n v="16"/>
    <n v="2025"/>
    <x v="3"/>
    <s v="Q2"/>
    <x v="0"/>
  </r>
  <r>
    <s v="O104529"/>
    <x v="271"/>
    <x v="10"/>
    <x v="2"/>
    <x v="4"/>
    <x v="0"/>
    <n v="2"/>
    <n v="477736"/>
    <d v="2025-03-10T00:00:00"/>
    <n v="3"/>
    <n v="10"/>
    <n v="2025"/>
    <x v="5"/>
    <s v="Q1"/>
    <x v="4"/>
  </r>
  <r>
    <s v="O100860"/>
    <x v="481"/>
    <x v="5"/>
    <x v="0"/>
    <x v="2"/>
    <x v="0"/>
    <n v="1"/>
    <n v="477731"/>
    <d v="2025-02-22T00:00:00"/>
    <n v="2"/>
    <n v="22"/>
    <n v="2025"/>
    <x v="4"/>
    <s v="Q1"/>
    <x v="2"/>
  </r>
  <r>
    <s v="O105469"/>
    <x v="173"/>
    <x v="10"/>
    <x v="5"/>
    <x v="4"/>
    <x v="0"/>
    <n v="4"/>
    <n v="477603"/>
    <d v="2025-11-29T00:00:00"/>
    <n v="11"/>
    <n v="29"/>
    <n v="2025"/>
    <x v="0"/>
    <s v="Q4"/>
    <x v="4"/>
  </r>
  <r>
    <s v="O110266"/>
    <x v="588"/>
    <x v="2"/>
    <x v="0"/>
    <x v="3"/>
    <x v="2"/>
    <n v="1"/>
    <n v="477567"/>
    <d v="2026-09-16T00:00:00"/>
    <n v="9"/>
    <n v="16"/>
    <n v="2026"/>
    <x v="1"/>
    <s v="Q3"/>
    <x v="3"/>
  </r>
  <r>
    <s v="O105625"/>
    <x v="83"/>
    <x v="8"/>
    <x v="0"/>
    <x v="2"/>
    <x v="2"/>
    <n v="1"/>
    <n v="477428"/>
    <d v="2025-08-12T00:00:00"/>
    <n v="8"/>
    <n v="12"/>
    <n v="2025"/>
    <x v="8"/>
    <s v="Q3"/>
    <x v="2"/>
  </r>
  <r>
    <s v="O109866"/>
    <x v="538"/>
    <x v="4"/>
    <x v="0"/>
    <x v="1"/>
    <x v="3"/>
    <n v="1"/>
    <n v="477055"/>
    <d v="2026-08-23T00:00:00"/>
    <n v="8"/>
    <n v="23"/>
    <n v="2026"/>
    <x v="8"/>
    <m/>
    <x v="1"/>
  </r>
  <r>
    <s v="O111818"/>
    <x v="49"/>
    <x v="6"/>
    <x v="0"/>
    <x v="2"/>
    <x v="1"/>
    <n v="1"/>
    <n v="477042"/>
    <d v="2026-12-19T00:00:00"/>
    <n v="12"/>
    <n v="19"/>
    <n v="2026"/>
    <x v="7"/>
    <s v="Q4"/>
    <x v="2"/>
  </r>
  <r>
    <s v="O104146"/>
    <x v="481"/>
    <x v="1"/>
    <x v="2"/>
    <x v="0"/>
    <x v="0"/>
    <n v="2"/>
    <n v="476870"/>
    <d v="2025-09-09T00:00:00"/>
    <n v="9"/>
    <n v="9"/>
    <n v="2025"/>
    <x v="1"/>
    <s v="Q3"/>
    <x v="0"/>
  </r>
  <r>
    <s v="O111786"/>
    <x v="391"/>
    <x v="4"/>
    <x v="5"/>
    <x v="0"/>
    <x v="0"/>
    <n v="4"/>
    <n v="476209"/>
    <d v="2026-12-17T00:00:00"/>
    <n v="12"/>
    <n v="17"/>
    <n v="2026"/>
    <x v="7"/>
    <s v="Q4"/>
    <x v="0"/>
  </r>
  <r>
    <s v="O101831"/>
    <x v="380"/>
    <x v="0"/>
    <x v="3"/>
    <x v="1"/>
    <x v="1"/>
    <n v="2"/>
    <n v="476009"/>
    <d v="2025-04-22T00:00:00"/>
    <n v="4"/>
    <n v="22"/>
    <n v="2025"/>
    <x v="11"/>
    <s v="Q2"/>
    <x v="1"/>
  </r>
  <r>
    <s v="O102092"/>
    <x v="600"/>
    <x v="8"/>
    <x v="3"/>
    <x v="0"/>
    <x v="0"/>
    <n v="2"/>
    <n v="475534"/>
    <d v="2025-08-05T00:00:00"/>
    <n v="8"/>
    <n v="5"/>
    <n v="2025"/>
    <x v="8"/>
    <s v="Q3"/>
    <x v="0"/>
  </r>
  <r>
    <s v="O107681"/>
    <x v="704"/>
    <x v="5"/>
    <x v="3"/>
    <x v="2"/>
    <x v="1"/>
    <n v="2"/>
    <n v="475303"/>
    <d v="2026-12-04T00:00:00"/>
    <n v="12"/>
    <n v="4"/>
    <n v="2026"/>
    <x v="7"/>
    <s v="Q4"/>
    <x v="2"/>
  </r>
  <r>
    <s v="O110229"/>
    <x v="560"/>
    <x v="9"/>
    <x v="0"/>
    <x v="4"/>
    <x v="3"/>
    <n v="1"/>
    <n v="475237"/>
    <d v="2026-09-14T00:00:00"/>
    <n v="9"/>
    <n v="14"/>
    <n v="2026"/>
    <x v="1"/>
    <s v="Q3"/>
    <x v="4"/>
  </r>
  <r>
    <s v="O100490"/>
    <x v="675"/>
    <x v="3"/>
    <x v="5"/>
    <x v="2"/>
    <x v="1"/>
    <n v="4"/>
    <n v="475139"/>
    <d v="2025-01-30T00:00:00"/>
    <n v="1"/>
    <n v="30"/>
    <n v="2025"/>
    <x v="6"/>
    <s v="Q1"/>
    <x v="2"/>
  </r>
  <r>
    <s v="O101137"/>
    <x v="637"/>
    <x v="8"/>
    <x v="5"/>
    <x v="3"/>
    <x v="2"/>
    <n v="4"/>
    <n v="474973"/>
    <d v="2025-11-03T00:00:00"/>
    <n v="11"/>
    <n v="3"/>
    <n v="2025"/>
    <x v="0"/>
    <s v="Q4"/>
    <x v="3"/>
  </r>
  <r>
    <s v="O105209"/>
    <x v="649"/>
    <x v="9"/>
    <x v="5"/>
    <x v="1"/>
    <x v="2"/>
    <n v="4"/>
    <n v="474836"/>
    <d v="2025-11-13T00:00:00"/>
    <n v="11"/>
    <n v="13"/>
    <n v="2025"/>
    <x v="0"/>
    <s v="Q4"/>
    <x v="1"/>
  </r>
  <r>
    <s v="O106027"/>
    <x v="595"/>
    <x v="6"/>
    <x v="5"/>
    <x v="0"/>
    <x v="2"/>
    <n v="5"/>
    <n v="474448"/>
    <d v="2026-02-01T00:00:00"/>
    <n v="2"/>
    <n v="1"/>
    <n v="2026"/>
    <x v="4"/>
    <s v="Q1"/>
    <x v="0"/>
  </r>
  <r>
    <s v="O103689"/>
    <x v="194"/>
    <x v="0"/>
    <x v="0"/>
    <x v="2"/>
    <x v="3"/>
    <n v="1"/>
    <n v="474345"/>
    <d v="2025-08-13T00:00:00"/>
    <n v="8"/>
    <n v="13"/>
    <n v="2025"/>
    <x v="8"/>
    <s v="Q3"/>
    <x v="2"/>
  </r>
  <r>
    <s v="O105015"/>
    <x v="190"/>
    <x v="2"/>
    <x v="0"/>
    <x v="1"/>
    <x v="3"/>
    <n v="1"/>
    <n v="473710"/>
    <d v="2025-01-11T00:00:00"/>
    <n v="1"/>
    <n v="11"/>
    <n v="2025"/>
    <x v="6"/>
    <s v="Q1"/>
    <x v="1"/>
  </r>
  <r>
    <s v="O100372"/>
    <x v="742"/>
    <x v="10"/>
    <x v="0"/>
    <x v="2"/>
    <x v="0"/>
    <n v="1"/>
    <n v="473648"/>
    <d v="2025-01-23T00:00:00"/>
    <n v="1"/>
    <n v="23"/>
    <n v="2025"/>
    <x v="6"/>
    <s v="Q1"/>
    <x v="2"/>
  </r>
  <r>
    <s v="O110176"/>
    <x v="214"/>
    <x v="1"/>
    <x v="0"/>
    <x v="3"/>
    <x v="3"/>
    <n v="1"/>
    <n v="473565"/>
    <d v="2026-11-09T00:00:00"/>
    <n v="11"/>
    <n v="9"/>
    <n v="2026"/>
    <x v="0"/>
    <s v="Q4"/>
    <x v="3"/>
  </r>
  <r>
    <s v="O111657"/>
    <x v="588"/>
    <x v="1"/>
    <x v="3"/>
    <x v="0"/>
    <x v="2"/>
    <n v="2"/>
    <n v="473090"/>
    <d v="2026-10-12T00:00:00"/>
    <n v="10"/>
    <n v="12"/>
    <n v="2026"/>
    <x v="9"/>
    <s v="Q4"/>
    <x v="0"/>
  </r>
  <r>
    <s v="O104777"/>
    <x v="565"/>
    <x v="10"/>
    <x v="0"/>
    <x v="2"/>
    <x v="3"/>
    <n v="1"/>
    <n v="472537"/>
    <d v="2025-10-18T00:00:00"/>
    <n v="10"/>
    <n v="18"/>
    <n v="2025"/>
    <x v="9"/>
    <s v="Q4"/>
    <x v="2"/>
  </r>
  <r>
    <s v="O103739"/>
    <x v="584"/>
    <x v="6"/>
    <x v="4"/>
    <x v="2"/>
    <x v="1"/>
    <n v="3"/>
    <n v="472449"/>
    <d v="2025-08-16T00:00:00"/>
    <n v="8"/>
    <n v="16"/>
    <n v="2025"/>
    <x v="8"/>
    <s v="Q3"/>
    <x v="2"/>
  </r>
  <r>
    <s v="O102916"/>
    <x v="225"/>
    <x v="1"/>
    <x v="2"/>
    <x v="4"/>
    <x v="2"/>
    <n v="2"/>
    <n v="470776"/>
    <d v="2025-06-27T00:00:00"/>
    <n v="6"/>
    <n v="27"/>
    <n v="2025"/>
    <x v="2"/>
    <s v="Q2"/>
    <x v="4"/>
  </r>
  <r>
    <s v="O111447"/>
    <x v="436"/>
    <x v="4"/>
    <x v="5"/>
    <x v="1"/>
    <x v="0"/>
    <n v="4"/>
    <n v="470656"/>
    <d v="2026-11-27T00:00:00"/>
    <n v="11"/>
    <n v="27"/>
    <n v="2026"/>
    <x v="0"/>
    <s v="Q4"/>
    <x v="1"/>
  </r>
  <r>
    <s v="O104195"/>
    <x v="667"/>
    <x v="0"/>
    <x v="2"/>
    <x v="1"/>
    <x v="3"/>
    <n v="2"/>
    <n v="470244"/>
    <d v="2025-12-09T00:00:00"/>
    <n v="12"/>
    <n v="9"/>
    <n v="2025"/>
    <x v="7"/>
    <s v="Q4"/>
    <x v="1"/>
  </r>
  <r>
    <s v="O109494"/>
    <x v="17"/>
    <x v="5"/>
    <x v="0"/>
    <x v="1"/>
    <x v="1"/>
    <n v="1"/>
    <n v="469971"/>
    <d v="2026-07-31T00:00:00"/>
    <n v="7"/>
    <n v="31"/>
    <n v="2026"/>
    <x v="10"/>
    <s v="Q3"/>
    <x v="1"/>
  </r>
  <r>
    <s v="O109238"/>
    <x v="161"/>
    <x v="10"/>
    <x v="0"/>
    <x v="1"/>
    <x v="0"/>
    <n v="1"/>
    <n v="469948"/>
    <d v="2026-07-16T00:00:00"/>
    <n v="7"/>
    <n v="16"/>
    <n v="2026"/>
    <x v="10"/>
    <s v="Q3"/>
    <x v="1"/>
  </r>
  <r>
    <s v="O101368"/>
    <x v="729"/>
    <x v="5"/>
    <x v="5"/>
    <x v="2"/>
    <x v="1"/>
    <n v="4"/>
    <n v="469568"/>
    <d v="2025-03-25T00:00:00"/>
    <n v="3"/>
    <n v="25"/>
    <n v="2025"/>
    <x v="5"/>
    <s v="Q1"/>
    <x v="2"/>
  </r>
  <r>
    <s v="O104943"/>
    <x v="562"/>
    <x v="1"/>
    <x v="5"/>
    <x v="4"/>
    <x v="1"/>
    <n v="4"/>
    <n v="469481"/>
    <d v="2025-10-28T00:00:00"/>
    <n v="10"/>
    <n v="28"/>
    <n v="2025"/>
    <x v="9"/>
    <s v="Q4"/>
    <x v="4"/>
  </r>
  <r>
    <s v="O104680"/>
    <x v="568"/>
    <x v="3"/>
    <x v="2"/>
    <x v="2"/>
    <x v="0"/>
    <n v="2"/>
    <n v="469437"/>
    <d v="2025-12-10T00:00:00"/>
    <n v="12"/>
    <n v="10"/>
    <n v="2025"/>
    <x v="7"/>
    <s v="Q4"/>
    <x v="2"/>
  </r>
  <r>
    <s v="O100340"/>
    <x v="622"/>
    <x v="4"/>
    <x v="0"/>
    <x v="4"/>
    <x v="1"/>
    <n v="1"/>
    <n v="469141"/>
    <d v="2025-01-21T00:00:00"/>
    <n v="1"/>
    <n v="21"/>
    <n v="2025"/>
    <x v="6"/>
    <s v="Q1"/>
    <x v="4"/>
  </r>
  <r>
    <s v="O108102"/>
    <x v="764"/>
    <x v="9"/>
    <x v="3"/>
    <x v="0"/>
    <x v="0"/>
    <n v="2"/>
    <n v="468753"/>
    <d v="2026-08-05T00:00:00"/>
    <n v="8"/>
    <n v="5"/>
    <n v="2026"/>
    <x v="8"/>
    <s v="Q3"/>
    <x v="0"/>
  </r>
  <r>
    <s v="O104558"/>
    <x v="767"/>
    <x v="2"/>
    <x v="2"/>
    <x v="3"/>
    <x v="3"/>
    <n v="2"/>
    <n v="468722"/>
    <d v="2025-04-10T00:00:00"/>
    <n v="4"/>
    <n v="10"/>
    <n v="2025"/>
    <x v="11"/>
    <s v="Q2"/>
    <x v="3"/>
  </r>
  <r>
    <s v="O108715"/>
    <x v="504"/>
    <x v="6"/>
    <x v="5"/>
    <x v="3"/>
    <x v="3"/>
    <n v="4"/>
    <n v="468404"/>
    <d v="2026-06-14T00:00:00"/>
    <n v="6"/>
    <n v="14"/>
    <n v="2026"/>
    <x v="2"/>
    <s v="Q2"/>
    <x v="3"/>
  </r>
  <r>
    <s v="O111762"/>
    <x v="94"/>
    <x v="1"/>
    <x v="0"/>
    <x v="1"/>
    <x v="1"/>
    <n v="1"/>
    <n v="468279"/>
    <d v="2026-12-16T00:00:00"/>
    <n v="12"/>
    <n v="16"/>
    <n v="2026"/>
    <x v="7"/>
    <s v="Q4"/>
    <x v="1"/>
  </r>
  <r>
    <s v="O109570"/>
    <x v="573"/>
    <x v="4"/>
    <x v="5"/>
    <x v="1"/>
    <x v="0"/>
    <n v="4"/>
    <n v="468180"/>
    <d v="2026-05-08T00:00:00"/>
    <n v="5"/>
    <n v="8"/>
    <n v="2026"/>
    <x v="3"/>
    <s v="Q2"/>
    <x v="1"/>
  </r>
  <r>
    <s v="O104950"/>
    <x v="668"/>
    <x v="2"/>
    <x v="5"/>
    <x v="0"/>
    <x v="3"/>
    <n v="5"/>
    <n v="467762"/>
    <d v="2025-10-28T00:00:00"/>
    <n v="10"/>
    <n v="28"/>
    <n v="2025"/>
    <x v="9"/>
    <s v="Q4"/>
    <x v="0"/>
  </r>
  <r>
    <s v="O109613"/>
    <x v="394"/>
    <x v="5"/>
    <x v="5"/>
    <x v="1"/>
    <x v="1"/>
    <n v="4"/>
    <n v="467332"/>
    <d v="2026-07-08T00:00:00"/>
    <n v="7"/>
    <n v="8"/>
    <n v="2026"/>
    <x v="10"/>
    <s v="Q3"/>
    <x v="1"/>
  </r>
  <r>
    <s v="O103722"/>
    <x v="753"/>
    <x v="6"/>
    <x v="5"/>
    <x v="0"/>
    <x v="0"/>
    <n v="4"/>
    <n v="466744"/>
    <d v="2025-08-15T00:00:00"/>
    <n v="8"/>
    <n v="15"/>
    <n v="2025"/>
    <x v="8"/>
    <s v="Q3"/>
    <x v="0"/>
  </r>
  <r>
    <s v="O110897"/>
    <x v="191"/>
    <x v="2"/>
    <x v="0"/>
    <x v="3"/>
    <x v="2"/>
    <n v="1"/>
    <n v="466335"/>
    <d v="2026-10-24T00:00:00"/>
    <n v="10"/>
    <n v="24"/>
    <n v="2026"/>
    <x v="9"/>
    <s v="Q4"/>
    <x v="3"/>
  </r>
  <r>
    <s v="O107713"/>
    <x v="57"/>
    <x v="1"/>
    <x v="0"/>
    <x v="2"/>
    <x v="1"/>
    <n v="1"/>
    <n v="466078"/>
    <d v="2026-04-14T00:00:00"/>
    <n v="4"/>
    <n v="14"/>
    <n v="2026"/>
    <x v="11"/>
    <s v="Q2"/>
    <x v="2"/>
  </r>
  <r>
    <s v="O109554"/>
    <x v="524"/>
    <x v="9"/>
    <x v="2"/>
    <x v="1"/>
    <x v="0"/>
    <n v="2"/>
    <n v="466069"/>
    <d v="2026-04-08T00:00:00"/>
    <n v="4"/>
    <n v="8"/>
    <n v="2026"/>
    <x v="11"/>
    <s v="Q2"/>
    <x v="1"/>
  </r>
  <r>
    <s v="O101639"/>
    <x v="381"/>
    <x v="5"/>
    <x v="3"/>
    <x v="0"/>
    <x v="1"/>
    <n v="2"/>
    <n v="465981"/>
    <d v="2025-10-04T00:00:00"/>
    <n v="10"/>
    <n v="4"/>
    <n v="2025"/>
    <x v="9"/>
    <s v="Q4"/>
    <x v="0"/>
  </r>
  <r>
    <s v="O110846"/>
    <x v="703"/>
    <x v="1"/>
    <x v="5"/>
    <x v="3"/>
    <x v="2"/>
    <n v="5"/>
    <n v="465401"/>
    <d v="2026-10-21T00:00:00"/>
    <n v="10"/>
    <n v="21"/>
    <n v="2026"/>
    <x v="9"/>
    <s v="Q4"/>
    <x v="3"/>
  </r>
  <r>
    <s v="O105227"/>
    <x v="45"/>
    <x v="9"/>
    <x v="2"/>
    <x v="1"/>
    <x v="2"/>
    <n v="2"/>
    <n v="465280"/>
    <d v="2025-11-14T00:00:00"/>
    <n v="11"/>
    <n v="14"/>
    <n v="2025"/>
    <x v="0"/>
    <s v="Q4"/>
    <x v="1"/>
  </r>
  <r>
    <s v="O108514"/>
    <x v="656"/>
    <x v="0"/>
    <x v="2"/>
    <x v="0"/>
    <x v="3"/>
    <n v="2"/>
    <n v="464647"/>
    <d v="2026-02-06T00:00:00"/>
    <n v="2"/>
    <n v="6"/>
    <n v="2026"/>
    <x v="4"/>
    <s v="Q1"/>
    <x v="0"/>
  </r>
  <r>
    <s v="O101844"/>
    <x v="19"/>
    <x v="3"/>
    <x v="2"/>
    <x v="3"/>
    <x v="2"/>
    <n v="2"/>
    <n v="464463"/>
    <d v="2025-04-22T00:00:00"/>
    <n v="4"/>
    <n v="22"/>
    <n v="2025"/>
    <x v="11"/>
    <s v="Q2"/>
    <x v="3"/>
  </r>
  <r>
    <s v="O108126"/>
    <x v="246"/>
    <x v="6"/>
    <x v="0"/>
    <x v="3"/>
    <x v="0"/>
    <n v="1"/>
    <n v="464304"/>
    <d v="2026-09-05T00:00:00"/>
    <n v="9"/>
    <n v="5"/>
    <n v="2026"/>
    <x v="1"/>
    <s v="Q3"/>
    <x v="3"/>
  </r>
  <r>
    <s v="O103799"/>
    <x v="737"/>
    <x v="10"/>
    <x v="0"/>
    <x v="3"/>
    <x v="1"/>
    <n v="1"/>
    <n v="463928"/>
    <d v="2025-08-19T00:00:00"/>
    <n v="8"/>
    <n v="19"/>
    <n v="2025"/>
    <x v="8"/>
    <s v="Q3"/>
    <x v="3"/>
  </r>
  <r>
    <s v="O109767"/>
    <x v="669"/>
    <x v="4"/>
    <x v="2"/>
    <x v="3"/>
    <x v="1"/>
    <n v="2"/>
    <n v="463520"/>
    <d v="2026-08-17T00:00:00"/>
    <n v="8"/>
    <n v="17"/>
    <n v="2026"/>
    <x v="8"/>
    <s v="Q3"/>
    <x v="3"/>
  </r>
  <r>
    <s v="O107233"/>
    <x v="537"/>
    <x v="8"/>
    <x v="0"/>
    <x v="3"/>
    <x v="2"/>
    <n v="1"/>
    <n v="463508"/>
    <d v="2026-03-16T00:00:00"/>
    <n v="3"/>
    <n v="16"/>
    <n v="2026"/>
    <x v="5"/>
    <s v="Q1"/>
    <x v="3"/>
  </r>
  <r>
    <s v="O107758"/>
    <x v="172"/>
    <x v="10"/>
    <x v="5"/>
    <x v="4"/>
    <x v="0"/>
    <n v="5"/>
    <n v="463480"/>
    <d v="2026-04-17T00:00:00"/>
    <n v="4"/>
    <n v="17"/>
    <n v="2026"/>
    <x v="11"/>
    <s v="Q2"/>
    <x v="4"/>
  </r>
  <r>
    <s v="O108485"/>
    <x v="644"/>
    <x v="0"/>
    <x v="4"/>
    <x v="4"/>
    <x v="1"/>
    <n v="3"/>
    <n v="463054"/>
    <d v="2026-05-31T00:00:00"/>
    <n v="5"/>
    <n v="31"/>
    <n v="2026"/>
    <x v="3"/>
    <s v="Q2"/>
    <x v="4"/>
  </r>
  <r>
    <s v="O107834"/>
    <x v="504"/>
    <x v="10"/>
    <x v="5"/>
    <x v="4"/>
    <x v="3"/>
    <n v="4"/>
    <n v="463000"/>
    <d v="2026-04-21T00:00:00"/>
    <n v="4"/>
    <n v="21"/>
    <n v="2026"/>
    <x v="11"/>
    <s v="Q2"/>
    <x v="4"/>
  </r>
  <r>
    <s v="O101854"/>
    <x v="758"/>
    <x v="3"/>
    <x v="5"/>
    <x v="2"/>
    <x v="0"/>
    <n v="4"/>
    <n v="462963"/>
    <d v="2025-04-23T00:00:00"/>
    <n v="4"/>
    <n v="23"/>
    <n v="2025"/>
    <x v="11"/>
    <s v="Q2"/>
    <x v="2"/>
  </r>
  <r>
    <s v="O111008"/>
    <x v="684"/>
    <x v="10"/>
    <x v="5"/>
    <x v="4"/>
    <x v="0"/>
    <n v="5"/>
    <n v="462824"/>
    <d v="2026-10-31T00:00:00"/>
    <n v="10"/>
    <n v="31"/>
    <n v="2026"/>
    <x v="9"/>
    <s v="Q4"/>
    <x v="4"/>
  </r>
  <r>
    <s v="O109861"/>
    <x v="227"/>
    <x v="4"/>
    <x v="5"/>
    <x v="2"/>
    <x v="1"/>
    <n v="5"/>
    <n v="462379"/>
    <d v="2026-08-23T00:00:00"/>
    <n v="8"/>
    <n v="23"/>
    <n v="2026"/>
    <x v="8"/>
    <s v="Q3"/>
    <x v="2"/>
  </r>
  <r>
    <s v="O107388"/>
    <x v="112"/>
    <x v="5"/>
    <x v="3"/>
    <x v="0"/>
    <x v="0"/>
    <n v="2"/>
    <n v="462109"/>
    <d v="2026-03-25T00:00:00"/>
    <n v="3"/>
    <n v="25"/>
    <n v="2026"/>
    <x v="5"/>
    <s v="Q1"/>
    <x v="0"/>
  </r>
  <r>
    <s v="O110770"/>
    <x v="757"/>
    <x v="4"/>
    <x v="2"/>
    <x v="4"/>
    <x v="3"/>
    <n v="2"/>
    <n v="461854"/>
    <d v="2026-10-17T00:00:00"/>
    <n v="10"/>
    <n v="17"/>
    <n v="2026"/>
    <x v="9"/>
    <s v="Q4"/>
    <x v="4"/>
  </r>
  <r>
    <s v="O105656"/>
    <x v="179"/>
    <x v="5"/>
    <x v="0"/>
    <x v="4"/>
    <x v="0"/>
    <n v="1"/>
    <n v="461276"/>
    <d v="2025-10-12T00:00:00"/>
    <n v="10"/>
    <n v="12"/>
    <n v="2025"/>
    <x v="9"/>
    <s v="Q4"/>
    <x v="4"/>
  </r>
  <r>
    <s v="O101511"/>
    <x v="610"/>
    <x v="5"/>
    <x v="5"/>
    <x v="3"/>
    <x v="2"/>
    <n v="5"/>
    <n v="461015"/>
    <d v="2025-02-04T00:00:00"/>
    <n v="2"/>
    <n v="4"/>
    <n v="2025"/>
    <x v="4"/>
    <s v="Q1"/>
    <x v="3"/>
  </r>
  <r>
    <s v="O100672"/>
    <x v="338"/>
    <x v="10"/>
    <x v="5"/>
    <x v="1"/>
    <x v="2"/>
    <n v="4"/>
    <n v="460421"/>
    <d v="2025-10-02T00:00:00"/>
    <n v="10"/>
    <n v="2"/>
    <n v="2025"/>
    <x v="9"/>
    <s v="Q4"/>
    <x v="1"/>
  </r>
  <r>
    <s v="O104607"/>
    <x v="334"/>
    <x v="6"/>
    <x v="5"/>
    <x v="2"/>
    <x v="1"/>
    <n v="5"/>
    <n v="460236"/>
    <d v="2025-07-10T00:00:00"/>
    <n v="7"/>
    <n v="10"/>
    <n v="2025"/>
    <x v="10"/>
    <s v="Q3"/>
    <x v="2"/>
  </r>
  <r>
    <s v="O101001"/>
    <x v="298"/>
    <x v="3"/>
    <x v="0"/>
    <x v="2"/>
    <x v="2"/>
    <n v="1"/>
    <n v="459896"/>
    <d v="2025-02-03T00:00:00"/>
    <n v="2"/>
    <n v="3"/>
    <n v="2025"/>
    <x v="4"/>
    <s v="Q1"/>
    <x v="2"/>
  </r>
  <r>
    <s v="O101469"/>
    <x v="465"/>
    <x v="9"/>
    <x v="5"/>
    <x v="2"/>
    <x v="3"/>
    <n v="4"/>
    <n v="459578"/>
    <d v="2025-03-31T00:00:00"/>
    <n v="3"/>
    <n v="31"/>
    <n v="2025"/>
    <x v="5"/>
    <s v="Q1"/>
    <x v="2"/>
  </r>
  <r>
    <s v="O103618"/>
    <x v="425"/>
    <x v="2"/>
    <x v="5"/>
    <x v="1"/>
    <x v="0"/>
    <n v="4"/>
    <n v="459270"/>
    <d v="2025-08-08T00:00:00"/>
    <n v="8"/>
    <n v="8"/>
    <n v="2025"/>
    <x v="8"/>
    <s v="Q3"/>
    <x v="1"/>
  </r>
  <r>
    <s v="O101102"/>
    <x v="738"/>
    <x v="2"/>
    <x v="3"/>
    <x v="3"/>
    <x v="1"/>
    <n v="2"/>
    <n v="459138"/>
    <d v="2025-08-03T00:00:00"/>
    <n v="8"/>
    <n v="3"/>
    <n v="2025"/>
    <x v="8"/>
    <s v="Q3"/>
    <x v="3"/>
  </r>
  <r>
    <s v="O111335"/>
    <x v="243"/>
    <x v="0"/>
    <x v="0"/>
    <x v="3"/>
    <x v="1"/>
    <n v="1"/>
    <n v="458882"/>
    <d v="2026-11-20T00:00:00"/>
    <n v="11"/>
    <n v="20"/>
    <n v="2026"/>
    <x v="0"/>
    <s v="Q4"/>
    <x v="3"/>
  </r>
  <r>
    <s v="O110045"/>
    <x v="579"/>
    <x v="10"/>
    <x v="4"/>
    <x v="3"/>
    <x v="2"/>
    <n v="3"/>
    <n v="457960"/>
    <d v="2026-03-09T00:00:00"/>
    <n v="3"/>
    <n v="9"/>
    <n v="2026"/>
    <x v="5"/>
    <s v="Q1"/>
    <x v="3"/>
  </r>
  <r>
    <s v="O101609"/>
    <x v="741"/>
    <x v="9"/>
    <x v="0"/>
    <x v="1"/>
    <x v="0"/>
    <n v="1"/>
    <n v="457746"/>
    <d v="2025-08-04T00:00:00"/>
    <n v="8"/>
    <n v="4"/>
    <n v="2025"/>
    <x v="8"/>
    <s v="Q3"/>
    <x v="1"/>
  </r>
  <r>
    <s v="O107646"/>
    <x v="0"/>
    <x v="6"/>
    <x v="2"/>
    <x v="1"/>
    <x v="3"/>
    <n v="2"/>
    <n v="457130"/>
    <d v="2026-10-04T00:00:00"/>
    <n v="10"/>
    <n v="4"/>
    <n v="2026"/>
    <x v="9"/>
    <s v="Q4"/>
    <x v="1"/>
  </r>
  <r>
    <s v="O103045"/>
    <x v="651"/>
    <x v="2"/>
    <x v="4"/>
    <x v="4"/>
    <x v="2"/>
    <n v="3"/>
    <n v="456449"/>
    <d v="2025-04-07T00:00:00"/>
    <n v="4"/>
    <n v="7"/>
    <n v="2025"/>
    <x v="11"/>
    <s v="Q2"/>
    <x v="4"/>
  </r>
  <r>
    <s v="O107725"/>
    <x v="276"/>
    <x v="10"/>
    <x v="5"/>
    <x v="0"/>
    <x v="0"/>
    <n v="4"/>
    <n v="456390"/>
    <d v="2026-04-15T00:00:00"/>
    <n v="4"/>
    <n v="15"/>
    <n v="2026"/>
    <x v="11"/>
    <s v="Q2"/>
    <x v="0"/>
  </r>
  <r>
    <s v="O102717"/>
    <x v="282"/>
    <x v="9"/>
    <x v="2"/>
    <x v="4"/>
    <x v="2"/>
    <n v="2"/>
    <n v="456055"/>
    <d v="2025-06-15T00:00:00"/>
    <n v="6"/>
    <n v="15"/>
    <n v="2025"/>
    <x v="2"/>
    <s v="Q2"/>
    <x v="4"/>
  </r>
  <r>
    <s v="O102210"/>
    <x v="519"/>
    <x v="4"/>
    <x v="3"/>
    <x v="0"/>
    <x v="2"/>
    <n v="2"/>
    <n v="455935"/>
    <d v="2025-05-15T00:00:00"/>
    <n v="5"/>
    <n v="15"/>
    <n v="2025"/>
    <x v="3"/>
    <s v="Q2"/>
    <x v="0"/>
  </r>
  <r>
    <s v="O107545"/>
    <x v="740"/>
    <x v="9"/>
    <x v="0"/>
    <x v="1"/>
    <x v="3"/>
    <n v="1"/>
    <n v="455510"/>
    <d v="2026-04-04T00:00:00"/>
    <n v="4"/>
    <n v="4"/>
    <n v="2026"/>
    <x v="11"/>
    <s v="Q2"/>
    <x v="1"/>
  </r>
  <r>
    <s v="O105293"/>
    <x v="140"/>
    <x v="9"/>
    <x v="0"/>
    <x v="4"/>
    <x v="0"/>
    <n v="1"/>
    <n v="455375"/>
    <d v="2025-11-18T00:00:00"/>
    <n v="11"/>
    <n v="18"/>
    <n v="2025"/>
    <x v="0"/>
    <s v="Q4"/>
    <x v="4"/>
  </r>
  <r>
    <s v="O107602"/>
    <x v="94"/>
    <x v="8"/>
    <x v="0"/>
    <x v="0"/>
    <x v="0"/>
    <n v="1"/>
    <n v="455259"/>
    <d v="2026-04-07T00:00:00"/>
    <n v="4"/>
    <n v="7"/>
    <n v="2026"/>
    <x v="11"/>
    <s v="Q2"/>
    <x v="0"/>
  </r>
  <r>
    <s v="O108530"/>
    <x v="541"/>
    <x v="2"/>
    <x v="2"/>
    <x v="3"/>
    <x v="2"/>
    <n v="2"/>
    <n v="454893"/>
    <d v="2026-03-06T00:00:00"/>
    <n v="3"/>
    <n v="6"/>
    <n v="2026"/>
    <x v="5"/>
    <s v="Q1"/>
    <x v="3"/>
  </r>
  <r>
    <s v="O102243"/>
    <x v="765"/>
    <x v="6"/>
    <x v="2"/>
    <x v="2"/>
    <x v="1"/>
    <n v="2"/>
    <n v="454730"/>
    <d v="2025-05-17T00:00:00"/>
    <n v="5"/>
    <n v="17"/>
    <n v="2025"/>
    <x v="3"/>
    <s v="Q2"/>
    <x v="2"/>
  </r>
  <r>
    <s v="O106220"/>
    <x v="546"/>
    <x v="1"/>
    <x v="0"/>
    <x v="3"/>
    <x v="1"/>
    <n v="1"/>
    <n v="453962"/>
    <d v="2026-01-13T00:00:00"/>
    <n v="1"/>
    <n v="13"/>
    <n v="2026"/>
    <x v="6"/>
    <s v="Q1"/>
    <x v="3"/>
  </r>
  <r>
    <s v="O106090"/>
    <x v="230"/>
    <x v="1"/>
    <x v="0"/>
    <x v="3"/>
    <x v="0"/>
    <n v="1"/>
    <n v="453922"/>
    <d v="2026-05-01T00:00:00"/>
    <n v="5"/>
    <n v="1"/>
    <n v="2026"/>
    <x v="3"/>
    <s v="Q2"/>
    <x v="3"/>
  </r>
  <r>
    <s v="O101801"/>
    <x v="322"/>
    <x v="1"/>
    <x v="3"/>
    <x v="1"/>
    <x v="1"/>
    <n v="2"/>
    <n v="453779"/>
    <d v="2025-04-20T00:00:00"/>
    <n v="4"/>
    <n v="20"/>
    <n v="2025"/>
    <x v="11"/>
    <s v="Q2"/>
    <x v="1"/>
  </r>
  <r>
    <s v="O107127"/>
    <x v="671"/>
    <x v="5"/>
    <x v="0"/>
    <x v="2"/>
    <x v="3"/>
    <n v="1"/>
    <n v="453129"/>
    <d v="2026-09-03T00:00:00"/>
    <n v="9"/>
    <n v="3"/>
    <n v="2026"/>
    <x v="1"/>
    <s v="Q3"/>
    <x v="2"/>
  </r>
  <r>
    <s v="O111030"/>
    <x v="515"/>
    <x v="8"/>
    <x v="0"/>
    <x v="0"/>
    <x v="2"/>
    <n v="1"/>
    <n v="452949"/>
    <d v="2026-02-11T00:00:00"/>
    <n v="2"/>
    <n v="11"/>
    <n v="2026"/>
    <x v="4"/>
    <s v="Q1"/>
    <x v="0"/>
  </r>
  <r>
    <s v="O102806"/>
    <x v="458"/>
    <x v="0"/>
    <x v="3"/>
    <x v="0"/>
    <x v="0"/>
    <n v="2"/>
    <n v="452761"/>
    <d v="2025-06-20T00:00:00"/>
    <n v="6"/>
    <n v="20"/>
    <n v="2025"/>
    <x v="2"/>
    <s v="Q2"/>
    <x v="0"/>
  </r>
  <r>
    <s v="O104855"/>
    <x v="151"/>
    <x v="10"/>
    <x v="2"/>
    <x v="4"/>
    <x v="3"/>
    <n v="2"/>
    <n v="452511"/>
    <d v="2025-10-22T00:00:00"/>
    <n v="10"/>
    <n v="22"/>
    <n v="2025"/>
    <x v="9"/>
    <s v="Q4"/>
    <x v="4"/>
  </r>
  <r>
    <s v="O101245"/>
    <x v="357"/>
    <x v="10"/>
    <x v="4"/>
    <x v="2"/>
    <x v="3"/>
    <n v="3"/>
    <n v="452141"/>
    <d v="2025-03-17T00:00:00"/>
    <n v="3"/>
    <n v="17"/>
    <n v="2025"/>
    <x v="5"/>
    <s v="Q1"/>
    <x v="2"/>
  </r>
  <r>
    <s v="O111113"/>
    <x v="141"/>
    <x v="6"/>
    <x v="0"/>
    <x v="1"/>
    <x v="3"/>
    <n v="1"/>
    <n v="451686"/>
    <d v="2026-07-11T00:00:00"/>
    <n v="7"/>
    <n v="11"/>
    <n v="2026"/>
    <x v="10"/>
    <s v="Q3"/>
    <x v="1"/>
  </r>
  <r>
    <s v="O101136"/>
    <x v="559"/>
    <x v="10"/>
    <x v="0"/>
    <x v="4"/>
    <x v="2"/>
    <n v="1"/>
    <n v="451021"/>
    <d v="2025-10-03T00:00:00"/>
    <n v="10"/>
    <n v="3"/>
    <n v="2025"/>
    <x v="9"/>
    <m/>
    <x v="4"/>
  </r>
  <r>
    <s v="O109766"/>
    <x v="443"/>
    <x v="3"/>
    <x v="0"/>
    <x v="2"/>
    <x v="0"/>
    <n v="1"/>
    <n v="450717"/>
    <d v="2026-08-17T00:00:00"/>
    <n v="8"/>
    <n v="17"/>
    <n v="2026"/>
    <x v="8"/>
    <m/>
    <x v="2"/>
  </r>
  <r>
    <s v="O105937"/>
    <x v="754"/>
    <x v="10"/>
    <x v="2"/>
    <x v="0"/>
    <x v="0"/>
    <n v="2"/>
    <n v="450635"/>
    <d v="2025-12-27T00:00:00"/>
    <n v="12"/>
    <n v="27"/>
    <n v="2025"/>
    <x v="7"/>
    <s v="Q4"/>
    <x v="0"/>
  </r>
  <r>
    <s v="O111158"/>
    <x v="213"/>
    <x v="0"/>
    <x v="0"/>
    <x v="2"/>
    <x v="2"/>
    <n v="1"/>
    <n v="450083"/>
    <d v="2026-09-11T00:00:00"/>
    <n v="9"/>
    <n v="11"/>
    <n v="2026"/>
    <x v="1"/>
    <m/>
    <x v="2"/>
  </r>
  <r>
    <s v="O108030"/>
    <x v="246"/>
    <x v="0"/>
    <x v="4"/>
    <x v="3"/>
    <x v="1"/>
    <n v="2"/>
    <n v="449790"/>
    <d v="2026-03-05T00:00:00"/>
    <n v="3"/>
    <n v="5"/>
    <n v="2026"/>
    <x v="5"/>
    <s v="Q1"/>
    <x v="3"/>
  </r>
  <r>
    <s v="O111211"/>
    <x v="388"/>
    <x v="0"/>
    <x v="0"/>
    <x v="3"/>
    <x v="3"/>
    <n v="1"/>
    <n v="449341"/>
    <d v="2026-11-13T00:00:00"/>
    <n v="11"/>
    <n v="13"/>
    <n v="2026"/>
    <x v="0"/>
    <s v="Q4"/>
    <x v="3"/>
  </r>
  <r>
    <s v="O109334"/>
    <x v="591"/>
    <x v="4"/>
    <x v="4"/>
    <x v="1"/>
    <x v="3"/>
    <n v="2"/>
    <n v="449067"/>
    <d v="2026-07-22T00:00:00"/>
    <n v="7"/>
    <n v="22"/>
    <n v="2026"/>
    <x v="10"/>
    <s v="Q3"/>
    <x v="1"/>
  </r>
  <r>
    <s v="O107119"/>
    <x v="630"/>
    <x v="9"/>
    <x v="4"/>
    <x v="1"/>
    <x v="3"/>
    <n v="3"/>
    <n v="448862"/>
    <d v="2026-09-03T00:00:00"/>
    <n v="9"/>
    <n v="3"/>
    <n v="2026"/>
    <x v="1"/>
    <s v="Q3"/>
    <x v="1"/>
  </r>
  <r>
    <s v="O100706"/>
    <x v="406"/>
    <x v="4"/>
    <x v="3"/>
    <x v="0"/>
    <x v="2"/>
    <n v="2"/>
    <n v="448349"/>
    <d v="2025-12-02T00:00:00"/>
    <n v="12"/>
    <n v="2"/>
    <n v="2025"/>
    <x v="7"/>
    <s v="Q4"/>
    <x v="0"/>
  </r>
  <r>
    <s v="O105333"/>
    <x v="339"/>
    <x v="3"/>
    <x v="0"/>
    <x v="4"/>
    <x v="3"/>
    <n v="1"/>
    <n v="448287"/>
    <d v="2025-11-20T00:00:00"/>
    <n v="11"/>
    <n v="20"/>
    <n v="2025"/>
    <x v="0"/>
    <s v="Q4"/>
    <x v="4"/>
  </r>
  <r>
    <s v="O106518"/>
    <x v="739"/>
    <x v="1"/>
    <x v="4"/>
    <x v="1"/>
    <x v="0"/>
    <n v="2"/>
    <n v="447078"/>
    <d v="2026-01-31T00:00:00"/>
    <n v="1"/>
    <n v="31"/>
    <n v="2026"/>
    <x v="6"/>
    <s v="Q1"/>
    <x v="1"/>
  </r>
  <r>
    <s v="O108212"/>
    <x v="644"/>
    <x v="1"/>
    <x v="4"/>
    <x v="3"/>
    <x v="2"/>
    <n v="3"/>
    <n v="447042"/>
    <d v="2026-05-14T00:00:00"/>
    <n v="5"/>
    <n v="14"/>
    <n v="2026"/>
    <x v="3"/>
    <s v="Q2"/>
    <x v="3"/>
  </r>
  <r>
    <s v="O103628"/>
    <x v="725"/>
    <x v="6"/>
    <x v="5"/>
    <x v="1"/>
    <x v="0"/>
    <n v="3"/>
    <n v="447039"/>
    <d v="2025-09-08T00:00:00"/>
    <n v="9"/>
    <n v="8"/>
    <n v="2025"/>
    <x v="1"/>
    <m/>
    <x v="1"/>
  </r>
  <r>
    <s v="O110149"/>
    <x v="247"/>
    <x v="4"/>
    <x v="5"/>
    <x v="3"/>
    <x v="1"/>
    <n v="4"/>
    <n v="446658"/>
    <d v="2026-09-09T00:00:00"/>
    <n v="9"/>
    <n v="9"/>
    <n v="2026"/>
    <x v="1"/>
    <s v="Q3"/>
    <x v="3"/>
  </r>
  <r>
    <s v="O104924"/>
    <x v="304"/>
    <x v="7"/>
    <x v="5"/>
    <x v="3"/>
    <x v="0"/>
    <n v="3"/>
    <n v="446210"/>
    <d v="2025-10-27T00:00:00"/>
    <n v="10"/>
    <n v="27"/>
    <n v="2025"/>
    <x v="9"/>
    <s v="Q4"/>
    <x v="3"/>
  </r>
  <r>
    <s v="O108091"/>
    <x v="764"/>
    <x v="1"/>
    <x v="5"/>
    <x v="0"/>
    <x v="0"/>
    <n v="3"/>
    <n v="446179"/>
    <d v="2026-07-05T00:00:00"/>
    <n v="7"/>
    <n v="5"/>
    <n v="2026"/>
    <x v="10"/>
    <s v="Q3"/>
    <x v="0"/>
  </r>
  <r>
    <s v="O107657"/>
    <x v="792"/>
    <x v="3"/>
    <x v="4"/>
    <x v="4"/>
    <x v="3"/>
    <n v="2"/>
    <n v="445389"/>
    <d v="2026-11-04T00:00:00"/>
    <n v="11"/>
    <n v="4"/>
    <n v="2026"/>
    <x v="0"/>
    <s v="Q4"/>
    <x v="4"/>
  </r>
  <r>
    <s v="O110043"/>
    <x v="794"/>
    <x v="1"/>
    <x v="0"/>
    <x v="1"/>
    <x v="0"/>
    <n v="1"/>
    <n v="445225"/>
    <d v="2026-03-09T00:00:00"/>
    <n v="3"/>
    <n v="9"/>
    <n v="2026"/>
    <x v="5"/>
    <s v="Q1"/>
    <x v="1"/>
  </r>
  <r>
    <s v="O110486"/>
    <x v="195"/>
    <x v="0"/>
    <x v="5"/>
    <x v="2"/>
    <x v="0"/>
    <n v="3"/>
    <n v="444661"/>
    <d v="2026-09-30T00:00:00"/>
    <n v="9"/>
    <n v="30"/>
    <n v="2026"/>
    <x v="1"/>
    <s v="Q3"/>
    <x v="2"/>
  </r>
  <r>
    <s v="O111182"/>
    <x v="374"/>
    <x v="9"/>
    <x v="5"/>
    <x v="0"/>
    <x v="2"/>
    <n v="4"/>
    <n v="444554"/>
    <d v="2026-11-11T00:00:00"/>
    <n v="11"/>
    <n v="11"/>
    <n v="2026"/>
    <x v="0"/>
    <s v="Q4"/>
    <x v="0"/>
  </r>
  <r>
    <s v="O107915"/>
    <x v="660"/>
    <x v="2"/>
    <x v="0"/>
    <x v="4"/>
    <x v="1"/>
    <n v="1"/>
    <n v="444373"/>
    <d v="2026-04-26T00:00:00"/>
    <n v="4"/>
    <n v="26"/>
    <n v="2026"/>
    <x v="11"/>
    <m/>
    <x v="4"/>
  </r>
  <r>
    <s v="O107547"/>
    <x v="566"/>
    <x v="4"/>
    <x v="4"/>
    <x v="2"/>
    <x v="1"/>
    <n v="2"/>
    <n v="443960"/>
    <d v="2026-04-04T00:00:00"/>
    <n v="4"/>
    <n v="4"/>
    <n v="2026"/>
    <x v="11"/>
    <s v="Q2"/>
    <x v="2"/>
  </r>
  <r>
    <s v="O110561"/>
    <x v="335"/>
    <x v="1"/>
    <x v="0"/>
    <x v="1"/>
    <x v="0"/>
    <n v="1"/>
    <n v="443959"/>
    <d v="2026-04-10T00:00:00"/>
    <n v="4"/>
    <n v="10"/>
    <n v="2026"/>
    <x v="11"/>
    <s v="Q2"/>
    <x v="1"/>
  </r>
  <r>
    <s v="O105521"/>
    <x v="535"/>
    <x v="8"/>
    <x v="5"/>
    <x v="2"/>
    <x v="0"/>
    <n v="3"/>
    <n v="443835"/>
    <d v="2025-02-12T00:00:00"/>
    <n v="2"/>
    <n v="12"/>
    <n v="2025"/>
    <x v="4"/>
    <s v="Q1"/>
    <x v="2"/>
  </r>
  <r>
    <s v="O103569"/>
    <x v="539"/>
    <x v="4"/>
    <x v="4"/>
    <x v="1"/>
    <x v="2"/>
    <n v="2"/>
    <n v="443720"/>
    <d v="2025-05-08T00:00:00"/>
    <n v="5"/>
    <n v="8"/>
    <n v="2025"/>
    <x v="3"/>
    <s v="Q2"/>
    <x v="1"/>
  </r>
  <r>
    <s v="O105003"/>
    <x v="502"/>
    <x v="8"/>
    <x v="5"/>
    <x v="4"/>
    <x v="2"/>
    <n v="4"/>
    <n v="443602"/>
    <d v="2025-10-31T00:00:00"/>
    <n v="10"/>
    <n v="31"/>
    <n v="2025"/>
    <x v="9"/>
    <s v="Q4"/>
    <x v="4"/>
  </r>
  <r>
    <s v="O105745"/>
    <x v="530"/>
    <x v="10"/>
    <x v="0"/>
    <x v="4"/>
    <x v="0"/>
    <n v="1"/>
    <n v="443527"/>
    <d v="2025-12-15T00:00:00"/>
    <n v="12"/>
    <n v="15"/>
    <n v="2025"/>
    <x v="7"/>
    <s v="Q4"/>
    <x v="4"/>
  </r>
  <r>
    <s v="O109320"/>
    <x v="760"/>
    <x v="2"/>
    <x v="4"/>
    <x v="1"/>
    <x v="0"/>
    <n v="2"/>
    <n v="443461"/>
    <d v="2026-07-21T00:00:00"/>
    <n v="7"/>
    <n v="21"/>
    <n v="2026"/>
    <x v="10"/>
    <s v="Q3"/>
    <x v="1"/>
  </r>
  <r>
    <s v="O110786"/>
    <x v="199"/>
    <x v="3"/>
    <x v="0"/>
    <x v="0"/>
    <x v="2"/>
    <n v="1"/>
    <n v="443445"/>
    <d v="2026-10-18T00:00:00"/>
    <n v="10"/>
    <n v="18"/>
    <n v="2026"/>
    <x v="9"/>
    <s v="Q4"/>
    <x v="0"/>
  </r>
  <r>
    <s v="O111852"/>
    <x v="589"/>
    <x v="10"/>
    <x v="5"/>
    <x v="0"/>
    <x v="0"/>
    <n v="4"/>
    <n v="443115"/>
    <d v="2026-12-22T00:00:00"/>
    <n v="12"/>
    <n v="22"/>
    <n v="2026"/>
    <x v="7"/>
    <s v="Q4"/>
    <x v="0"/>
  </r>
  <r>
    <s v="O101998"/>
    <x v="43"/>
    <x v="5"/>
    <x v="0"/>
    <x v="4"/>
    <x v="2"/>
    <n v="1"/>
    <n v="442987"/>
    <d v="2025-02-05T00:00:00"/>
    <n v="2"/>
    <n v="5"/>
    <n v="2025"/>
    <x v="4"/>
    <s v="Q1"/>
    <x v="4"/>
  </r>
  <r>
    <s v="O105183"/>
    <x v="556"/>
    <x v="1"/>
    <x v="0"/>
    <x v="0"/>
    <x v="1"/>
    <n v="1"/>
    <n v="442751"/>
    <d v="2025-11-11T00:00:00"/>
    <n v="11"/>
    <n v="11"/>
    <n v="2025"/>
    <x v="0"/>
    <s v="Q4"/>
    <x v="0"/>
  </r>
  <r>
    <s v="O100451"/>
    <x v="56"/>
    <x v="6"/>
    <x v="4"/>
    <x v="0"/>
    <x v="2"/>
    <n v="3"/>
    <n v="442714"/>
    <d v="2025-01-28T00:00:00"/>
    <n v="1"/>
    <n v="28"/>
    <n v="2025"/>
    <x v="6"/>
    <s v="Q1"/>
    <x v="0"/>
  </r>
  <r>
    <s v="O111275"/>
    <x v="32"/>
    <x v="3"/>
    <x v="0"/>
    <x v="2"/>
    <x v="2"/>
    <n v="1"/>
    <n v="441712"/>
    <d v="2026-11-16T00:00:00"/>
    <n v="11"/>
    <n v="16"/>
    <n v="2026"/>
    <x v="0"/>
    <s v="Q4"/>
    <x v="2"/>
  </r>
  <r>
    <s v="O100719"/>
    <x v="780"/>
    <x v="0"/>
    <x v="0"/>
    <x v="0"/>
    <x v="2"/>
    <n v="1"/>
    <n v="441646"/>
    <d v="2025-02-13T00:00:00"/>
    <n v="2"/>
    <n v="13"/>
    <n v="2025"/>
    <x v="4"/>
    <s v="Q1"/>
    <x v="0"/>
  </r>
  <r>
    <s v="O111570"/>
    <x v="232"/>
    <x v="6"/>
    <x v="4"/>
    <x v="3"/>
    <x v="3"/>
    <n v="2"/>
    <n v="441635"/>
    <d v="2026-04-12T00:00:00"/>
    <n v="4"/>
    <n v="12"/>
    <n v="2026"/>
    <x v="11"/>
    <s v="Q2"/>
    <x v="3"/>
  </r>
  <r>
    <s v="O110947"/>
    <x v="252"/>
    <x v="9"/>
    <x v="0"/>
    <x v="0"/>
    <x v="3"/>
    <n v="1"/>
    <n v="441620"/>
    <d v="2026-10-28T00:00:00"/>
    <n v="10"/>
    <n v="28"/>
    <n v="2026"/>
    <x v="9"/>
    <s v="Q4"/>
    <x v="0"/>
  </r>
  <r>
    <s v="O111865"/>
    <x v="534"/>
    <x v="3"/>
    <x v="4"/>
    <x v="4"/>
    <x v="2"/>
    <n v="3"/>
    <n v="440926"/>
    <d v="2026-12-22T00:00:00"/>
    <n v="12"/>
    <n v="22"/>
    <n v="2026"/>
    <x v="7"/>
    <s v="Q4"/>
    <x v="4"/>
  </r>
  <r>
    <s v="O102890"/>
    <x v="562"/>
    <x v="9"/>
    <x v="5"/>
    <x v="3"/>
    <x v="1"/>
    <n v="3"/>
    <n v="440791"/>
    <d v="2025-06-25T00:00:00"/>
    <n v="6"/>
    <n v="25"/>
    <n v="2025"/>
    <x v="2"/>
    <s v="Q2"/>
    <x v="3"/>
  </r>
  <r>
    <s v="O100246"/>
    <x v="339"/>
    <x v="8"/>
    <x v="3"/>
    <x v="0"/>
    <x v="2"/>
    <n v="2"/>
    <n v="440703"/>
    <d v="2025-01-15T00:00:00"/>
    <n v="1"/>
    <n v="15"/>
    <n v="2025"/>
    <x v="6"/>
    <s v="Q1"/>
    <x v="0"/>
  </r>
  <r>
    <s v="O101089"/>
    <x v="362"/>
    <x v="3"/>
    <x v="3"/>
    <x v="4"/>
    <x v="0"/>
    <n v="2"/>
    <n v="440329"/>
    <d v="2025-08-03T00:00:00"/>
    <n v="8"/>
    <n v="3"/>
    <n v="2025"/>
    <x v="8"/>
    <s v="Q3"/>
    <x v="4"/>
  </r>
  <r>
    <s v="O105414"/>
    <x v="774"/>
    <x v="3"/>
    <x v="0"/>
    <x v="3"/>
    <x v="1"/>
    <n v="1"/>
    <n v="440304"/>
    <d v="2025-11-25T00:00:00"/>
    <n v="11"/>
    <n v="25"/>
    <n v="2025"/>
    <x v="0"/>
    <s v="Q4"/>
    <x v="3"/>
  </r>
  <r>
    <s v="O108442"/>
    <x v="373"/>
    <x v="4"/>
    <x v="0"/>
    <x v="2"/>
    <x v="0"/>
    <n v="1"/>
    <n v="440161"/>
    <d v="2026-05-28T00:00:00"/>
    <n v="5"/>
    <n v="28"/>
    <n v="2026"/>
    <x v="3"/>
    <s v="Q2"/>
    <x v="2"/>
  </r>
  <r>
    <s v="O104290"/>
    <x v="465"/>
    <x v="9"/>
    <x v="4"/>
    <x v="4"/>
    <x v="2"/>
    <n v="2"/>
    <n v="440151"/>
    <d v="2025-09-18T00:00:00"/>
    <n v="9"/>
    <n v="18"/>
    <n v="2025"/>
    <x v="1"/>
    <s v="Q3"/>
    <x v="4"/>
  </r>
  <r>
    <s v="O105029"/>
    <x v="98"/>
    <x v="2"/>
    <x v="4"/>
    <x v="0"/>
    <x v="0"/>
    <n v="3"/>
    <n v="440090"/>
    <d v="2025-02-11T00:00:00"/>
    <n v="2"/>
    <n v="11"/>
    <n v="2025"/>
    <x v="4"/>
    <s v="Q1"/>
    <x v="0"/>
  </r>
  <r>
    <s v="O100027"/>
    <x v="324"/>
    <x v="2"/>
    <x v="0"/>
    <x v="3"/>
    <x v="2"/>
    <n v="1"/>
    <n v="440068"/>
    <d v="2025-02-01T00:00:00"/>
    <n v="2"/>
    <n v="1"/>
    <n v="2025"/>
    <x v="4"/>
    <m/>
    <x v="3"/>
  </r>
  <r>
    <s v="O100924"/>
    <x v="798"/>
    <x v="4"/>
    <x v="4"/>
    <x v="4"/>
    <x v="1"/>
    <n v="2"/>
    <n v="439309"/>
    <d v="2025-02-26T00:00:00"/>
    <n v="2"/>
    <n v="26"/>
    <n v="2025"/>
    <x v="4"/>
    <s v="Q1"/>
    <x v="4"/>
  </r>
  <r>
    <s v="O108016"/>
    <x v="154"/>
    <x v="4"/>
    <x v="4"/>
    <x v="0"/>
    <x v="1"/>
    <n v="2"/>
    <n v="438904"/>
    <d v="2026-02-05T00:00:00"/>
    <n v="2"/>
    <n v="5"/>
    <n v="2026"/>
    <x v="4"/>
    <s v="Q1"/>
    <x v="0"/>
  </r>
  <r>
    <s v="O101601"/>
    <x v="62"/>
    <x v="5"/>
    <x v="0"/>
    <x v="0"/>
    <x v="3"/>
    <n v="1"/>
    <n v="438867"/>
    <d v="2025-08-04T00:00:00"/>
    <n v="8"/>
    <n v="4"/>
    <n v="2025"/>
    <x v="8"/>
    <s v="Q3"/>
    <x v="0"/>
  </r>
  <r>
    <s v="O101289"/>
    <x v="670"/>
    <x v="2"/>
    <x v="0"/>
    <x v="1"/>
    <x v="1"/>
    <n v="1"/>
    <n v="438832"/>
    <d v="2025-03-20T00:00:00"/>
    <n v="3"/>
    <n v="20"/>
    <n v="2025"/>
    <x v="5"/>
    <s v="Q1"/>
    <x v="1"/>
  </r>
  <r>
    <s v="O106762"/>
    <x v="262"/>
    <x v="0"/>
    <x v="0"/>
    <x v="0"/>
    <x v="3"/>
    <n v="1"/>
    <n v="438543"/>
    <d v="2026-02-15T00:00:00"/>
    <n v="2"/>
    <n v="15"/>
    <n v="2026"/>
    <x v="4"/>
    <s v="Q1"/>
    <x v="0"/>
  </r>
  <r>
    <s v="O109909"/>
    <x v="438"/>
    <x v="5"/>
    <x v="0"/>
    <x v="3"/>
    <x v="3"/>
    <n v="1"/>
    <n v="438484"/>
    <d v="2026-08-25T00:00:00"/>
    <n v="8"/>
    <n v="25"/>
    <n v="2026"/>
    <x v="8"/>
    <s v="Q3"/>
    <x v="3"/>
  </r>
  <r>
    <s v="O111880"/>
    <x v="540"/>
    <x v="10"/>
    <x v="5"/>
    <x v="1"/>
    <x v="2"/>
    <n v="4"/>
    <n v="438241"/>
    <d v="2026-12-23T00:00:00"/>
    <n v="12"/>
    <n v="23"/>
    <n v="2026"/>
    <x v="7"/>
    <s v="Q4"/>
    <x v="1"/>
  </r>
  <r>
    <s v="O104999"/>
    <x v="726"/>
    <x v="4"/>
    <x v="5"/>
    <x v="3"/>
    <x v="2"/>
    <n v="3"/>
    <n v="437485"/>
    <d v="2025-10-31T00:00:00"/>
    <n v="10"/>
    <n v="31"/>
    <n v="2025"/>
    <x v="9"/>
    <s v="Q4"/>
    <x v="3"/>
  </r>
  <r>
    <s v="O110215"/>
    <x v="387"/>
    <x v="3"/>
    <x v="5"/>
    <x v="4"/>
    <x v="1"/>
    <n v="3"/>
    <n v="437418"/>
    <d v="2026-09-13T00:00:00"/>
    <n v="9"/>
    <n v="13"/>
    <n v="2026"/>
    <x v="1"/>
    <s v="Q3"/>
    <x v="4"/>
  </r>
  <r>
    <s v="O101003"/>
    <x v="213"/>
    <x v="3"/>
    <x v="5"/>
    <x v="0"/>
    <x v="2"/>
    <n v="3"/>
    <n v="437080"/>
    <d v="2025-02-03T00:00:00"/>
    <n v="2"/>
    <n v="3"/>
    <n v="2025"/>
    <x v="4"/>
    <m/>
    <x v="0"/>
  </r>
  <r>
    <s v="O106507"/>
    <x v="554"/>
    <x v="5"/>
    <x v="4"/>
    <x v="1"/>
    <x v="1"/>
    <n v="3"/>
    <n v="436915"/>
    <d v="2026-01-31T00:00:00"/>
    <n v="1"/>
    <n v="31"/>
    <n v="2026"/>
    <x v="6"/>
    <s v="Q1"/>
    <x v="1"/>
  </r>
  <r>
    <s v="O105854"/>
    <x v="745"/>
    <x v="5"/>
    <x v="5"/>
    <x v="0"/>
    <x v="2"/>
    <n v="3"/>
    <n v="436483"/>
    <d v="2025-12-22T00:00:00"/>
    <n v="12"/>
    <n v="22"/>
    <n v="2025"/>
    <x v="7"/>
    <s v="Q4"/>
    <x v="0"/>
  </r>
  <r>
    <s v="O102153"/>
    <x v="187"/>
    <x v="0"/>
    <x v="4"/>
    <x v="6"/>
    <x v="2"/>
    <n v="2"/>
    <n v="436106"/>
    <d v="2025-11-05T00:00:00"/>
    <n v="11"/>
    <n v="5"/>
    <n v="2025"/>
    <x v="0"/>
    <s v="Q4"/>
    <x v="4"/>
  </r>
  <r>
    <s v="O101345"/>
    <x v="419"/>
    <x v="6"/>
    <x v="4"/>
    <x v="1"/>
    <x v="2"/>
    <n v="2"/>
    <n v="435912"/>
    <d v="2025-03-23T00:00:00"/>
    <n v="3"/>
    <n v="23"/>
    <n v="2025"/>
    <x v="5"/>
    <s v="Q1"/>
    <x v="1"/>
  </r>
  <r>
    <s v="O101729"/>
    <x v="202"/>
    <x v="8"/>
    <x v="5"/>
    <x v="1"/>
    <x v="3"/>
    <n v="3"/>
    <n v="435735"/>
    <d v="2025-04-15T00:00:00"/>
    <n v="4"/>
    <n v="15"/>
    <n v="2025"/>
    <x v="11"/>
    <s v="Q2"/>
    <x v="1"/>
  </r>
  <r>
    <s v="O105109"/>
    <x v="226"/>
    <x v="0"/>
    <x v="4"/>
    <x v="0"/>
    <x v="1"/>
    <n v="2"/>
    <n v="435550"/>
    <d v="2025-07-11T00:00:00"/>
    <n v="7"/>
    <n v="11"/>
    <n v="2025"/>
    <x v="10"/>
    <s v="Q3"/>
    <x v="0"/>
  </r>
  <r>
    <s v="O101324"/>
    <x v="748"/>
    <x v="2"/>
    <x v="0"/>
    <x v="3"/>
    <x v="2"/>
    <n v="1"/>
    <n v="435493"/>
    <d v="2025-03-22T00:00:00"/>
    <n v="3"/>
    <n v="22"/>
    <n v="2025"/>
    <x v="5"/>
    <s v="Q1"/>
    <x v="3"/>
  </r>
  <r>
    <s v="O100778"/>
    <x v="652"/>
    <x v="9"/>
    <x v="4"/>
    <x v="1"/>
    <x v="2"/>
    <n v="3"/>
    <n v="435472"/>
    <d v="2025-02-17T00:00:00"/>
    <n v="2"/>
    <n v="17"/>
    <n v="2025"/>
    <x v="4"/>
    <s v="Q1"/>
    <x v="1"/>
  </r>
  <r>
    <s v="O109089"/>
    <x v="603"/>
    <x v="1"/>
    <x v="0"/>
    <x v="4"/>
    <x v="3"/>
    <n v="1"/>
    <n v="435349"/>
    <d v="2026-07-07T00:00:00"/>
    <n v="7"/>
    <n v="7"/>
    <n v="2026"/>
    <x v="10"/>
    <s v="Q3"/>
    <x v="4"/>
  </r>
  <r>
    <s v="O103198"/>
    <x v="455"/>
    <x v="9"/>
    <x v="5"/>
    <x v="1"/>
    <x v="3"/>
    <n v="4"/>
    <n v="434918"/>
    <d v="2025-07-14T00:00:00"/>
    <n v="7"/>
    <n v="14"/>
    <n v="2025"/>
    <x v="10"/>
    <s v="Q3"/>
    <x v="1"/>
  </r>
  <r>
    <s v="O100572"/>
    <x v="566"/>
    <x v="2"/>
    <x v="4"/>
    <x v="2"/>
    <x v="1"/>
    <n v="2"/>
    <n v="434810"/>
    <d v="2025-04-02T00:00:00"/>
    <n v="4"/>
    <n v="2"/>
    <n v="2025"/>
    <x v="11"/>
    <s v="Q2"/>
    <x v="2"/>
  </r>
  <r>
    <s v="O100489"/>
    <x v="721"/>
    <x v="4"/>
    <x v="3"/>
    <x v="4"/>
    <x v="3"/>
    <n v="2"/>
    <n v="434694"/>
    <d v="2025-01-30T00:00:00"/>
    <n v="1"/>
    <n v="30"/>
    <n v="2025"/>
    <x v="6"/>
    <s v="Q1"/>
    <x v="4"/>
  </r>
  <r>
    <s v="O107789"/>
    <x v="534"/>
    <x v="6"/>
    <x v="0"/>
    <x v="2"/>
    <x v="2"/>
    <n v="1"/>
    <n v="434184"/>
    <d v="2026-04-19T00:00:00"/>
    <n v="4"/>
    <n v="19"/>
    <n v="2026"/>
    <x v="11"/>
    <s v="Q2"/>
    <x v="2"/>
  </r>
  <r>
    <s v="O105295"/>
    <x v="117"/>
    <x v="4"/>
    <x v="4"/>
    <x v="3"/>
    <x v="2"/>
    <n v="2"/>
    <n v="434019"/>
    <d v="2025-11-18T00:00:00"/>
    <n v="11"/>
    <n v="18"/>
    <n v="2025"/>
    <x v="0"/>
    <s v="Q4"/>
    <x v="3"/>
  </r>
  <r>
    <s v="O106639"/>
    <x v="308"/>
    <x v="2"/>
    <x v="0"/>
    <x v="0"/>
    <x v="2"/>
    <n v="1"/>
    <n v="433754"/>
    <d v="2026-08-02T00:00:00"/>
    <n v="8"/>
    <n v="2"/>
    <n v="2026"/>
    <x v="8"/>
    <s v="Q3"/>
    <x v="0"/>
  </r>
  <r>
    <s v="O107065"/>
    <x v="146"/>
    <x v="8"/>
    <x v="0"/>
    <x v="0"/>
    <x v="0"/>
    <n v="1"/>
    <n v="433216"/>
    <d v="2026-06-03T00:00:00"/>
    <n v="6"/>
    <n v="3"/>
    <n v="2026"/>
    <x v="2"/>
    <s v="Q2"/>
    <x v="0"/>
  </r>
  <r>
    <s v="O109742"/>
    <x v="617"/>
    <x v="8"/>
    <x v="0"/>
    <x v="2"/>
    <x v="3"/>
    <n v="1"/>
    <n v="433027"/>
    <d v="2026-08-15T00:00:00"/>
    <n v="8"/>
    <n v="15"/>
    <n v="2026"/>
    <x v="8"/>
    <s v="Q3"/>
    <x v="2"/>
  </r>
  <r>
    <s v="O100806"/>
    <x v="404"/>
    <x v="1"/>
    <x v="4"/>
    <x v="2"/>
    <x v="3"/>
    <n v="2"/>
    <n v="433014"/>
    <d v="2025-02-18T00:00:00"/>
    <n v="2"/>
    <n v="18"/>
    <n v="2025"/>
    <x v="4"/>
    <s v="Q1"/>
    <x v="2"/>
  </r>
  <r>
    <s v="O105023"/>
    <x v="708"/>
    <x v="3"/>
    <x v="3"/>
    <x v="1"/>
    <x v="2"/>
    <n v="2"/>
    <n v="432932"/>
    <d v="2025-02-11T00:00:00"/>
    <n v="2"/>
    <n v="11"/>
    <n v="2025"/>
    <x v="4"/>
    <s v="Q1"/>
    <x v="1"/>
  </r>
  <r>
    <s v="O101605"/>
    <x v="781"/>
    <x v="1"/>
    <x v="0"/>
    <x v="0"/>
    <x v="3"/>
    <n v="1"/>
    <n v="432626"/>
    <d v="2025-08-04T00:00:00"/>
    <n v="8"/>
    <n v="4"/>
    <n v="2025"/>
    <x v="8"/>
    <s v="Q3"/>
    <x v="0"/>
  </r>
  <r>
    <s v="O101954"/>
    <x v="161"/>
    <x v="10"/>
    <x v="4"/>
    <x v="2"/>
    <x v="2"/>
    <n v="3"/>
    <n v="431923"/>
    <d v="2025-04-29T00:00:00"/>
    <n v="4"/>
    <n v="29"/>
    <n v="2025"/>
    <x v="11"/>
    <s v="Q2"/>
    <x v="2"/>
  </r>
  <r>
    <s v="O103760"/>
    <x v="661"/>
    <x v="2"/>
    <x v="5"/>
    <x v="1"/>
    <x v="1"/>
    <n v="4"/>
    <n v="431890"/>
    <d v="2025-08-17T00:00:00"/>
    <n v="8"/>
    <n v="17"/>
    <n v="2025"/>
    <x v="8"/>
    <s v="Q3"/>
    <x v="1"/>
  </r>
  <r>
    <s v="O100765"/>
    <x v="379"/>
    <x v="6"/>
    <x v="0"/>
    <x v="1"/>
    <x v="3"/>
    <n v="1"/>
    <n v="431687"/>
    <d v="2025-02-16T00:00:00"/>
    <n v="2"/>
    <n v="16"/>
    <n v="2025"/>
    <x v="4"/>
    <s v="Q1"/>
    <x v="1"/>
  </r>
  <r>
    <s v="O109579"/>
    <x v="607"/>
    <x v="1"/>
    <x v="0"/>
    <x v="1"/>
    <x v="2"/>
    <n v="1"/>
    <n v="431140"/>
    <d v="2026-05-08T00:00:00"/>
    <n v="5"/>
    <n v="8"/>
    <n v="2026"/>
    <x v="3"/>
    <s v="Q2"/>
    <x v="1"/>
  </r>
  <r>
    <s v="O109660"/>
    <x v="323"/>
    <x v="10"/>
    <x v="5"/>
    <x v="1"/>
    <x v="2"/>
    <n v="3"/>
    <n v="431081"/>
    <d v="2026-10-08T00:00:00"/>
    <n v="10"/>
    <n v="8"/>
    <n v="2026"/>
    <x v="9"/>
    <s v="Q4"/>
    <x v="1"/>
  </r>
  <r>
    <s v="O104990"/>
    <x v="418"/>
    <x v="2"/>
    <x v="4"/>
    <x v="4"/>
    <x v="2"/>
    <n v="2"/>
    <n v="430825"/>
    <d v="2025-10-31T00:00:00"/>
    <n v="10"/>
    <n v="31"/>
    <n v="2025"/>
    <x v="9"/>
    <s v="Q4"/>
    <x v="4"/>
  </r>
  <r>
    <s v="O109354"/>
    <x v="686"/>
    <x v="10"/>
    <x v="0"/>
    <x v="0"/>
    <x v="3"/>
    <n v="1"/>
    <n v="430661"/>
    <d v="2026-07-23T00:00:00"/>
    <n v="7"/>
    <n v="23"/>
    <n v="2026"/>
    <x v="10"/>
    <s v="Q3"/>
    <x v="0"/>
  </r>
  <r>
    <s v="O105889"/>
    <x v="609"/>
    <x v="0"/>
    <x v="4"/>
    <x v="0"/>
    <x v="0"/>
    <n v="2"/>
    <n v="430211"/>
    <d v="2025-12-24T00:00:00"/>
    <n v="12"/>
    <n v="24"/>
    <n v="2025"/>
    <x v="7"/>
    <s v="Q4"/>
    <x v="0"/>
  </r>
  <r>
    <s v="O109614"/>
    <x v="534"/>
    <x v="8"/>
    <x v="0"/>
    <x v="3"/>
    <x v="3"/>
    <n v="1"/>
    <n v="429749"/>
    <d v="2026-08-08T00:00:00"/>
    <n v="8"/>
    <n v="8"/>
    <n v="2026"/>
    <x v="8"/>
    <s v="Q3"/>
    <x v="3"/>
  </r>
  <r>
    <s v="O104381"/>
    <x v="223"/>
    <x v="3"/>
    <x v="0"/>
    <x v="2"/>
    <x v="0"/>
    <n v="1"/>
    <n v="429551"/>
    <d v="2025-09-24T00:00:00"/>
    <n v="9"/>
    <n v="24"/>
    <n v="2025"/>
    <x v="1"/>
    <s v="Q3"/>
    <x v="2"/>
  </r>
  <r>
    <s v="O100141"/>
    <x v="164"/>
    <x v="2"/>
    <x v="3"/>
    <x v="4"/>
    <x v="2"/>
    <n v="2"/>
    <n v="429257"/>
    <d v="2025-09-01T00:00:00"/>
    <n v="9"/>
    <n v="1"/>
    <n v="2025"/>
    <x v="1"/>
    <s v="Q3"/>
    <x v="4"/>
  </r>
  <r>
    <s v="O108903"/>
    <x v="174"/>
    <x v="5"/>
    <x v="4"/>
    <x v="2"/>
    <x v="0"/>
    <n v="3"/>
    <n v="429151"/>
    <d v="2026-06-25T00:00:00"/>
    <n v="6"/>
    <n v="25"/>
    <n v="2026"/>
    <x v="2"/>
    <s v="Q2"/>
    <x v="2"/>
  </r>
  <r>
    <s v="O108922"/>
    <x v="526"/>
    <x v="4"/>
    <x v="0"/>
    <x v="1"/>
    <x v="2"/>
    <n v="1"/>
    <n v="428990"/>
    <d v="2026-06-26T00:00:00"/>
    <n v="6"/>
    <n v="26"/>
    <n v="2026"/>
    <x v="2"/>
    <s v="Q2"/>
    <x v="1"/>
  </r>
  <r>
    <s v="O107948"/>
    <x v="131"/>
    <x v="9"/>
    <x v="4"/>
    <x v="2"/>
    <x v="1"/>
    <n v="3"/>
    <n v="428899"/>
    <d v="2026-04-28T00:00:00"/>
    <n v="4"/>
    <n v="28"/>
    <n v="2026"/>
    <x v="11"/>
    <s v="Q2"/>
    <x v="2"/>
  </r>
  <r>
    <s v="O104643"/>
    <x v="541"/>
    <x v="3"/>
    <x v="5"/>
    <x v="3"/>
    <x v="3"/>
    <n v="3"/>
    <n v="428627"/>
    <d v="2025-10-10T00:00:00"/>
    <n v="10"/>
    <n v="10"/>
    <n v="2025"/>
    <x v="9"/>
    <s v="Q4"/>
    <x v="3"/>
  </r>
  <r>
    <s v="O109237"/>
    <x v="740"/>
    <x v="2"/>
    <x v="0"/>
    <x v="3"/>
    <x v="0"/>
    <n v="1"/>
    <n v="428583"/>
    <d v="2026-07-16T00:00:00"/>
    <n v="7"/>
    <n v="16"/>
    <n v="2026"/>
    <x v="10"/>
    <s v="Q3"/>
    <x v="3"/>
  </r>
  <r>
    <s v="O110372"/>
    <x v="394"/>
    <x v="5"/>
    <x v="5"/>
    <x v="3"/>
    <x v="3"/>
    <n v="4"/>
    <n v="428336"/>
    <d v="2026-09-23T00:00:00"/>
    <n v="9"/>
    <n v="23"/>
    <n v="2026"/>
    <x v="1"/>
    <s v="Q3"/>
    <x v="3"/>
  </r>
  <r>
    <s v="O109609"/>
    <x v="652"/>
    <x v="9"/>
    <x v="0"/>
    <x v="0"/>
    <x v="2"/>
    <n v="1"/>
    <n v="428152"/>
    <d v="2026-07-08T00:00:00"/>
    <n v="7"/>
    <n v="8"/>
    <n v="2026"/>
    <x v="10"/>
    <s v="Q3"/>
    <x v="0"/>
  </r>
  <r>
    <s v="O104645"/>
    <x v="0"/>
    <x v="6"/>
    <x v="4"/>
    <x v="0"/>
    <x v="0"/>
    <n v="2"/>
    <n v="428136"/>
    <d v="2025-10-10T00:00:00"/>
    <n v="10"/>
    <n v="10"/>
    <n v="2025"/>
    <x v="9"/>
    <s v="Q4"/>
    <x v="0"/>
  </r>
  <r>
    <s v="O106584"/>
    <x v="381"/>
    <x v="4"/>
    <x v="0"/>
    <x v="4"/>
    <x v="0"/>
    <n v="1"/>
    <n v="428016"/>
    <d v="2026-04-02T00:00:00"/>
    <n v="4"/>
    <n v="2"/>
    <n v="2026"/>
    <x v="11"/>
    <s v="Q2"/>
    <x v="4"/>
  </r>
  <r>
    <s v="O103512"/>
    <x v="83"/>
    <x v="1"/>
    <x v="0"/>
    <x v="2"/>
    <x v="1"/>
    <n v="1"/>
    <n v="427885"/>
    <d v="2025-02-08T00:00:00"/>
    <n v="2"/>
    <n v="8"/>
    <n v="2025"/>
    <x v="4"/>
    <s v="Q1"/>
    <x v="2"/>
  </r>
  <r>
    <s v="O110955"/>
    <x v="281"/>
    <x v="2"/>
    <x v="5"/>
    <x v="4"/>
    <x v="1"/>
    <n v="4"/>
    <n v="427827"/>
    <d v="2026-10-28T00:00:00"/>
    <n v="10"/>
    <n v="28"/>
    <n v="2026"/>
    <x v="9"/>
    <s v="Q4"/>
    <x v="4"/>
  </r>
  <r>
    <s v="O109773"/>
    <x v="27"/>
    <x v="5"/>
    <x v="0"/>
    <x v="1"/>
    <x v="2"/>
    <n v="1"/>
    <n v="427566"/>
    <d v="2026-08-17T00:00:00"/>
    <n v="8"/>
    <n v="17"/>
    <n v="2026"/>
    <x v="8"/>
    <s v="Q3"/>
    <x v="1"/>
  </r>
  <r>
    <s v="O101376"/>
    <x v="197"/>
    <x v="1"/>
    <x v="5"/>
    <x v="4"/>
    <x v="1"/>
    <n v="3"/>
    <n v="427457"/>
    <d v="2025-03-25T00:00:00"/>
    <n v="3"/>
    <n v="25"/>
    <n v="2025"/>
    <x v="5"/>
    <s v="Q1"/>
    <x v="4"/>
  </r>
  <r>
    <s v="O109761"/>
    <x v="340"/>
    <x v="5"/>
    <x v="3"/>
    <x v="3"/>
    <x v="3"/>
    <n v="2"/>
    <n v="427425"/>
    <d v="2026-08-16T00:00:00"/>
    <n v="8"/>
    <n v="16"/>
    <n v="2026"/>
    <x v="8"/>
    <s v="Q3"/>
    <x v="3"/>
  </r>
  <r>
    <s v="O106659"/>
    <x v="624"/>
    <x v="10"/>
    <x v="0"/>
    <x v="0"/>
    <x v="0"/>
    <n v="1"/>
    <n v="427136"/>
    <d v="2026-09-02T00:00:00"/>
    <n v="9"/>
    <n v="2"/>
    <n v="2026"/>
    <x v="1"/>
    <s v="Q3"/>
    <x v="0"/>
  </r>
  <r>
    <s v="O104325"/>
    <x v="665"/>
    <x v="2"/>
    <x v="4"/>
    <x v="1"/>
    <x v="2"/>
    <n v="3"/>
    <n v="427120"/>
    <d v="2025-09-20T00:00:00"/>
    <n v="9"/>
    <n v="20"/>
    <n v="2025"/>
    <x v="1"/>
    <s v="Q3"/>
    <x v="1"/>
  </r>
  <r>
    <s v="O109428"/>
    <x v="604"/>
    <x v="3"/>
    <x v="5"/>
    <x v="1"/>
    <x v="3"/>
    <n v="4"/>
    <n v="427095"/>
    <d v="2026-07-27T00:00:00"/>
    <n v="7"/>
    <n v="27"/>
    <n v="2026"/>
    <x v="10"/>
    <s v="Q3"/>
    <x v="1"/>
  </r>
  <r>
    <s v="O108883"/>
    <x v="442"/>
    <x v="0"/>
    <x v="0"/>
    <x v="4"/>
    <x v="2"/>
    <n v="1"/>
    <n v="426988"/>
    <d v="2026-06-24T00:00:00"/>
    <n v="6"/>
    <n v="24"/>
    <n v="2026"/>
    <x v="2"/>
    <s v="Q2"/>
    <x v="4"/>
  </r>
  <r>
    <s v="O103950"/>
    <x v="740"/>
    <x v="4"/>
    <x v="0"/>
    <x v="1"/>
    <x v="2"/>
    <n v="1"/>
    <n v="426550"/>
    <d v="2025-08-28T00:00:00"/>
    <n v="8"/>
    <n v="28"/>
    <n v="2025"/>
    <x v="8"/>
    <s v="Q3"/>
    <x v="1"/>
  </r>
  <r>
    <s v="O104469"/>
    <x v="517"/>
    <x v="9"/>
    <x v="3"/>
    <x v="0"/>
    <x v="3"/>
    <n v="2"/>
    <n v="425794"/>
    <d v="2025-09-29T00:00:00"/>
    <n v="9"/>
    <n v="29"/>
    <n v="2025"/>
    <x v="1"/>
    <s v="Q3"/>
    <x v="0"/>
  </r>
  <r>
    <s v="O102559"/>
    <x v="34"/>
    <x v="0"/>
    <x v="0"/>
    <x v="0"/>
    <x v="3"/>
    <n v="1"/>
    <n v="425787"/>
    <d v="2025-05-06T00:00:00"/>
    <n v="5"/>
    <n v="6"/>
    <n v="2025"/>
    <x v="3"/>
    <s v="Q2"/>
    <x v="0"/>
  </r>
  <r>
    <s v="O106949"/>
    <x v="244"/>
    <x v="8"/>
    <x v="5"/>
    <x v="0"/>
    <x v="0"/>
    <n v="4"/>
    <n v="425638"/>
    <d v="2026-02-27T00:00:00"/>
    <n v="2"/>
    <n v="27"/>
    <n v="2026"/>
    <x v="4"/>
    <s v="Q1"/>
    <x v="0"/>
  </r>
  <r>
    <s v="O100931"/>
    <x v="117"/>
    <x v="5"/>
    <x v="0"/>
    <x v="4"/>
    <x v="3"/>
    <n v="1"/>
    <n v="425622"/>
    <d v="2025-02-26T00:00:00"/>
    <n v="2"/>
    <n v="26"/>
    <n v="2025"/>
    <x v="4"/>
    <s v="Q1"/>
    <x v="4"/>
  </r>
  <r>
    <s v="O110548"/>
    <x v="124"/>
    <x v="8"/>
    <x v="5"/>
    <x v="3"/>
    <x v="2"/>
    <n v="3"/>
    <n v="425494"/>
    <d v="2026-03-10T00:00:00"/>
    <n v="3"/>
    <n v="10"/>
    <n v="2026"/>
    <x v="5"/>
    <s v="Q1"/>
    <x v="3"/>
  </r>
  <r>
    <s v="O104117"/>
    <x v="692"/>
    <x v="1"/>
    <x v="3"/>
    <x v="2"/>
    <x v="0"/>
    <n v="2"/>
    <n v="425472"/>
    <d v="2025-08-09T00:00:00"/>
    <n v="8"/>
    <n v="9"/>
    <n v="2025"/>
    <x v="8"/>
    <s v="Q3"/>
    <x v="2"/>
  </r>
  <r>
    <s v="O110739"/>
    <x v="242"/>
    <x v="8"/>
    <x v="0"/>
    <x v="3"/>
    <x v="3"/>
    <n v="1"/>
    <n v="425334"/>
    <d v="2026-10-15T00:00:00"/>
    <n v="10"/>
    <n v="15"/>
    <n v="2026"/>
    <x v="9"/>
    <s v="Q4"/>
    <x v="3"/>
  </r>
  <r>
    <s v="O104839"/>
    <x v="103"/>
    <x v="4"/>
    <x v="0"/>
    <x v="0"/>
    <x v="3"/>
    <n v="1"/>
    <n v="424879"/>
    <d v="2025-10-21T00:00:00"/>
    <n v="10"/>
    <n v="21"/>
    <n v="2025"/>
    <x v="9"/>
    <s v="Q4"/>
    <x v="0"/>
  </r>
  <r>
    <s v="O111401"/>
    <x v="701"/>
    <x v="8"/>
    <x v="0"/>
    <x v="2"/>
    <x v="2"/>
    <n v="1"/>
    <n v="424572"/>
    <d v="2026-11-24T00:00:00"/>
    <n v="11"/>
    <n v="24"/>
    <n v="2026"/>
    <x v="0"/>
    <s v="Q4"/>
    <x v="2"/>
  </r>
  <r>
    <s v="O105388"/>
    <x v="686"/>
    <x v="3"/>
    <x v="3"/>
    <x v="4"/>
    <x v="0"/>
    <n v="2"/>
    <n v="424221"/>
    <d v="2025-11-24T00:00:00"/>
    <n v="11"/>
    <n v="24"/>
    <n v="2025"/>
    <x v="0"/>
    <s v="Q4"/>
    <x v="4"/>
  </r>
  <r>
    <s v="O109432"/>
    <x v="653"/>
    <x v="2"/>
    <x v="0"/>
    <x v="3"/>
    <x v="0"/>
    <n v="1"/>
    <n v="424112"/>
    <d v="2026-07-27T00:00:00"/>
    <n v="7"/>
    <n v="27"/>
    <n v="2026"/>
    <x v="10"/>
    <s v="Q3"/>
    <x v="3"/>
  </r>
  <r>
    <s v="O108223"/>
    <x v="510"/>
    <x v="1"/>
    <x v="0"/>
    <x v="4"/>
    <x v="0"/>
    <n v="1"/>
    <n v="424020"/>
    <d v="2026-05-15T00:00:00"/>
    <n v="5"/>
    <n v="15"/>
    <n v="2026"/>
    <x v="3"/>
    <s v="Q2"/>
    <x v="4"/>
  </r>
  <r>
    <s v="O101829"/>
    <x v="764"/>
    <x v="8"/>
    <x v="4"/>
    <x v="4"/>
    <x v="1"/>
    <n v="3"/>
    <n v="423795"/>
    <d v="2025-04-22T00:00:00"/>
    <n v="4"/>
    <n v="22"/>
    <n v="2025"/>
    <x v="11"/>
    <s v="Q2"/>
    <x v="4"/>
  </r>
  <r>
    <s v="O106851"/>
    <x v="238"/>
    <x v="9"/>
    <x v="0"/>
    <x v="0"/>
    <x v="0"/>
    <n v="1"/>
    <n v="423669"/>
    <d v="2026-02-21T00:00:00"/>
    <n v="2"/>
    <n v="21"/>
    <n v="2026"/>
    <x v="4"/>
    <s v="Q1"/>
    <x v="0"/>
  </r>
  <r>
    <s v="O109327"/>
    <x v="568"/>
    <x v="8"/>
    <x v="4"/>
    <x v="0"/>
    <x v="3"/>
    <n v="3"/>
    <n v="423655"/>
    <d v="2026-07-21T00:00:00"/>
    <n v="7"/>
    <n v="21"/>
    <n v="2026"/>
    <x v="10"/>
    <s v="Q3"/>
    <x v="0"/>
  </r>
  <r>
    <s v="O110689"/>
    <x v="495"/>
    <x v="5"/>
    <x v="4"/>
    <x v="3"/>
    <x v="0"/>
    <n v="2"/>
    <n v="423233"/>
    <d v="2026-12-10T00:00:00"/>
    <n v="12"/>
    <n v="10"/>
    <n v="2026"/>
    <x v="7"/>
    <s v="Q4"/>
    <x v="3"/>
  </r>
  <r>
    <s v="O104797"/>
    <x v="134"/>
    <x v="4"/>
    <x v="0"/>
    <x v="2"/>
    <x v="1"/>
    <n v="1"/>
    <n v="422702"/>
    <d v="2025-10-19T00:00:00"/>
    <n v="10"/>
    <n v="19"/>
    <n v="2025"/>
    <x v="9"/>
    <s v="Q4"/>
    <x v="2"/>
  </r>
  <r>
    <s v="O106346"/>
    <x v="293"/>
    <x v="1"/>
    <x v="0"/>
    <x v="0"/>
    <x v="2"/>
    <n v="1"/>
    <n v="421962"/>
    <d v="2026-01-21T00:00:00"/>
    <n v="1"/>
    <n v="21"/>
    <n v="2026"/>
    <x v="6"/>
    <s v="Q1"/>
    <x v="0"/>
  </r>
  <r>
    <s v="O106929"/>
    <x v="274"/>
    <x v="3"/>
    <x v="4"/>
    <x v="4"/>
    <x v="2"/>
    <n v="2"/>
    <n v="421682"/>
    <d v="2026-02-25T00:00:00"/>
    <n v="2"/>
    <n v="25"/>
    <n v="2026"/>
    <x v="4"/>
    <s v="Q1"/>
    <x v="4"/>
  </r>
  <r>
    <s v="O110146"/>
    <x v="156"/>
    <x v="8"/>
    <x v="4"/>
    <x v="3"/>
    <x v="0"/>
    <n v="2"/>
    <n v="421480"/>
    <d v="2026-09-09T00:00:00"/>
    <n v="9"/>
    <n v="9"/>
    <n v="2026"/>
    <x v="1"/>
    <s v="Q3"/>
    <x v="3"/>
  </r>
  <r>
    <s v="O101197"/>
    <x v="395"/>
    <x v="2"/>
    <x v="3"/>
    <x v="2"/>
    <x v="0"/>
    <n v="2"/>
    <n v="421347"/>
    <d v="2025-03-14T00:00:00"/>
    <n v="3"/>
    <n v="14"/>
    <n v="2025"/>
    <x v="5"/>
    <s v="Q1"/>
    <x v="2"/>
  </r>
  <r>
    <s v="O104667"/>
    <x v="35"/>
    <x v="5"/>
    <x v="0"/>
    <x v="2"/>
    <x v="3"/>
    <n v="1"/>
    <n v="421042"/>
    <d v="2025-11-10T00:00:00"/>
    <n v="11"/>
    <n v="10"/>
    <n v="2025"/>
    <x v="0"/>
    <s v="Q4"/>
    <x v="2"/>
  </r>
  <r>
    <s v="O107219"/>
    <x v="399"/>
    <x v="6"/>
    <x v="3"/>
    <x v="1"/>
    <x v="1"/>
    <n v="2"/>
    <n v="420713"/>
    <d v="2026-03-15T00:00:00"/>
    <n v="3"/>
    <n v="15"/>
    <n v="2026"/>
    <x v="5"/>
    <s v="Q1"/>
    <x v="1"/>
  </r>
  <r>
    <s v="O110859"/>
    <x v="210"/>
    <x v="6"/>
    <x v="5"/>
    <x v="0"/>
    <x v="1"/>
    <n v="3"/>
    <n v="420592"/>
    <d v="2026-10-22T00:00:00"/>
    <n v="10"/>
    <n v="22"/>
    <n v="2026"/>
    <x v="9"/>
    <s v="Q4"/>
    <x v="0"/>
  </r>
  <r>
    <s v="O106859"/>
    <x v="429"/>
    <x v="0"/>
    <x v="5"/>
    <x v="2"/>
    <x v="3"/>
    <n v="3"/>
    <n v="420590"/>
    <d v="2026-02-21T00:00:00"/>
    <n v="2"/>
    <n v="21"/>
    <n v="2026"/>
    <x v="4"/>
    <s v="Q1"/>
    <x v="2"/>
  </r>
  <r>
    <s v="O101994"/>
    <x v="298"/>
    <x v="9"/>
    <x v="0"/>
    <x v="0"/>
    <x v="2"/>
    <n v="1"/>
    <n v="420502"/>
    <d v="2025-02-05T00:00:00"/>
    <n v="2"/>
    <n v="5"/>
    <n v="2025"/>
    <x v="4"/>
    <s v="Q1"/>
    <x v="0"/>
  </r>
  <r>
    <s v="O100933"/>
    <x v="448"/>
    <x v="9"/>
    <x v="3"/>
    <x v="1"/>
    <x v="1"/>
    <n v="2"/>
    <n v="420489"/>
    <d v="2025-02-26T00:00:00"/>
    <n v="2"/>
    <n v="26"/>
    <n v="2025"/>
    <x v="4"/>
    <s v="Q1"/>
    <x v="1"/>
  </r>
  <r>
    <s v="O103474"/>
    <x v="93"/>
    <x v="6"/>
    <x v="4"/>
    <x v="4"/>
    <x v="2"/>
    <n v="3"/>
    <n v="420188"/>
    <d v="2025-07-31T00:00:00"/>
    <n v="7"/>
    <n v="31"/>
    <n v="2025"/>
    <x v="10"/>
    <s v="Q3"/>
    <x v="4"/>
  </r>
  <r>
    <s v="O107004"/>
    <x v="669"/>
    <x v="1"/>
    <x v="4"/>
    <x v="1"/>
    <x v="1"/>
    <n v="2"/>
    <n v="420115"/>
    <d v="2026-02-03T00:00:00"/>
    <n v="2"/>
    <n v="3"/>
    <n v="2026"/>
    <x v="4"/>
    <s v="Q1"/>
    <x v="1"/>
  </r>
  <r>
    <s v="O100034"/>
    <x v="291"/>
    <x v="8"/>
    <x v="3"/>
    <x v="3"/>
    <x v="1"/>
    <n v="2"/>
    <n v="420079"/>
    <d v="2025-03-01T00:00:00"/>
    <n v="3"/>
    <n v="1"/>
    <n v="2025"/>
    <x v="5"/>
    <s v="Q1"/>
    <x v="3"/>
  </r>
  <r>
    <s v="O102624"/>
    <x v="288"/>
    <x v="6"/>
    <x v="5"/>
    <x v="0"/>
    <x v="1"/>
    <n v="3"/>
    <n v="420013"/>
    <d v="2025-09-06T00:00:00"/>
    <n v="9"/>
    <n v="6"/>
    <n v="2025"/>
    <x v="1"/>
    <s v="Q3"/>
    <x v="0"/>
  </r>
  <r>
    <s v="O105335"/>
    <x v="100"/>
    <x v="8"/>
    <x v="3"/>
    <x v="2"/>
    <x v="2"/>
    <n v="2"/>
    <n v="419470"/>
    <d v="2025-11-21T00:00:00"/>
    <n v="11"/>
    <n v="21"/>
    <n v="2025"/>
    <x v="0"/>
    <s v="Q4"/>
    <x v="2"/>
  </r>
  <r>
    <s v="O101271"/>
    <x v="515"/>
    <x v="10"/>
    <x v="4"/>
    <x v="3"/>
    <x v="3"/>
    <n v="2"/>
    <n v="419453"/>
    <d v="2025-03-19T00:00:00"/>
    <n v="3"/>
    <n v="19"/>
    <n v="2025"/>
    <x v="5"/>
    <s v="Q1"/>
    <x v="3"/>
  </r>
  <r>
    <s v="O103794"/>
    <x v="101"/>
    <x v="10"/>
    <x v="4"/>
    <x v="3"/>
    <x v="0"/>
    <n v="2"/>
    <n v="419426"/>
    <d v="2025-08-19T00:00:00"/>
    <n v="8"/>
    <n v="19"/>
    <n v="2025"/>
    <x v="8"/>
    <s v="Q3"/>
    <x v="3"/>
  </r>
  <r>
    <s v="O104666"/>
    <x v="138"/>
    <x v="9"/>
    <x v="4"/>
    <x v="3"/>
    <x v="2"/>
    <n v="3"/>
    <n v="419225"/>
    <d v="2025-11-10T00:00:00"/>
    <n v="11"/>
    <n v="10"/>
    <n v="2025"/>
    <x v="0"/>
    <s v="Q4"/>
    <x v="3"/>
  </r>
  <r>
    <s v="O105400"/>
    <x v="568"/>
    <x v="8"/>
    <x v="5"/>
    <x v="1"/>
    <x v="0"/>
    <n v="4"/>
    <n v="419094"/>
    <d v="2025-11-25T00:00:00"/>
    <n v="11"/>
    <n v="25"/>
    <n v="2025"/>
    <x v="0"/>
    <s v="Q4"/>
    <x v="1"/>
  </r>
  <r>
    <s v="O106295"/>
    <x v="411"/>
    <x v="6"/>
    <x v="5"/>
    <x v="4"/>
    <x v="3"/>
    <n v="3"/>
    <n v="418975"/>
    <d v="2026-01-18T00:00:00"/>
    <n v="1"/>
    <n v="18"/>
    <n v="2026"/>
    <x v="6"/>
    <s v="Q1"/>
    <x v="4"/>
  </r>
  <r>
    <s v="O102366"/>
    <x v="698"/>
    <x v="2"/>
    <x v="0"/>
    <x v="4"/>
    <x v="2"/>
    <n v="1"/>
    <n v="418316"/>
    <d v="2025-05-24T00:00:00"/>
    <n v="5"/>
    <n v="24"/>
    <n v="2025"/>
    <x v="3"/>
    <s v="Q2"/>
    <x v="4"/>
  </r>
  <r>
    <s v="O106963"/>
    <x v="761"/>
    <x v="5"/>
    <x v="3"/>
    <x v="2"/>
    <x v="2"/>
    <n v="2"/>
    <n v="418303"/>
    <d v="2026-02-27T00:00:00"/>
    <n v="2"/>
    <n v="27"/>
    <n v="2026"/>
    <x v="4"/>
    <s v="Q1"/>
    <x v="2"/>
  </r>
  <r>
    <s v="O104205"/>
    <x v="274"/>
    <x v="4"/>
    <x v="0"/>
    <x v="1"/>
    <x v="1"/>
    <n v="1"/>
    <n v="418217"/>
    <d v="2025-09-13T00:00:00"/>
    <n v="9"/>
    <n v="13"/>
    <n v="2025"/>
    <x v="1"/>
    <s v="Q3"/>
    <x v="1"/>
  </r>
  <r>
    <s v="O109463"/>
    <x v="598"/>
    <x v="6"/>
    <x v="4"/>
    <x v="1"/>
    <x v="0"/>
    <n v="3"/>
    <n v="418028"/>
    <d v="2026-07-29T00:00:00"/>
    <n v="7"/>
    <n v="29"/>
    <n v="2026"/>
    <x v="10"/>
    <s v="Q3"/>
    <x v="1"/>
  </r>
  <r>
    <s v="O100967"/>
    <x v="356"/>
    <x v="5"/>
    <x v="4"/>
    <x v="1"/>
    <x v="1"/>
    <n v="3"/>
    <n v="417931"/>
    <d v="2025-02-28T00:00:00"/>
    <n v="2"/>
    <n v="28"/>
    <n v="2025"/>
    <x v="4"/>
    <m/>
    <x v="1"/>
  </r>
  <r>
    <s v="O110861"/>
    <x v="672"/>
    <x v="8"/>
    <x v="3"/>
    <x v="4"/>
    <x v="3"/>
    <n v="2"/>
    <n v="417799"/>
    <d v="2026-10-22T00:00:00"/>
    <n v="10"/>
    <n v="22"/>
    <n v="2026"/>
    <x v="9"/>
    <s v="Q4"/>
    <x v="4"/>
  </r>
  <r>
    <s v="O103244"/>
    <x v="668"/>
    <x v="4"/>
    <x v="4"/>
    <x v="2"/>
    <x v="1"/>
    <n v="2"/>
    <n v="417060"/>
    <d v="2025-07-17T00:00:00"/>
    <n v="7"/>
    <n v="17"/>
    <n v="2025"/>
    <x v="10"/>
    <s v="Q3"/>
    <x v="2"/>
  </r>
  <r>
    <s v="O109958"/>
    <x v="207"/>
    <x v="2"/>
    <x v="4"/>
    <x v="2"/>
    <x v="0"/>
    <n v="3"/>
    <n v="416959"/>
    <d v="2026-08-28T00:00:00"/>
    <n v="8"/>
    <n v="28"/>
    <n v="2026"/>
    <x v="8"/>
    <s v="Q3"/>
    <x v="2"/>
  </r>
  <r>
    <s v="O110331"/>
    <x v="213"/>
    <x v="4"/>
    <x v="4"/>
    <x v="4"/>
    <x v="3"/>
    <n v="2"/>
    <n v="416768"/>
    <d v="2026-09-20T00:00:00"/>
    <n v="9"/>
    <n v="20"/>
    <n v="2026"/>
    <x v="1"/>
    <m/>
    <x v="4"/>
  </r>
  <r>
    <s v="O104273"/>
    <x v="481"/>
    <x v="10"/>
    <x v="0"/>
    <x v="4"/>
    <x v="2"/>
    <n v="1"/>
    <n v="416602"/>
    <d v="2025-09-17T00:00:00"/>
    <n v="9"/>
    <n v="17"/>
    <n v="2025"/>
    <x v="1"/>
    <s v="Q3"/>
    <x v="4"/>
  </r>
  <r>
    <s v="O108960"/>
    <x v="775"/>
    <x v="6"/>
    <x v="5"/>
    <x v="0"/>
    <x v="0"/>
    <n v="4"/>
    <n v="415570"/>
    <d v="2026-06-29T00:00:00"/>
    <n v="6"/>
    <n v="29"/>
    <n v="2026"/>
    <x v="2"/>
    <s v="Q2"/>
    <x v="0"/>
  </r>
  <r>
    <s v="O109822"/>
    <x v="331"/>
    <x v="3"/>
    <x v="4"/>
    <x v="2"/>
    <x v="2"/>
    <n v="2"/>
    <n v="415564"/>
    <d v="2026-08-20T00:00:00"/>
    <n v="8"/>
    <n v="20"/>
    <n v="2026"/>
    <x v="8"/>
    <s v="Q3"/>
    <x v="2"/>
  </r>
  <r>
    <s v="O108213"/>
    <x v="406"/>
    <x v="5"/>
    <x v="0"/>
    <x v="2"/>
    <x v="0"/>
    <n v="1"/>
    <n v="415436"/>
    <d v="2026-05-14T00:00:00"/>
    <n v="5"/>
    <n v="14"/>
    <n v="2026"/>
    <x v="3"/>
    <s v="Q2"/>
    <x v="2"/>
  </r>
  <r>
    <s v="O105436"/>
    <x v="635"/>
    <x v="4"/>
    <x v="4"/>
    <x v="1"/>
    <x v="0"/>
    <n v="2"/>
    <n v="415392"/>
    <d v="2025-11-27T00:00:00"/>
    <n v="11"/>
    <n v="27"/>
    <n v="2025"/>
    <x v="0"/>
    <s v="Q4"/>
    <x v="1"/>
  </r>
  <r>
    <s v="O107695"/>
    <x v="219"/>
    <x v="6"/>
    <x v="3"/>
    <x v="0"/>
    <x v="0"/>
    <n v="2"/>
    <n v="415373"/>
    <d v="2026-04-13T00:00:00"/>
    <n v="4"/>
    <n v="13"/>
    <n v="2026"/>
    <x v="11"/>
    <s v="Q2"/>
    <x v="0"/>
  </r>
  <r>
    <s v="O100312"/>
    <x v="218"/>
    <x v="3"/>
    <x v="0"/>
    <x v="4"/>
    <x v="0"/>
    <n v="1"/>
    <n v="415124"/>
    <d v="2025-01-19T00:00:00"/>
    <n v="1"/>
    <n v="19"/>
    <n v="2025"/>
    <x v="6"/>
    <s v="Q1"/>
    <x v="4"/>
  </r>
  <r>
    <s v="O111984"/>
    <x v="467"/>
    <x v="6"/>
    <x v="0"/>
    <x v="3"/>
    <x v="1"/>
    <n v="1"/>
    <n v="414787"/>
    <d v="2026-12-30T00:00:00"/>
    <n v="12"/>
    <n v="30"/>
    <n v="2026"/>
    <x v="7"/>
    <m/>
    <x v="3"/>
  </r>
  <r>
    <s v="O104196"/>
    <x v="694"/>
    <x v="2"/>
    <x v="0"/>
    <x v="4"/>
    <x v="0"/>
    <n v="1"/>
    <n v="414755"/>
    <d v="2025-12-09T00:00:00"/>
    <n v="12"/>
    <n v="9"/>
    <n v="2025"/>
    <x v="7"/>
    <s v="Q4"/>
    <x v="4"/>
  </r>
  <r>
    <s v="O102802"/>
    <x v="350"/>
    <x v="2"/>
    <x v="5"/>
    <x v="1"/>
    <x v="3"/>
    <n v="4"/>
    <n v="414726"/>
    <d v="2025-06-20T00:00:00"/>
    <n v="6"/>
    <n v="20"/>
    <n v="2025"/>
    <x v="2"/>
    <s v="Q2"/>
    <x v="1"/>
  </r>
  <r>
    <s v="O111032"/>
    <x v="187"/>
    <x v="1"/>
    <x v="0"/>
    <x v="4"/>
    <x v="1"/>
    <n v="1"/>
    <n v="414517"/>
    <d v="2026-02-11T00:00:00"/>
    <n v="2"/>
    <n v="11"/>
    <n v="2026"/>
    <x v="4"/>
    <s v="Q1"/>
    <x v="4"/>
  </r>
  <r>
    <s v="O101620"/>
    <x v="32"/>
    <x v="9"/>
    <x v="4"/>
    <x v="4"/>
    <x v="0"/>
    <n v="2"/>
    <n v="414506"/>
    <d v="2025-09-04T00:00:00"/>
    <n v="9"/>
    <n v="4"/>
    <n v="2025"/>
    <x v="1"/>
    <s v="Q3"/>
    <x v="4"/>
  </r>
  <r>
    <s v="O106355"/>
    <x v="681"/>
    <x v="5"/>
    <x v="3"/>
    <x v="1"/>
    <x v="2"/>
    <n v="2"/>
    <n v="414321"/>
    <d v="2026-01-22T00:00:00"/>
    <n v="1"/>
    <n v="22"/>
    <n v="2026"/>
    <x v="6"/>
    <s v="Q1"/>
    <x v="1"/>
  </r>
  <r>
    <s v="O102341"/>
    <x v="80"/>
    <x v="5"/>
    <x v="4"/>
    <x v="2"/>
    <x v="1"/>
    <n v="3"/>
    <n v="414276"/>
    <d v="2025-05-23T00:00:00"/>
    <n v="5"/>
    <n v="23"/>
    <n v="2025"/>
    <x v="3"/>
    <s v="Q2"/>
    <x v="2"/>
  </r>
  <r>
    <s v="O109282"/>
    <x v="794"/>
    <x v="8"/>
    <x v="3"/>
    <x v="3"/>
    <x v="2"/>
    <n v="2"/>
    <n v="413835"/>
    <d v="2026-07-18T00:00:00"/>
    <n v="7"/>
    <n v="18"/>
    <n v="2026"/>
    <x v="10"/>
    <s v="Q3"/>
    <x v="3"/>
  </r>
  <r>
    <s v="O105853"/>
    <x v="252"/>
    <x v="3"/>
    <x v="5"/>
    <x v="1"/>
    <x v="2"/>
    <n v="4"/>
    <n v="413708"/>
    <d v="2025-12-22T00:00:00"/>
    <n v="12"/>
    <n v="22"/>
    <n v="2025"/>
    <x v="7"/>
    <s v="Q4"/>
    <x v="1"/>
  </r>
  <r>
    <s v="O111042"/>
    <x v="39"/>
    <x v="3"/>
    <x v="4"/>
    <x v="2"/>
    <x v="0"/>
    <n v="2"/>
    <n v="413148"/>
    <d v="2026-02-11T00:00:00"/>
    <n v="2"/>
    <n v="11"/>
    <n v="2026"/>
    <x v="4"/>
    <s v="Q1"/>
    <x v="2"/>
  </r>
  <r>
    <s v="O101916"/>
    <x v="548"/>
    <x v="8"/>
    <x v="4"/>
    <x v="1"/>
    <x v="2"/>
    <n v="2"/>
    <n v="413143"/>
    <d v="2025-04-27T00:00:00"/>
    <n v="4"/>
    <n v="27"/>
    <n v="2025"/>
    <x v="11"/>
    <s v="Q2"/>
    <x v="1"/>
  </r>
  <r>
    <s v="O100399"/>
    <x v="322"/>
    <x v="8"/>
    <x v="4"/>
    <x v="1"/>
    <x v="1"/>
    <n v="3"/>
    <n v="413104"/>
    <d v="2025-01-25T00:00:00"/>
    <n v="1"/>
    <n v="25"/>
    <n v="2025"/>
    <x v="6"/>
    <s v="Q1"/>
    <x v="1"/>
  </r>
  <r>
    <s v="O107251"/>
    <x v="459"/>
    <x v="9"/>
    <x v="5"/>
    <x v="4"/>
    <x v="1"/>
    <n v="3"/>
    <n v="413099"/>
    <d v="2026-03-17T00:00:00"/>
    <n v="3"/>
    <n v="17"/>
    <n v="2026"/>
    <x v="5"/>
    <s v="Q1"/>
    <x v="4"/>
  </r>
  <r>
    <s v="O109142"/>
    <x v="88"/>
    <x v="8"/>
    <x v="0"/>
    <x v="0"/>
    <x v="1"/>
    <n v="1"/>
    <n v="413016"/>
    <d v="2026-10-07T00:00:00"/>
    <n v="10"/>
    <n v="7"/>
    <n v="2026"/>
    <x v="9"/>
    <s v="Q4"/>
    <x v="0"/>
  </r>
  <r>
    <s v="O103690"/>
    <x v="14"/>
    <x v="0"/>
    <x v="0"/>
    <x v="2"/>
    <x v="1"/>
    <n v="1"/>
    <n v="412725"/>
    <d v="2025-08-13T00:00:00"/>
    <n v="8"/>
    <n v="13"/>
    <n v="2025"/>
    <x v="8"/>
    <s v="Q3"/>
    <x v="2"/>
  </r>
  <r>
    <s v="O110478"/>
    <x v="359"/>
    <x v="4"/>
    <x v="0"/>
    <x v="1"/>
    <x v="2"/>
    <n v="1"/>
    <n v="412164"/>
    <d v="2026-09-29T00:00:00"/>
    <n v="9"/>
    <n v="29"/>
    <n v="2026"/>
    <x v="1"/>
    <s v="Q3"/>
    <x v="1"/>
  </r>
  <r>
    <s v="O107886"/>
    <x v="545"/>
    <x v="8"/>
    <x v="5"/>
    <x v="2"/>
    <x v="1"/>
    <n v="3"/>
    <n v="411990"/>
    <d v="2026-04-25T00:00:00"/>
    <n v="4"/>
    <n v="25"/>
    <n v="2026"/>
    <x v="11"/>
    <s v="Q2"/>
    <x v="2"/>
  </r>
  <r>
    <s v="O106521"/>
    <x v="34"/>
    <x v="8"/>
    <x v="0"/>
    <x v="3"/>
    <x v="2"/>
    <n v="1"/>
    <n v="411323"/>
    <d v="2026-01-02T00:00:00"/>
    <n v="1"/>
    <n v="2"/>
    <n v="2026"/>
    <x v="6"/>
    <s v="Q1"/>
    <x v="3"/>
  </r>
  <r>
    <s v="O111494"/>
    <x v="570"/>
    <x v="5"/>
    <x v="4"/>
    <x v="1"/>
    <x v="1"/>
    <n v="3"/>
    <n v="411220"/>
    <d v="2026-11-30T00:00:00"/>
    <n v="11"/>
    <n v="30"/>
    <n v="2026"/>
    <x v="0"/>
    <s v="Q4"/>
    <x v="1"/>
  </r>
  <r>
    <s v="O102432"/>
    <x v="14"/>
    <x v="4"/>
    <x v="5"/>
    <x v="4"/>
    <x v="3"/>
    <n v="3"/>
    <n v="410961"/>
    <d v="2025-05-28T00:00:00"/>
    <n v="5"/>
    <n v="28"/>
    <n v="2025"/>
    <x v="3"/>
    <s v="Q2"/>
    <x v="4"/>
  </r>
  <r>
    <s v="O110823"/>
    <x v="31"/>
    <x v="2"/>
    <x v="3"/>
    <x v="3"/>
    <x v="1"/>
    <n v="2"/>
    <n v="410614"/>
    <d v="2026-10-20T00:00:00"/>
    <n v="10"/>
    <n v="20"/>
    <n v="2026"/>
    <x v="9"/>
    <s v="Q4"/>
    <x v="3"/>
  </r>
  <r>
    <s v="O103509"/>
    <x v="163"/>
    <x v="3"/>
    <x v="5"/>
    <x v="3"/>
    <x v="1"/>
    <n v="3"/>
    <n v="410310"/>
    <d v="2025-02-08T00:00:00"/>
    <n v="2"/>
    <n v="8"/>
    <n v="2025"/>
    <x v="4"/>
    <s v="Q1"/>
    <x v="3"/>
  </r>
  <r>
    <s v="O105764"/>
    <x v="159"/>
    <x v="8"/>
    <x v="0"/>
    <x v="2"/>
    <x v="3"/>
    <n v="1"/>
    <n v="410006"/>
    <d v="2025-12-17T00:00:00"/>
    <n v="12"/>
    <n v="17"/>
    <n v="2025"/>
    <x v="7"/>
    <s v="Q4"/>
    <x v="2"/>
  </r>
  <r>
    <s v="O111543"/>
    <x v="752"/>
    <x v="8"/>
    <x v="5"/>
    <x v="4"/>
    <x v="1"/>
    <n v="4"/>
    <n v="409494"/>
    <d v="2026-03-12T00:00:00"/>
    <n v="3"/>
    <n v="12"/>
    <n v="2026"/>
    <x v="5"/>
    <s v="Q1"/>
    <x v="4"/>
  </r>
  <r>
    <s v="O106500"/>
    <x v="428"/>
    <x v="10"/>
    <x v="4"/>
    <x v="2"/>
    <x v="3"/>
    <n v="2"/>
    <n v="409420"/>
    <d v="2026-01-30T00:00:00"/>
    <n v="1"/>
    <n v="30"/>
    <n v="2026"/>
    <x v="6"/>
    <s v="Q1"/>
    <x v="2"/>
  </r>
  <r>
    <s v="O108110"/>
    <x v="57"/>
    <x v="4"/>
    <x v="4"/>
    <x v="3"/>
    <x v="1"/>
    <n v="3"/>
    <n v="409368"/>
    <d v="2026-08-05T00:00:00"/>
    <n v="8"/>
    <n v="5"/>
    <n v="2026"/>
    <x v="8"/>
    <s v="Q3"/>
    <x v="3"/>
  </r>
  <r>
    <s v="O107254"/>
    <x v="615"/>
    <x v="2"/>
    <x v="5"/>
    <x v="3"/>
    <x v="2"/>
    <n v="4"/>
    <n v="409344"/>
    <d v="2026-03-17T00:00:00"/>
    <n v="3"/>
    <n v="17"/>
    <n v="2026"/>
    <x v="5"/>
    <s v="Q1"/>
    <x v="3"/>
  </r>
  <r>
    <s v="O101889"/>
    <x v="272"/>
    <x v="8"/>
    <x v="4"/>
    <x v="1"/>
    <x v="3"/>
    <n v="2"/>
    <n v="409268"/>
    <d v="2025-04-25T00:00:00"/>
    <n v="4"/>
    <n v="25"/>
    <n v="2025"/>
    <x v="11"/>
    <s v="Q2"/>
    <x v="1"/>
  </r>
  <r>
    <s v="O111506"/>
    <x v="716"/>
    <x v="2"/>
    <x v="5"/>
    <x v="1"/>
    <x v="0"/>
    <n v="4"/>
    <n v="409240"/>
    <d v="2026-11-30T00:00:00"/>
    <n v="11"/>
    <n v="30"/>
    <n v="2026"/>
    <x v="0"/>
    <s v="Q4"/>
    <x v="1"/>
  </r>
  <r>
    <s v="O103711"/>
    <x v="644"/>
    <x v="8"/>
    <x v="0"/>
    <x v="0"/>
    <x v="2"/>
    <n v="1"/>
    <n v="409036"/>
    <d v="2025-08-14T00:00:00"/>
    <n v="8"/>
    <n v="14"/>
    <n v="2025"/>
    <x v="8"/>
    <s v="Q3"/>
    <x v="0"/>
  </r>
  <r>
    <s v="O100119"/>
    <x v="57"/>
    <x v="2"/>
    <x v="5"/>
    <x v="2"/>
    <x v="0"/>
    <n v="3"/>
    <n v="408808"/>
    <d v="2025-08-01T00:00:00"/>
    <n v="8"/>
    <n v="1"/>
    <n v="2025"/>
    <x v="8"/>
    <s v="Q3"/>
    <x v="2"/>
  </r>
  <r>
    <s v="O110750"/>
    <x v="28"/>
    <x v="9"/>
    <x v="0"/>
    <x v="1"/>
    <x v="3"/>
    <n v="1"/>
    <n v="408713"/>
    <d v="2026-10-16T00:00:00"/>
    <n v="10"/>
    <n v="16"/>
    <n v="2026"/>
    <x v="9"/>
    <s v="Q4"/>
    <x v="1"/>
  </r>
  <r>
    <s v="O106746"/>
    <x v="481"/>
    <x v="9"/>
    <x v="3"/>
    <x v="0"/>
    <x v="3"/>
    <n v="2"/>
    <n v="408685"/>
    <d v="2026-02-14T00:00:00"/>
    <n v="2"/>
    <n v="14"/>
    <n v="2026"/>
    <x v="4"/>
    <s v="Q1"/>
    <x v="0"/>
  </r>
  <r>
    <s v="O108304"/>
    <x v="599"/>
    <x v="4"/>
    <x v="0"/>
    <x v="2"/>
    <x v="1"/>
    <n v="1"/>
    <n v="408309"/>
    <d v="2026-05-20T00:00:00"/>
    <n v="5"/>
    <n v="20"/>
    <n v="2026"/>
    <x v="3"/>
    <s v="Q2"/>
    <x v="2"/>
  </r>
  <r>
    <s v="O105091"/>
    <x v="241"/>
    <x v="4"/>
    <x v="0"/>
    <x v="0"/>
    <x v="0"/>
    <n v="1"/>
    <n v="408219"/>
    <d v="2025-06-11T00:00:00"/>
    <n v="6"/>
    <n v="11"/>
    <n v="2025"/>
    <x v="2"/>
    <s v="Q2"/>
    <x v="0"/>
  </r>
  <r>
    <s v="O101365"/>
    <x v="592"/>
    <x v="4"/>
    <x v="4"/>
    <x v="3"/>
    <x v="3"/>
    <n v="3"/>
    <n v="407872"/>
    <d v="2025-03-24T00:00:00"/>
    <n v="3"/>
    <n v="24"/>
    <n v="2025"/>
    <x v="5"/>
    <s v="Q1"/>
    <x v="3"/>
  </r>
  <r>
    <s v="O106517"/>
    <x v="390"/>
    <x v="9"/>
    <x v="5"/>
    <x v="2"/>
    <x v="0"/>
    <n v="4"/>
    <n v="407856"/>
    <d v="2026-01-31T00:00:00"/>
    <n v="1"/>
    <n v="31"/>
    <n v="2026"/>
    <x v="6"/>
    <s v="Q1"/>
    <x v="2"/>
  </r>
  <r>
    <s v="O104665"/>
    <x v="396"/>
    <x v="1"/>
    <x v="5"/>
    <x v="2"/>
    <x v="3"/>
    <n v="4"/>
    <n v="407668"/>
    <d v="2025-11-10T00:00:00"/>
    <n v="11"/>
    <n v="10"/>
    <n v="2025"/>
    <x v="0"/>
    <s v="Q4"/>
    <x v="2"/>
  </r>
  <r>
    <s v="O109062"/>
    <x v="442"/>
    <x v="6"/>
    <x v="5"/>
    <x v="0"/>
    <x v="0"/>
    <n v="3"/>
    <n v="407575"/>
    <d v="2026-05-07T00:00:00"/>
    <n v="5"/>
    <n v="7"/>
    <n v="2026"/>
    <x v="3"/>
    <s v="Q2"/>
    <x v="0"/>
  </r>
  <r>
    <s v="O109036"/>
    <x v="0"/>
    <x v="10"/>
    <x v="4"/>
    <x v="1"/>
    <x v="2"/>
    <n v="3"/>
    <n v="407368"/>
    <d v="2026-03-07T00:00:00"/>
    <n v="3"/>
    <n v="7"/>
    <n v="2026"/>
    <x v="5"/>
    <s v="Q1"/>
    <x v="1"/>
  </r>
  <r>
    <s v="O111126"/>
    <x v="522"/>
    <x v="2"/>
    <x v="4"/>
    <x v="1"/>
    <x v="2"/>
    <n v="2"/>
    <n v="407182"/>
    <d v="2026-07-11T00:00:00"/>
    <n v="7"/>
    <n v="11"/>
    <n v="2026"/>
    <x v="10"/>
    <s v="Q3"/>
    <x v="1"/>
  </r>
  <r>
    <s v="O105796"/>
    <x v="229"/>
    <x v="6"/>
    <x v="4"/>
    <x v="2"/>
    <x v="1"/>
    <n v="3"/>
    <n v="406685"/>
    <d v="2025-12-19T00:00:00"/>
    <n v="12"/>
    <n v="19"/>
    <n v="2025"/>
    <x v="7"/>
    <s v="Q4"/>
    <x v="2"/>
  </r>
  <r>
    <s v="O108331"/>
    <x v="685"/>
    <x v="4"/>
    <x v="4"/>
    <x v="4"/>
    <x v="3"/>
    <n v="2"/>
    <n v="406615"/>
    <d v="2026-05-22T00:00:00"/>
    <n v="5"/>
    <n v="22"/>
    <n v="2026"/>
    <x v="3"/>
    <s v="Q2"/>
    <x v="4"/>
  </r>
  <r>
    <s v="O104269"/>
    <x v="691"/>
    <x v="10"/>
    <x v="5"/>
    <x v="1"/>
    <x v="0"/>
    <n v="3"/>
    <n v="406512"/>
    <d v="2025-09-17T00:00:00"/>
    <n v="9"/>
    <n v="17"/>
    <n v="2025"/>
    <x v="1"/>
    <m/>
    <x v="1"/>
  </r>
  <r>
    <s v="O106807"/>
    <x v="672"/>
    <x v="1"/>
    <x v="4"/>
    <x v="0"/>
    <x v="0"/>
    <n v="2"/>
    <n v="405618"/>
    <d v="2026-02-18T00:00:00"/>
    <n v="2"/>
    <n v="18"/>
    <n v="2026"/>
    <x v="4"/>
    <s v="Q1"/>
    <x v="0"/>
  </r>
  <r>
    <s v="O110566"/>
    <x v="661"/>
    <x v="6"/>
    <x v="4"/>
    <x v="1"/>
    <x v="2"/>
    <n v="3"/>
    <n v="405535"/>
    <d v="2026-04-10T00:00:00"/>
    <n v="4"/>
    <n v="10"/>
    <n v="2026"/>
    <x v="11"/>
    <s v="Q2"/>
    <x v="1"/>
  </r>
  <r>
    <s v="O108345"/>
    <x v="359"/>
    <x v="4"/>
    <x v="3"/>
    <x v="4"/>
    <x v="3"/>
    <n v="2"/>
    <n v="405096"/>
    <d v="2026-05-22T00:00:00"/>
    <n v="5"/>
    <n v="22"/>
    <n v="2026"/>
    <x v="3"/>
    <s v="Q2"/>
    <x v="4"/>
  </r>
  <r>
    <s v="O106902"/>
    <x v="231"/>
    <x v="10"/>
    <x v="0"/>
    <x v="3"/>
    <x v="1"/>
    <n v="1"/>
    <n v="404798"/>
    <d v="2026-02-24T00:00:00"/>
    <n v="2"/>
    <n v="24"/>
    <n v="2026"/>
    <x v="4"/>
    <s v="Q1"/>
    <x v="3"/>
  </r>
  <r>
    <s v="O101667"/>
    <x v="492"/>
    <x v="9"/>
    <x v="0"/>
    <x v="4"/>
    <x v="2"/>
    <n v="1"/>
    <n v="404295"/>
    <d v="2025-12-04T00:00:00"/>
    <n v="12"/>
    <n v="4"/>
    <n v="2025"/>
    <x v="7"/>
    <s v="Q4"/>
    <x v="4"/>
  </r>
  <r>
    <s v="O107502"/>
    <x v="397"/>
    <x v="9"/>
    <x v="5"/>
    <x v="0"/>
    <x v="3"/>
    <n v="3"/>
    <n v="404278"/>
    <d v="2026-01-04T00:00:00"/>
    <n v="1"/>
    <n v="4"/>
    <n v="2026"/>
    <x v="6"/>
    <s v="Q1"/>
    <x v="0"/>
  </r>
  <r>
    <s v="O107669"/>
    <x v="145"/>
    <x v="10"/>
    <x v="5"/>
    <x v="1"/>
    <x v="1"/>
    <n v="4"/>
    <n v="403752"/>
    <d v="2026-11-04T00:00:00"/>
    <n v="11"/>
    <n v="4"/>
    <n v="2026"/>
    <x v="0"/>
    <m/>
    <x v="1"/>
  </r>
  <r>
    <s v="O107621"/>
    <x v="349"/>
    <x v="9"/>
    <x v="5"/>
    <x v="4"/>
    <x v="1"/>
    <n v="3"/>
    <n v="403453"/>
    <d v="2026-08-04T00:00:00"/>
    <n v="8"/>
    <n v="4"/>
    <n v="2026"/>
    <x v="8"/>
    <s v="Q3"/>
    <x v="4"/>
  </r>
  <r>
    <s v="O110529"/>
    <x v="91"/>
    <x v="10"/>
    <x v="5"/>
    <x v="1"/>
    <x v="2"/>
    <n v="3"/>
    <n v="403238"/>
    <d v="2026-02-10T00:00:00"/>
    <n v="2"/>
    <n v="10"/>
    <n v="2026"/>
    <x v="4"/>
    <s v="Q1"/>
    <x v="1"/>
  </r>
  <r>
    <s v="O103226"/>
    <x v="781"/>
    <x v="6"/>
    <x v="5"/>
    <x v="0"/>
    <x v="0"/>
    <n v="3"/>
    <n v="403156"/>
    <d v="2025-07-15T00:00:00"/>
    <n v="7"/>
    <n v="15"/>
    <n v="2025"/>
    <x v="10"/>
    <s v="Q3"/>
    <x v="0"/>
  </r>
  <r>
    <s v="O100811"/>
    <x v="289"/>
    <x v="0"/>
    <x v="3"/>
    <x v="3"/>
    <x v="1"/>
    <n v="2"/>
    <n v="403006"/>
    <d v="2025-02-19T00:00:00"/>
    <n v="2"/>
    <n v="19"/>
    <n v="2025"/>
    <x v="4"/>
    <s v="Q1"/>
    <x v="3"/>
  </r>
  <r>
    <s v="O107801"/>
    <x v="130"/>
    <x v="9"/>
    <x v="0"/>
    <x v="2"/>
    <x v="1"/>
    <n v="1"/>
    <n v="402944"/>
    <d v="2026-04-19T00:00:00"/>
    <n v="4"/>
    <n v="19"/>
    <n v="2026"/>
    <x v="11"/>
    <s v="Q2"/>
    <x v="2"/>
  </r>
  <r>
    <s v="O110143"/>
    <x v="102"/>
    <x v="3"/>
    <x v="3"/>
    <x v="4"/>
    <x v="3"/>
    <n v="2"/>
    <n v="402703"/>
    <d v="2026-09-09T00:00:00"/>
    <n v="9"/>
    <n v="9"/>
    <n v="2026"/>
    <x v="1"/>
    <s v="Q3"/>
    <x v="4"/>
  </r>
  <r>
    <s v="O104836"/>
    <x v="660"/>
    <x v="6"/>
    <x v="0"/>
    <x v="2"/>
    <x v="2"/>
    <n v="1"/>
    <n v="402457"/>
    <d v="2025-10-21T00:00:00"/>
    <n v="10"/>
    <n v="21"/>
    <n v="2025"/>
    <x v="9"/>
    <s v="Q4"/>
    <x v="2"/>
  </r>
  <r>
    <s v="O104677"/>
    <x v="316"/>
    <x v="5"/>
    <x v="0"/>
    <x v="1"/>
    <x v="1"/>
    <n v="1"/>
    <n v="401756"/>
    <d v="2025-12-10T00:00:00"/>
    <n v="12"/>
    <n v="10"/>
    <n v="2025"/>
    <x v="7"/>
    <s v="Q4"/>
    <x v="1"/>
  </r>
  <r>
    <s v="O109325"/>
    <x v="527"/>
    <x v="3"/>
    <x v="0"/>
    <x v="4"/>
    <x v="1"/>
    <n v="1"/>
    <n v="401332"/>
    <d v="2026-07-21T00:00:00"/>
    <n v="7"/>
    <n v="21"/>
    <n v="2026"/>
    <x v="10"/>
    <m/>
    <x v="4"/>
  </r>
  <r>
    <s v="O100729"/>
    <x v="165"/>
    <x v="2"/>
    <x v="0"/>
    <x v="3"/>
    <x v="1"/>
    <n v="1"/>
    <n v="400709"/>
    <d v="2025-02-14T00:00:00"/>
    <n v="2"/>
    <n v="14"/>
    <n v="2025"/>
    <x v="4"/>
    <s v="Q1"/>
    <x v="3"/>
  </r>
  <r>
    <s v="O104344"/>
    <x v="766"/>
    <x v="0"/>
    <x v="5"/>
    <x v="0"/>
    <x v="2"/>
    <n v="3"/>
    <n v="400449"/>
    <d v="2025-09-21T00:00:00"/>
    <n v="9"/>
    <n v="21"/>
    <n v="2025"/>
    <x v="1"/>
    <s v="Q3"/>
    <x v="0"/>
  </r>
  <r>
    <s v="O107134"/>
    <x v="245"/>
    <x v="1"/>
    <x v="0"/>
    <x v="0"/>
    <x v="3"/>
    <n v="1"/>
    <n v="400062"/>
    <d v="2026-10-03T00:00:00"/>
    <n v="10"/>
    <n v="3"/>
    <n v="2026"/>
    <x v="9"/>
    <s v="Q4"/>
    <x v="0"/>
  </r>
  <r>
    <s v="O102635"/>
    <x v="329"/>
    <x v="5"/>
    <x v="4"/>
    <x v="2"/>
    <x v="3"/>
    <n v="2"/>
    <n v="399821"/>
    <d v="2025-10-06T00:00:00"/>
    <n v="10"/>
    <n v="6"/>
    <n v="2025"/>
    <x v="9"/>
    <s v="Q4"/>
    <x v="2"/>
  </r>
  <r>
    <s v="O110385"/>
    <x v="211"/>
    <x v="9"/>
    <x v="5"/>
    <x v="3"/>
    <x v="1"/>
    <n v="4"/>
    <n v="399820"/>
    <d v="2026-09-23T00:00:00"/>
    <n v="9"/>
    <n v="23"/>
    <n v="2026"/>
    <x v="1"/>
    <s v="Q3"/>
    <x v="3"/>
  </r>
  <r>
    <s v="O103671"/>
    <x v="576"/>
    <x v="10"/>
    <x v="0"/>
    <x v="4"/>
    <x v="1"/>
    <n v="1"/>
    <n v="399623"/>
    <d v="2025-11-08T00:00:00"/>
    <n v="11"/>
    <n v="8"/>
    <n v="2025"/>
    <x v="0"/>
    <s v="Q4"/>
    <x v="4"/>
  </r>
  <r>
    <s v="O107311"/>
    <x v="661"/>
    <x v="10"/>
    <x v="3"/>
    <x v="2"/>
    <x v="2"/>
    <n v="2"/>
    <n v="399347"/>
    <d v="2026-03-21T00:00:00"/>
    <n v="3"/>
    <n v="21"/>
    <n v="2026"/>
    <x v="5"/>
    <s v="Q1"/>
    <x v="2"/>
  </r>
  <r>
    <s v="O107818"/>
    <x v="164"/>
    <x v="1"/>
    <x v="3"/>
    <x v="4"/>
    <x v="3"/>
    <n v="2"/>
    <n v="399182"/>
    <d v="2026-04-20T00:00:00"/>
    <n v="4"/>
    <n v="20"/>
    <n v="2026"/>
    <x v="11"/>
    <s v="Q2"/>
    <x v="4"/>
  </r>
  <r>
    <s v="O102075"/>
    <x v="799"/>
    <x v="6"/>
    <x v="5"/>
    <x v="2"/>
    <x v="2"/>
    <n v="4"/>
    <n v="399050"/>
    <d v="2025-07-05T00:00:00"/>
    <n v="7"/>
    <n v="5"/>
    <n v="2025"/>
    <x v="10"/>
    <s v="Q3"/>
    <x v="2"/>
  </r>
  <r>
    <s v="O100731"/>
    <x v="363"/>
    <x v="4"/>
    <x v="0"/>
    <x v="4"/>
    <x v="3"/>
    <n v="1"/>
    <n v="398085"/>
    <d v="2025-02-14T00:00:00"/>
    <n v="2"/>
    <n v="14"/>
    <n v="2025"/>
    <x v="4"/>
    <s v="Q1"/>
    <x v="4"/>
  </r>
  <r>
    <s v="O104508"/>
    <x v="417"/>
    <x v="9"/>
    <x v="0"/>
    <x v="1"/>
    <x v="3"/>
    <n v="1"/>
    <n v="397641"/>
    <d v="2025-01-10T00:00:00"/>
    <n v="1"/>
    <n v="10"/>
    <n v="2025"/>
    <x v="6"/>
    <s v="Q1"/>
    <x v="1"/>
  </r>
  <r>
    <s v="O111917"/>
    <x v="224"/>
    <x v="3"/>
    <x v="5"/>
    <x v="2"/>
    <x v="0"/>
    <n v="3"/>
    <n v="397414"/>
    <d v="2026-12-25T00:00:00"/>
    <n v="12"/>
    <n v="25"/>
    <n v="2026"/>
    <x v="7"/>
    <s v="Q4"/>
    <x v="2"/>
  </r>
  <r>
    <s v="O105741"/>
    <x v="296"/>
    <x v="0"/>
    <x v="5"/>
    <x v="3"/>
    <x v="2"/>
    <n v="4"/>
    <n v="397374"/>
    <d v="2025-12-15T00:00:00"/>
    <n v="12"/>
    <n v="15"/>
    <n v="2025"/>
    <x v="7"/>
    <s v="Q4"/>
    <x v="3"/>
  </r>
  <r>
    <s v="O111847"/>
    <x v="29"/>
    <x v="2"/>
    <x v="5"/>
    <x v="1"/>
    <x v="1"/>
    <n v="4"/>
    <n v="397265"/>
    <d v="2026-12-21T00:00:00"/>
    <n v="12"/>
    <n v="21"/>
    <n v="2026"/>
    <x v="7"/>
    <s v="Q4"/>
    <x v="1"/>
  </r>
  <r>
    <s v="O109894"/>
    <x v="380"/>
    <x v="3"/>
    <x v="4"/>
    <x v="2"/>
    <x v="0"/>
    <n v="2"/>
    <n v="397150"/>
    <d v="2026-08-25T00:00:00"/>
    <n v="8"/>
    <n v="25"/>
    <n v="2026"/>
    <x v="8"/>
    <s v="Q3"/>
    <x v="2"/>
  </r>
  <r>
    <s v="O110579"/>
    <x v="496"/>
    <x v="3"/>
    <x v="0"/>
    <x v="3"/>
    <x v="1"/>
    <n v="1"/>
    <n v="397097"/>
    <d v="2026-05-10T00:00:00"/>
    <n v="5"/>
    <n v="10"/>
    <n v="2026"/>
    <x v="3"/>
    <s v="Q2"/>
    <x v="3"/>
  </r>
  <r>
    <s v="O107924"/>
    <x v="520"/>
    <x v="10"/>
    <x v="0"/>
    <x v="3"/>
    <x v="2"/>
    <n v="1"/>
    <n v="397043"/>
    <d v="2026-04-27T00:00:00"/>
    <n v="4"/>
    <n v="27"/>
    <n v="2026"/>
    <x v="11"/>
    <s v="Q2"/>
    <x v="3"/>
  </r>
  <r>
    <s v="O110557"/>
    <x v="13"/>
    <x v="3"/>
    <x v="0"/>
    <x v="1"/>
    <x v="1"/>
    <n v="1"/>
    <n v="396866"/>
    <d v="2026-04-10T00:00:00"/>
    <n v="4"/>
    <n v="10"/>
    <n v="2026"/>
    <x v="11"/>
    <s v="Q2"/>
    <x v="1"/>
  </r>
  <r>
    <s v="O103002"/>
    <x v="127"/>
    <x v="4"/>
    <x v="4"/>
    <x v="0"/>
    <x v="2"/>
    <n v="2"/>
    <n v="396865"/>
    <d v="2025-02-07T00:00:00"/>
    <n v="2"/>
    <n v="7"/>
    <n v="2025"/>
    <x v="4"/>
    <s v="Q1"/>
    <x v="0"/>
  </r>
  <r>
    <s v="O101441"/>
    <x v="717"/>
    <x v="9"/>
    <x v="3"/>
    <x v="0"/>
    <x v="2"/>
    <n v="2"/>
    <n v="396682"/>
    <d v="2025-03-29T00:00:00"/>
    <n v="3"/>
    <n v="29"/>
    <n v="2025"/>
    <x v="5"/>
    <s v="Q1"/>
    <x v="0"/>
  </r>
  <r>
    <s v="O110469"/>
    <x v="490"/>
    <x v="2"/>
    <x v="4"/>
    <x v="3"/>
    <x v="1"/>
    <n v="2"/>
    <n v="396632"/>
    <d v="2026-09-28T00:00:00"/>
    <n v="9"/>
    <n v="28"/>
    <n v="2026"/>
    <x v="1"/>
    <s v="Q3"/>
    <x v="3"/>
  </r>
  <r>
    <s v="O104849"/>
    <x v="627"/>
    <x v="5"/>
    <x v="4"/>
    <x v="4"/>
    <x v="0"/>
    <n v="2"/>
    <n v="396520"/>
    <d v="2025-10-22T00:00:00"/>
    <n v="10"/>
    <n v="22"/>
    <n v="2025"/>
    <x v="9"/>
    <s v="Q4"/>
    <x v="4"/>
  </r>
  <r>
    <s v="O109940"/>
    <x v="697"/>
    <x v="4"/>
    <x v="4"/>
    <x v="2"/>
    <x v="1"/>
    <n v="2"/>
    <n v="396139"/>
    <d v="2026-08-27T00:00:00"/>
    <n v="8"/>
    <n v="27"/>
    <n v="2026"/>
    <x v="8"/>
    <s v="Q3"/>
    <x v="2"/>
  </r>
  <r>
    <s v="O100468"/>
    <x v="39"/>
    <x v="3"/>
    <x v="5"/>
    <x v="1"/>
    <x v="1"/>
    <n v="4"/>
    <n v="395980"/>
    <d v="2025-01-29T00:00:00"/>
    <n v="1"/>
    <n v="29"/>
    <n v="2025"/>
    <x v="6"/>
    <s v="Q1"/>
    <x v="1"/>
  </r>
  <r>
    <s v="O101684"/>
    <x v="180"/>
    <x v="4"/>
    <x v="5"/>
    <x v="0"/>
    <x v="1"/>
    <n v="4"/>
    <n v="395649"/>
    <d v="2025-04-13T00:00:00"/>
    <n v="4"/>
    <n v="13"/>
    <n v="2025"/>
    <x v="11"/>
    <s v="Q2"/>
    <x v="0"/>
  </r>
  <r>
    <s v="O102537"/>
    <x v="654"/>
    <x v="10"/>
    <x v="4"/>
    <x v="4"/>
    <x v="1"/>
    <n v="2"/>
    <n v="395620"/>
    <d v="2025-04-06T00:00:00"/>
    <n v="4"/>
    <n v="6"/>
    <n v="2025"/>
    <x v="11"/>
    <s v="Q2"/>
    <x v="4"/>
  </r>
  <r>
    <s v="O103308"/>
    <x v="227"/>
    <x v="2"/>
    <x v="0"/>
    <x v="4"/>
    <x v="3"/>
    <n v="1"/>
    <n v="395611"/>
    <d v="2025-07-20T00:00:00"/>
    <n v="7"/>
    <n v="20"/>
    <n v="2025"/>
    <x v="10"/>
    <s v="Q3"/>
    <x v="4"/>
  </r>
  <r>
    <s v="O107656"/>
    <x v="84"/>
    <x v="2"/>
    <x v="4"/>
    <x v="2"/>
    <x v="1"/>
    <n v="2"/>
    <n v="395382"/>
    <d v="2026-11-04T00:00:00"/>
    <n v="11"/>
    <n v="4"/>
    <n v="2026"/>
    <x v="0"/>
    <s v="Q4"/>
    <x v="2"/>
  </r>
  <r>
    <s v="O111918"/>
    <x v="237"/>
    <x v="2"/>
    <x v="3"/>
    <x v="1"/>
    <x v="2"/>
    <n v="2"/>
    <n v="395379"/>
    <d v="2026-12-26T00:00:00"/>
    <n v="12"/>
    <n v="26"/>
    <n v="2026"/>
    <x v="7"/>
    <s v="Q4"/>
    <x v="1"/>
  </r>
  <r>
    <s v="O105271"/>
    <x v="315"/>
    <x v="3"/>
    <x v="0"/>
    <x v="2"/>
    <x v="2"/>
    <n v="1"/>
    <n v="395351"/>
    <d v="2025-11-17T00:00:00"/>
    <n v="11"/>
    <n v="17"/>
    <n v="2025"/>
    <x v="0"/>
    <s v="Q4"/>
    <x v="2"/>
  </r>
  <r>
    <s v="O103450"/>
    <x v="410"/>
    <x v="4"/>
    <x v="0"/>
    <x v="1"/>
    <x v="3"/>
    <n v="1"/>
    <n v="395220"/>
    <d v="2025-07-29T00:00:00"/>
    <n v="7"/>
    <n v="29"/>
    <n v="2025"/>
    <x v="10"/>
    <s v="Q3"/>
    <x v="1"/>
  </r>
  <r>
    <s v="O106739"/>
    <x v="317"/>
    <x v="1"/>
    <x v="0"/>
    <x v="1"/>
    <x v="1"/>
    <n v="1"/>
    <n v="394979"/>
    <d v="2026-02-14T00:00:00"/>
    <n v="2"/>
    <n v="14"/>
    <n v="2026"/>
    <x v="4"/>
    <s v="Q1"/>
    <x v="1"/>
  </r>
  <r>
    <s v="O101573"/>
    <x v="230"/>
    <x v="8"/>
    <x v="4"/>
    <x v="4"/>
    <x v="1"/>
    <n v="2"/>
    <n v="394822"/>
    <d v="2025-06-04T00:00:00"/>
    <n v="6"/>
    <n v="4"/>
    <n v="2025"/>
    <x v="2"/>
    <s v="Q2"/>
    <x v="4"/>
  </r>
  <r>
    <s v="O105020"/>
    <x v="435"/>
    <x v="8"/>
    <x v="5"/>
    <x v="3"/>
    <x v="2"/>
    <n v="4"/>
    <n v="394403"/>
    <d v="2025-01-11T00:00:00"/>
    <n v="1"/>
    <n v="11"/>
    <n v="2025"/>
    <x v="6"/>
    <s v="Q1"/>
    <x v="3"/>
  </r>
  <r>
    <s v="O103230"/>
    <x v="469"/>
    <x v="5"/>
    <x v="0"/>
    <x v="0"/>
    <x v="3"/>
    <n v="1"/>
    <n v="394300"/>
    <d v="2025-07-16T00:00:00"/>
    <n v="7"/>
    <n v="16"/>
    <n v="2025"/>
    <x v="10"/>
    <s v="Q3"/>
    <x v="0"/>
  </r>
  <r>
    <s v="O105189"/>
    <x v="667"/>
    <x v="0"/>
    <x v="3"/>
    <x v="2"/>
    <x v="1"/>
    <n v="2"/>
    <n v="394285"/>
    <d v="2025-12-11T00:00:00"/>
    <n v="12"/>
    <n v="11"/>
    <n v="2025"/>
    <x v="7"/>
    <s v="Q4"/>
    <x v="2"/>
  </r>
  <r>
    <s v="O105569"/>
    <x v="188"/>
    <x v="0"/>
    <x v="5"/>
    <x v="1"/>
    <x v="0"/>
    <n v="4"/>
    <n v="393855"/>
    <d v="2025-05-12T00:00:00"/>
    <n v="5"/>
    <n v="12"/>
    <n v="2025"/>
    <x v="3"/>
    <s v="Q2"/>
    <x v="1"/>
  </r>
  <r>
    <s v="O109638"/>
    <x v="778"/>
    <x v="3"/>
    <x v="0"/>
    <x v="2"/>
    <x v="0"/>
    <n v="1"/>
    <n v="393837"/>
    <d v="2026-09-08T00:00:00"/>
    <n v="9"/>
    <n v="8"/>
    <n v="2026"/>
    <x v="1"/>
    <s v="Q3"/>
    <x v="2"/>
  </r>
  <r>
    <s v="O102728"/>
    <x v="195"/>
    <x v="2"/>
    <x v="0"/>
    <x v="4"/>
    <x v="0"/>
    <n v="1"/>
    <n v="393143"/>
    <d v="2025-06-15T00:00:00"/>
    <n v="6"/>
    <n v="15"/>
    <n v="2025"/>
    <x v="2"/>
    <s v="Q2"/>
    <x v="4"/>
  </r>
  <r>
    <s v="O104058"/>
    <x v="30"/>
    <x v="0"/>
    <x v="0"/>
    <x v="4"/>
    <x v="3"/>
    <n v="1"/>
    <n v="393101"/>
    <d v="2025-04-09T00:00:00"/>
    <n v="4"/>
    <n v="9"/>
    <n v="2025"/>
    <x v="11"/>
    <s v="Q2"/>
    <x v="4"/>
  </r>
  <r>
    <s v="O106299"/>
    <x v="210"/>
    <x v="5"/>
    <x v="4"/>
    <x v="0"/>
    <x v="0"/>
    <n v="2"/>
    <n v="393059"/>
    <d v="2026-01-18T00:00:00"/>
    <n v="1"/>
    <n v="18"/>
    <n v="2026"/>
    <x v="6"/>
    <s v="Q1"/>
    <x v="0"/>
  </r>
  <r>
    <s v="O105324"/>
    <x v="12"/>
    <x v="2"/>
    <x v="3"/>
    <x v="0"/>
    <x v="1"/>
    <n v="2"/>
    <n v="392945"/>
    <d v="2025-11-20T00:00:00"/>
    <n v="11"/>
    <n v="20"/>
    <n v="2025"/>
    <x v="0"/>
    <s v="Q4"/>
    <x v="0"/>
  </r>
  <r>
    <s v="O106070"/>
    <x v="390"/>
    <x v="9"/>
    <x v="0"/>
    <x v="3"/>
    <x v="3"/>
    <n v="1"/>
    <n v="392551"/>
    <d v="2026-04-01T00:00:00"/>
    <n v="4"/>
    <n v="1"/>
    <n v="2026"/>
    <x v="11"/>
    <s v="Q2"/>
    <x v="3"/>
  </r>
  <r>
    <s v="O110037"/>
    <x v="682"/>
    <x v="2"/>
    <x v="5"/>
    <x v="0"/>
    <x v="3"/>
    <n v="3"/>
    <n v="392328"/>
    <d v="2026-02-09T00:00:00"/>
    <n v="2"/>
    <n v="9"/>
    <n v="2026"/>
    <x v="4"/>
    <s v="Q1"/>
    <x v="0"/>
  </r>
  <r>
    <s v="O107225"/>
    <x v="349"/>
    <x v="9"/>
    <x v="5"/>
    <x v="1"/>
    <x v="3"/>
    <n v="4"/>
    <n v="391822"/>
    <d v="2026-03-15T00:00:00"/>
    <n v="3"/>
    <n v="15"/>
    <n v="2026"/>
    <x v="5"/>
    <s v="Q1"/>
    <x v="1"/>
  </r>
  <r>
    <s v="O109602"/>
    <x v="99"/>
    <x v="10"/>
    <x v="4"/>
    <x v="0"/>
    <x v="0"/>
    <n v="2"/>
    <n v="391708"/>
    <d v="2026-07-08T00:00:00"/>
    <n v="7"/>
    <n v="8"/>
    <n v="2026"/>
    <x v="10"/>
    <s v="Q3"/>
    <x v="0"/>
  </r>
  <r>
    <s v="O105620"/>
    <x v="366"/>
    <x v="5"/>
    <x v="0"/>
    <x v="4"/>
    <x v="0"/>
    <n v="1"/>
    <n v="391523"/>
    <d v="2025-08-12T00:00:00"/>
    <n v="8"/>
    <n v="12"/>
    <n v="2025"/>
    <x v="8"/>
    <s v="Q3"/>
    <x v="4"/>
  </r>
  <r>
    <s v="O111975"/>
    <x v="757"/>
    <x v="2"/>
    <x v="0"/>
    <x v="0"/>
    <x v="0"/>
    <n v="1"/>
    <n v="391501"/>
    <d v="2026-12-29T00:00:00"/>
    <n v="12"/>
    <n v="29"/>
    <n v="2026"/>
    <x v="7"/>
    <s v="Q4"/>
    <x v="0"/>
  </r>
  <r>
    <s v="O109225"/>
    <x v="729"/>
    <x v="3"/>
    <x v="5"/>
    <x v="1"/>
    <x v="1"/>
    <n v="4"/>
    <n v="391488"/>
    <d v="2026-07-15T00:00:00"/>
    <n v="7"/>
    <n v="15"/>
    <n v="2026"/>
    <x v="10"/>
    <s v="Q3"/>
    <x v="1"/>
  </r>
  <r>
    <s v="O108985"/>
    <x v="102"/>
    <x v="0"/>
    <x v="0"/>
    <x v="2"/>
    <x v="3"/>
    <n v="1"/>
    <n v="390774"/>
    <d v="2026-06-30T00:00:00"/>
    <n v="6"/>
    <n v="30"/>
    <n v="2026"/>
    <x v="2"/>
    <s v="Q2"/>
    <x v="2"/>
  </r>
  <r>
    <s v="O100796"/>
    <x v="708"/>
    <x v="0"/>
    <x v="5"/>
    <x v="3"/>
    <x v="3"/>
    <n v="4"/>
    <n v="390645"/>
    <d v="2025-02-18T00:00:00"/>
    <n v="2"/>
    <n v="18"/>
    <n v="2025"/>
    <x v="4"/>
    <s v="Q1"/>
    <x v="3"/>
  </r>
  <r>
    <s v="O109834"/>
    <x v="342"/>
    <x v="6"/>
    <x v="3"/>
    <x v="4"/>
    <x v="2"/>
    <n v="2"/>
    <n v="390624"/>
    <d v="2026-08-21T00:00:00"/>
    <n v="8"/>
    <n v="21"/>
    <n v="2026"/>
    <x v="8"/>
    <s v="Q3"/>
    <x v="4"/>
  </r>
  <r>
    <s v="O108296"/>
    <x v="684"/>
    <x v="3"/>
    <x v="5"/>
    <x v="2"/>
    <x v="3"/>
    <n v="3"/>
    <n v="390346"/>
    <d v="2026-05-19T00:00:00"/>
    <n v="5"/>
    <n v="19"/>
    <n v="2026"/>
    <x v="3"/>
    <s v="Q2"/>
    <x v="2"/>
  </r>
  <r>
    <s v="O110220"/>
    <x v="237"/>
    <x v="3"/>
    <x v="0"/>
    <x v="3"/>
    <x v="1"/>
    <n v="1"/>
    <n v="390124"/>
    <d v="2026-09-13T00:00:00"/>
    <n v="9"/>
    <n v="13"/>
    <n v="2026"/>
    <x v="1"/>
    <s v="Q3"/>
    <x v="3"/>
  </r>
  <r>
    <s v="O104644"/>
    <x v="378"/>
    <x v="2"/>
    <x v="0"/>
    <x v="1"/>
    <x v="2"/>
    <n v="1"/>
    <n v="389859"/>
    <d v="2025-10-10T00:00:00"/>
    <n v="10"/>
    <n v="10"/>
    <n v="2025"/>
    <x v="9"/>
    <m/>
    <x v="1"/>
  </r>
  <r>
    <s v="O105122"/>
    <x v="723"/>
    <x v="4"/>
    <x v="3"/>
    <x v="3"/>
    <x v="2"/>
    <n v="2"/>
    <n v="389745"/>
    <d v="2025-08-11T00:00:00"/>
    <n v="8"/>
    <n v="11"/>
    <n v="2025"/>
    <x v="8"/>
    <s v="Q3"/>
    <x v="3"/>
  </r>
  <r>
    <s v="O109043"/>
    <x v="744"/>
    <x v="1"/>
    <x v="3"/>
    <x v="4"/>
    <x v="1"/>
    <n v="2"/>
    <n v="388700"/>
    <d v="2026-04-07T00:00:00"/>
    <n v="4"/>
    <n v="7"/>
    <n v="2026"/>
    <x v="11"/>
    <m/>
    <x v="4"/>
  </r>
  <r>
    <s v="O103811"/>
    <x v="601"/>
    <x v="1"/>
    <x v="4"/>
    <x v="3"/>
    <x v="2"/>
    <n v="2"/>
    <n v="388606"/>
    <d v="2025-08-20T00:00:00"/>
    <n v="8"/>
    <n v="20"/>
    <n v="2025"/>
    <x v="8"/>
    <s v="Q3"/>
    <x v="3"/>
  </r>
  <r>
    <s v="O105402"/>
    <x v="19"/>
    <x v="5"/>
    <x v="3"/>
    <x v="3"/>
    <x v="2"/>
    <n v="2"/>
    <n v="388433"/>
    <d v="2025-11-25T00:00:00"/>
    <n v="11"/>
    <n v="25"/>
    <n v="2025"/>
    <x v="0"/>
    <s v="Q4"/>
    <x v="3"/>
  </r>
  <r>
    <s v="O110222"/>
    <x v="622"/>
    <x v="9"/>
    <x v="4"/>
    <x v="3"/>
    <x v="0"/>
    <n v="2"/>
    <n v="388185"/>
    <d v="2026-09-13T00:00:00"/>
    <n v="9"/>
    <n v="13"/>
    <n v="2026"/>
    <x v="1"/>
    <s v="Q3"/>
    <x v="3"/>
  </r>
  <r>
    <s v="O103887"/>
    <x v="473"/>
    <x v="8"/>
    <x v="3"/>
    <x v="0"/>
    <x v="3"/>
    <n v="2"/>
    <n v="388148"/>
    <d v="2025-08-25T00:00:00"/>
    <n v="8"/>
    <n v="25"/>
    <n v="2025"/>
    <x v="8"/>
    <s v="Q3"/>
    <x v="0"/>
  </r>
  <r>
    <s v="O102381"/>
    <x v="352"/>
    <x v="8"/>
    <x v="5"/>
    <x v="4"/>
    <x v="3"/>
    <n v="3"/>
    <n v="387934"/>
    <d v="2025-05-25T00:00:00"/>
    <n v="5"/>
    <n v="25"/>
    <n v="2025"/>
    <x v="3"/>
    <s v="Q2"/>
    <x v="4"/>
  </r>
  <r>
    <s v="O104831"/>
    <x v="617"/>
    <x v="5"/>
    <x v="4"/>
    <x v="0"/>
    <x v="0"/>
    <n v="2"/>
    <n v="387731"/>
    <d v="2025-10-21T00:00:00"/>
    <n v="10"/>
    <n v="21"/>
    <n v="2025"/>
    <x v="9"/>
    <s v="Q4"/>
    <x v="0"/>
  </r>
  <r>
    <s v="O106404"/>
    <x v="161"/>
    <x v="1"/>
    <x v="5"/>
    <x v="2"/>
    <x v="3"/>
    <n v="3"/>
    <n v="387501"/>
    <d v="2026-01-25T00:00:00"/>
    <n v="1"/>
    <n v="25"/>
    <n v="2026"/>
    <x v="6"/>
    <s v="Q1"/>
    <x v="2"/>
  </r>
  <r>
    <s v="O107248"/>
    <x v="641"/>
    <x v="10"/>
    <x v="5"/>
    <x v="3"/>
    <x v="3"/>
    <n v="4"/>
    <n v="387319"/>
    <d v="2026-03-17T00:00:00"/>
    <n v="3"/>
    <n v="17"/>
    <n v="2026"/>
    <x v="5"/>
    <s v="Q1"/>
    <x v="3"/>
  </r>
  <r>
    <s v="O109328"/>
    <x v="185"/>
    <x v="4"/>
    <x v="0"/>
    <x v="3"/>
    <x v="3"/>
    <n v="1"/>
    <n v="387100"/>
    <d v="2026-07-21T00:00:00"/>
    <n v="7"/>
    <n v="21"/>
    <n v="2026"/>
    <x v="10"/>
    <s v="Q3"/>
    <x v="3"/>
  </r>
  <r>
    <s v="O105301"/>
    <x v="133"/>
    <x v="6"/>
    <x v="4"/>
    <x v="3"/>
    <x v="2"/>
    <n v="2"/>
    <n v="386630"/>
    <d v="2025-11-19T00:00:00"/>
    <n v="11"/>
    <n v="19"/>
    <n v="2025"/>
    <x v="0"/>
    <s v="Q4"/>
    <x v="3"/>
  </r>
  <r>
    <s v="O108368"/>
    <x v="184"/>
    <x v="5"/>
    <x v="4"/>
    <x v="0"/>
    <x v="3"/>
    <n v="2"/>
    <n v="385953"/>
    <d v="2026-05-24T00:00:00"/>
    <n v="5"/>
    <n v="24"/>
    <n v="2026"/>
    <x v="3"/>
    <s v="Q2"/>
    <x v="0"/>
  </r>
  <r>
    <s v="O102422"/>
    <x v="440"/>
    <x v="6"/>
    <x v="0"/>
    <x v="4"/>
    <x v="0"/>
    <n v="1"/>
    <n v="385843"/>
    <d v="2025-05-28T00:00:00"/>
    <n v="5"/>
    <n v="28"/>
    <n v="2025"/>
    <x v="3"/>
    <s v="Q2"/>
    <x v="4"/>
  </r>
  <r>
    <s v="O105547"/>
    <x v="651"/>
    <x v="4"/>
    <x v="0"/>
    <x v="3"/>
    <x v="3"/>
    <n v="1"/>
    <n v="385630"/>
    <d v="2025-03-12T00:00:00"/>
    <n v="3"/>
    <n v="12"/>
    <n v="2025"/>
    <x v="5"/>
    <s v="Q1"/>
    <x v="3"/>
  </r>
  <r>
    <s v="O107456"/>
    <x v="277"/>
    <x v="8"/>
    <x v="3"/>
    <x v="4"/>
    <x v="3"/>
    <n v="2"/>
    <n v="385368"/>
    <d v="2026-03-29T00:00:00"/>
    <n v="3"/>
    <n v="29"/>
    <n v="2026"/>
    <x v="5"/>
    <s v="Q1"/>
    <x v="4"/>
  </r>
  <r>
    <s v="O106923"/>
    <x v="647"/>
    <x v="0"/>
    <x v="0"/>
    <x v="3"/>
    <x v="2"/>
    <n v="1"/>
    <n v="385350"/>
    <d v="2026-02-25T00:00:00"/>
    <n v="2"/>
    <n v="25"/>
    <n v="2026"/>
    <x v="4"/>
    <s v="Q1"/>
    <x v="3"/>
  </r>
  <r>
    <s v="O101184"/>
    <x v="693"/>
    <x v="5"/>
    <x v="3"/>
    <x v="1"/>
    <x v="2"/>
    <n v="2"/>
    <n v="385157"/>
    <d v="2025-03-13T00:00:00"/>
    <n v="3"/>
    <n v="13"/>
    <n v="2025"/>
    <x v="5"/>
    <s v="Q1"/>
    <x v="1"/>
  </r>
  <r>
    <s v="O101103"/>
    <x v="706"/>
    <x v="2"/>
    <x v="5"/>
    <x v="2"/>
    <x v="3"/>
    <n v="3"/>
    <n v="384355"/>
    <d v="2025-08-03T00:00:00"/>
    <n v="8"/>
    <n v="3"/>
    <n v="2025"/>
    <x v="8"/>
    <s v="Q3"/>
    <x v="2"/>
  </r>
  <r>
    <s v="O107111"/>
    <x v="651"/>
    <x v="4"/>
    <x v="4"/>
    <x v="3"/>
    <x v="2"/>
    <n v="2"/>
    <n v="383379"/>
    <d v="2026-08-03T00:00:00"/>
    <n v="8"/>
    <n v="3"/>
    <n v="2026"/>
    <x v="8"/>
    <s v="Q3"/>
    <x v="3"/>
  </r>
  <r>
    <s v="O105985"/>
    <x v="45"/>
    <x v="9"/>
    <x v="0"/>
    <x v="2"/>
    <x v="3"/>
    <n v="1"/>
    <n v="383060"/>
    <d v="2025-12-30T00:00:00"/>
    <n v="12"/>
    <n v="30"/>
    <n v="2025"/>
    <x v="7"/>
    <s v="Q4"/>
    <x v="2"/>
  </r>
  <r>
    <s v="O102065"/>
    <x v="13"/>
    <x v="3"/>
    <x v="0"/>
    <x v="3"/>
    <x v="2"/>
    <n v="1"/>
    <n v="383043"/>
    <d v="2025-06-05T00:00:00"/>
    <n v="6"/>
    <n v="5"/>
    <n v="2025"/>
    <x v="2"/>
    <s v="Q2"/>
    <x v="3"/>
  </r>
  <r>
    <s v="O103348"/>
    <x v="395"/>
    <x v="10"/>
    <x v="0"/>
    <x v="3"/>
    <x v="2"/>
    <n v="1"/>
    <n v="382948"/>
    <d v="2025-07-23T00:00:00"/>
    <n v="7"/>
    <n v="23"/>
    <n v="2025"/>
    <x v="10"/>
    <s v="Q3"/>
    <x v="3"/>
  </r>
  <r>
    <s v="O104532"/>
    <x v="288"/>
    <x v="5"/>
    <x v="0"/>
    <x v="4"/>
    <x v="3"/>
    <n v="1"/>
    <n v="382662"/>
    <d v="2025-03-10T00:00:00"/>
    <n v="3"/>
    <n v="10"/>
    <n v="2025"/>
    <x v="5"/>
    <s v="Q1"/>
    <x v="4"/>
  </r>
  <r>
    <s v="O107513"/>
    <x v="94"/>
    <x v="5"/>
    <x v="0"/>
    <x v="4"/>
    <x v="0"/>
    <n v="1"/>
    <n v="382599"/>
    <d v="2026-02-04T00:00:00"/>
    <n v="2"/>
    <n v="4"/>
    <n v="2026"/>
    <x v="4"/>
    <s v="Q1"/>
    <x v="4"/>
  </r>
  <r>
    <s v="O106947"/>
    <x v="31"/>
    <x v="3"/>
    <x v="0"/>
    <x v="4"/>
    <x v="1"/>
    <n v="1"/>
    <n v="382443"/>
    <d v="2026-02-27T00:00:00"/>
    <n v="2"/>
    <n v="27"/>
    <n v="2026"/>
    <x v="4"/>
    <s v="Q1"/>
    <x v="4"/>
  </r>
  <r>
    <s v="O107051"/>
    <x v="695"/>
    <x v="5"/>
    <x v="5"/>
    <x v="3"/>
    <x v="0"/>
    <n v="4"/>
    <n v="382399"/>
    <d v="2026-05-03T00:00:00"/>
    <n v="5"/>
    <n v="3"/>
    <n v="2026"/>
    <x v="3"/>
    <s v="Q2"/>
    <x v="3"/>
  </r>
  <r>
    <s v="O105605"/>
    <x v="373"/>
    <x v="6"/>
    <x v="0"/>
    <x v="3"/>
    <x v="2"/>
    <n v="1"/>
    <n v="382324"/>
    <d v="2025-07-12T00:00:00"/>
    <n v="7"/>
    <n v="12"/>
    <n v="2025"/>
    <x v="10"/>
    <s v="Q3"/>
    <x v="3"/>
  </r>
  <r>
    <s v="O108428"/>
    <x v="322"/>
    <x v="5"/>
    <x v="3"/>
    <x v="0"/>
    <x v="2"/>
    <n v="2"/>
    <n v="382062"/>
    <d v="2026-05-27T00:00:00"/>
    <n v="5"/>
    <n v="27"/>
    <n v="2026"/>
    <x v="3"/>
    <s v="Q2"/>
    <x v="0"/>
  </r>
  <r>
    <s v="O108925"/>
    <x v="365"/>
    <x v="8"/>
    <x v="0"/>
    <x v="0"/>
    <x v="0"/>
    <n v="1"/>
    <n v="381104"/>
    <d v="2026-06-27T00:00:00"/>
    <n v="6"/>
    <n v="27"/>
    <n v="2026"/>
    <x v="2"/>
    <s v="Q2"/>
    <x v="0"/>
  </r>
  <r>
    <s v="O106574"/>
    <x v="556"/>
    <x v="10"/>
    <x v="5"/>
    <x v="2"/>
    <x v="0"/>
    <n v="3"/>
    <n v="381062"/>
    <d v="2026-04-02T00:00:00"/>
    <n v="4"/>
    <n v="2"/>
    <n v="2026"/>
    <x v="11"/>
    <s v="Q2"/>
    <x v="2"/>
  </r>
  <r>
    <s v="O103413"/>
    <x v="520"/>
    <x v="6"/>
    <x v="0"/>
    <x v="4"/>
    <x v="3"/>
    <n v="1"/>
    <n v="380323"/>
    <d v="2025-07-27T00:00:00"/>
    <n v="7"/>
    <n v="27"/>
    <n v="2025"/>
    <x v="10"/>
    <s v="Q3"/>
    <x v="4"/>
  </r>
  <r>
    <s v="O107976"/>
    <x v="489"/>
    <x v="10"/>
    <x v="0"/>
    <x v="4"/>
    <x v="2"/>
    <n v="1"/>
    <n v="380288"/>
    <d v="2026-04-30T00:00:00"/>
    <n v="4"/>
    <n v="30"/>
    <n v="2026"/>
    <x v="11"/>
    <s v="Q2"/>
    <x v="4"/>
  </r>
  <r>
    <s v="O100032"/>
    <x v="638"/>
    <x v="0"/>
    <x v="0"/>
    <x v="2"/>
    <x v="3"/>
    <n v="1"/>
    <n v="380176"/>
    <d v="2025-02-01T00:00:00"/>
    <n v="2"/>
    <n v="1"/>
    <n v="2025"/>
    <x v="4"/>
    <s v="Q1"/>
    <x v="2"/>
  </r>
  <r>
    <s v="O104464"/>
    <x v="364"/>
    <x v="2"/>
    <x v="0"/>
    <x v="2"/>
    <x v="1"/>
    <n v="1"/>
    <n v="380134"/>
    <d v="2025-09-29T00:00:00"/>
    <n v="9"/>
    <n v="29"/>
    <n v="2025"/>
    <x v="1"/>
    <s v="Q3"/>
    <x v="2"/>
  </r>
  <r>
    <s v="O105283"/>
    <x v="576"/>
    <x v="10"/>
    <x v="0"/>
    <x v="0"/>
    <x v="0"/>
    <n v="1"/>
    <n v="380036"/>
    <d v="2025-11-17T00:00:00"/>
    <n v="11"/>
    <n v="17"/>
    <n v="2025"/>
    <x v="0"/>
    <s v="Q4"/>
    <x v="0"/>
  </r>
  <r>
    <s v="O110910"/>
    <x v="509"/>
    <x v="10"/>
    <x v="0"/>
    <x v="0"/>
    <x v="1"/>
    <n v="1"/>
    <n v="379641"/>
    <d v="2026-10-25T00:00:00"/>
    <n v="10"/>
    <n v="25"/>
    <n v="2026"/>
    <x v="9"/>
    <s v="Q4"/>
    <x v="0"/>
  </r>
  <r>
    <s v="O106066"/>
    <x v="654"/>
    <x v="6"/>
    <x v="4"/>
    <x v="0"/>
    <x v="2"/>
    <n v="2"/>
    <n v="379638"/>
    <d v="2026-04-01T00:00:00"/>
    <n v="4"/>
    <n v="1"/>
    <n v="2026"/>
    <x v="11"/>
    <s v="Q2"/>
    <x v="0"/>
  </r>
  <r>
    <s v="O101967"/>
    <x v="701"/>
    <x v="8"/>
    <x v="0"/>
    <x v="4"/>
    <x v="0"/>
    <n v="1"/>
    <n v="379611"/>
    <d v="2025-04-30T00:00:00"/>
    <n v="4"/>
    <n v="30"/>
    <n v="2025"/>
    <x v="11"/>
    <s v="Q2"/>
    <x v="4"/>
  </r>
  <r>
    <s v="O103168"/>
    <x v="8"/>
    <x v="0"/>
    <x v="0"/>
    <x v="3"/>
    <x v="1"/>
    <n v="1"/>
    <n v="379368"/>
    <d v="2025-12-07T00:00:00"/>
    <n v="12"/>
    <n v="7"/>
    <n v="2025"/>
    <x v="7"/>
    <s v="Q4"/>
    <x v="3"/>
  </r>
  <r>
    <s v="O102372"/>
    <x v="596"/>
    <x v="9"/>
    <x v="5"/>
    <x v="4"/>
    <x v="1"/>
    <n v="3"/>
    <n v="379240"/>
    <d v="2025-05-25T00:00:00"/>
    <n v="5"/>
    <n v="25"/>
    <n v="2025"/>
    <x v="3"/>
    <m/>
    <x v="4"/>
  </r>
  <r>
    <s v="O105659"/>
    <x v="218"/>
    <x v="5"/>
    <x v="3"/>
    <x v="0"/>
    <x v="0"/>
    <n v="2"/>
    <n v="378934"/>
    <d v="2025-10-12T00:00:00"/>
    <n v="10"/>
    <n v="12"/>
    <n v="2025"/>
    <x v="9"/>
    <s v="Q4"/>
    <x v="0"/>
  </r>
  <r>
    <s v="O109556"/>
    <x v="475"/>
    <x v="3"/>
    <x v="5"/>
    <x v="0"/>
    <x v="3"/>
    <n v="4"/>
    <n v="378546"/>
    <d v="2026-04-08T00:00:00"/>
    <n v="4"/>
    <n v="8"/>
    <n v="2026"/>
    <x v="11"/>
    <s v="Q2"/>
    <x v="0"/>
  </r>
  <r>
    <s v="O107826"/>
    <x v="479"/>
    <x v="2"/>
    <x v="5"/>
    <x v="3"/>
    <x v="0"/>
    <n v="4"/>
    <n v="378144"/>
    <d v="2026-04-21T00:00:00"/>
    <n v="4"/>
    <n v="21"/>
    <n v="2026"/>
    <x v="11"/>
    <s v="Q2"/>
    <x v="3"/>
  </r>
  <r>
    <s v="O106744"/>
    <x v="477"/>
    <x v="5"/>
    <x v="5"/>
    <x v="0"/>
    <x v="2"/>
    <n v="3"/>
    <n v="377676"/>
    <d v="2026-02-14T00:00:00"/>
    <n v="2"/>
    <n v="14"/>
    <n v="2026"/>
    <x v="4"/>
    <s v="Q1"/>
    <x v="0"/>
  </r>
  <r>
    <s v="O101991"/>
    <x v="493"/>
    <x v="0"/>
    <x v="4"/>
    <x v="2"/>
    <x v="0"/>
    <n v="2"/>
    <n v="377571"/>
    <d v="2025-01-05T00:00:00"/>
    <n v="1"/>
    <n v="5"/>
    <n v="2025"/>
    <x v="6"/>
    <s v="Q1"/>
    <x v="2"/>
  </r>
  <r>
    <s v="O102507"/>
    <x v="18"/>
    <x v="10"/>
    <x v="5"/>
    <x v="2"/>
    <x v="2"/>
    <n v="4"/>
    <n v="377441"/>
    <d v="2025-02-06T00:00:00"/>
    <n v="2"/>
    <n v="6"/>
    <n v="2025"/>
    <x v="4"/>
    <s v="Q1"/>
    <x v="2"/>
  </r>
  <r>
    <s v="O107227"/>
    <x v="476"/>
    <x v="6"/>
    <x v="5"/>
    <x v="3"/>
    <x v="2"/>
    <n v="3"/>
    <n v="377226"/>
    <d v="2026-03-16T00:00:00"/>
    <n v="3"/>
    <n v="16"/>
    <n v="2026"/>
    <x v="5"/>
    <s v="Q1"/>
    <x v="3"/>
  </r>
  <r>
    <s v="O102953"/>
    <x v="89"/>
    <x v="9"/>
    <x v="4"/>
    <x v="2"/>
    <x v="0"/>
    <n v="2"/>
    <n v="376252"/>
    <d v="2025-06-29T00:00:00"/>
    <n v="6"/>
    <n v="29"/>
    <n v="2025"/>
    <x v="2"/>
    <s v="Q2"/>
    <x v="2"/>
  </r>
  <r>
    <s v="O106428"/>
    <x v="257"/>
    <x v="9"/>
    <x v="4"/>
    <x v="0"/>
    <x v="1"/>
    <n v="2"/>
    <n v="376193"/>
    <d v="2026-01-26T00:00:00"/>
    <n v="1"/>
    <n v="26"/>
    <n v="2026"/>
    <x v="6"/>
    <s v="Q1"/>
    <x v="0"/>
  </r>
  <r>
    <s v="O111460"/>
    <x v="666"/>
    <x v="7"/>
    <x v="5"/>
    <x v="3"/>
    <x v="1"/>
    <n v="4"/>
    <n v="376035"/>
    <d v="2026-11-28T00:00:00"/>
    <n v="11"/>
    <n v="28"/>
    <n v="2026"/>
    <x v="0"/>
    <m/>
    <x v="3"/>
  </r>
  <r>
    <s v="O101424"/>
    <x v="595"/>
    <x v="9"/>
    <x v="0"/>
    <x v="2"/>
    <x v="0"/>
    <n v="1"/>
    <n v="375675"/>
    <d v="2025-03-28T00:00:00"/>
    <n v="3"/>
    <n v="28"/>
    <n v="2025"/>
    <x v="5"/>
    <s v="Q1"/>
    <x v="2"/>
  </r>
  <r>
    <s v="O103942"/>
    <x v="67"/>
    <x v="4"/>
    <x v="5"/>
    <x v="2"/>
    <x v="3"/>
    <n v="3"/>
    <n v="375451"/>
    <d v="2025-08-28T00:00:00"/>
    <n v="8"/>
    <n v="28"/>
    <n v="2025"/>
    <x v="8"/>
    <s v="Q3"/>
    <x v="2"/>
  </r>
  <r>
    <s v="O110836"/>
    <x v="526"/>
    <x v="1"/>
    <x v="3"/>
    <x v="0"/>
    <x v="3"/>
    <n v="2"/>
    <n v="375410"/>
    <d v="2026-10-21T00:00:00"/>
    <n v="10"/>
    <n v="21"/>
    <n v="2026"/>
    <x v="9"/>
    <s v="Q4"/>
    <x v="0"/>
  </r>
  <r>
    <s v="O107393"/>
    <x v="579"/>
    <x v="0"/>
    <x v="5"/>
    <x v="1"/>
    <x v="0"/>
    <n v="3"/>
    <n v="375208"/>
    <d v="2026-03-26T00:00:00"/>
    <n v="3"/>
    <n v="26"/>
    <n v="2026"/>
    <x v="5"/>
    <s v="Q1"/>
    <x v="1"/>
  </r>
  <r>
    <s v="O103420"/>
    <x v="10"/>
    <x v="2"/>
    <x v="0"/>
    <x v="2"/>
    <x v="2"/>
    <n v="1"/>
    <n v="374856"/>
    <d v="2025-07-27T00:00:00"/>
    <n v="7"/>
    <n v="27"/>
    <n v="2025"/>
    <x v="10"/>
    <s v="Q3"/>
    <x v="2"/>
  </r>
  <r>
    <s v="O106966"/>
    <x v="637"/>
    <x v="2"/>
    <x v="0"/>
    <x v="1"/>
    <x v="1"/>
    <n v="1"/>
    <n v="374699"/>
    <d v="2026-02-28T00:00:00"/>
    <n v="2"/>
    <n v="28"/>
    <n v="2026"/>
    <x v="4"/>
    <s v="Q1"/>
    <x v="1"/>
  </r>
  <r>
    <s v="O102244"/>
    <x v="66"/>
    <x v="5"/>
    <x v="3"/>
    <x v="4"/>
    <x v="1"/>
    <n v="2"/>
    <n v="374593"/>
    <d v="2025-05-17T00:00:00"/>
    <n v="5"/>
    <n v="17"/>
    <n v="2025"/>
    <x v="3"/>
    <s v="Q2"/>
    <x v="4"/>
  </r>
  <r>
    <s v="O105255"/>
    <x v="426"/>
    <x v="9"/>
    <x v="5"/>
    <x v="3"/>
    <x v="1"/>
    <n v="4"/>
    <n v="374195"/>
    <d v="2025-11-16T00:00:00"/>
    <n v="11"/>
    <n v="16"/>
    <n v="2025"/>
    <x v="0"/>
    <s v="Q4"/>
    <x v="3"/>
  </r>
  <r>
    <s v="O104228"/>
    <x v="356"/>
    <x v="1"/>
    <x v="2"/>
    <x v="0"/>
    <x v="3"/>
    <n v="1"/>
    <n v="374122"/>
    <d v="2025-09-14T00:00:00"/>
    <n v="9"/>
    <n v="14"/>
    <n v="2025"/>
    <x v="1"/>
    <m/>
    <x v="0"/>
  </r>
  <r>
    <s v="O104728"/>
    <x v="303"/>
    <x v="4"/>
    <x v="5"/>
    <x v="3"/>
    <x v="1"/>
    <n v="3"/>
    <n v="373507"/>
    <d v="2025-10-15T00:00:00"/>
    <n v="10"/>
    <n v="15"/>
    <n v="2025"/>
    <x v="9"/>
    <s v="Q4"/>
    <x v="3"/>
  </r>
  <r>
    <s v="O111135"/>
    <x v="610"/>
    <x v="8"/>
    <x v="2"/>
    <x v="0"/>
    <x v="1"/>
    <n v="1"/>
    <n v="373368"/>
    <d v="2026-08-11T00:00:00"/>
    <n v="8"/>
    <n v="11"/>
    <n v="2026"/>
    <x v="8"/>
    <s v="Q3"/>
    <x v="0"/>
  </r>
  <r>
    <s v="O101166"/>
    <x v="185"/>
    <x v="5"/>
    <x v="5"/>
    <x v="4"/>
    <x v="2"/>
    <n v="3"/>
    <n v="372802"/>
    <d v="2025-12-03T00:00:00"/>
    <n v="12"/>
    <n v="3"/>
    <n v="2025"/>
    <x v="7"/>
    <s v="Q4"/>
    <x v="4"/>
  </r>
  <r>
    <s v="O104160"/>
    <x v="514"/>
    <x v="10"/>
    <x v="2"/>
    <x v="2"/>
    <x v="1"/>
    <n v="1"/>
    <n v="372453"/>
    <d v="2025-10-09T00:00:00"/>
    <n v="10"/>
    <n v="9"/>
    <n v="2025"/>
    <x v="9"/>
    <m/>
    <x v="2"/>
  </r>
  <r>
    <s v="O108022"/>
    <x v="284"/>
    <x v="8"/>
    <x v="5"/>
    <x v="0"/>
    <x v="3"/>
    <n v="3"/>
    <n v="372164"/>
    <d v="2026-03-05T00:00:00"/>
    <n v="3"/>
    <n v="5"/>
    <n v="2026"/>
    <x v="5"/>
    <s v="Q1"/>
    <x v="0"/>
  </r>
  <r>
    <s v="O105142"/>
    <x v="443"/>
    <x v="5"/>
    <x v="0"/>
    <x v="2"/>
    <x v="3"/>
    <n v="1"/>
    <n v="371681"/>
    <d v="2025-09-11T00:00:00"/>
    <n v="9"/>
    <n v="11"/>
    <n v="2025"/>
    <x v="1"/>
    <m/>
    <x v="2"/>
  </r>
  <r>
    <s v="O101823"/>
    <x v="38"/>
    <x v="6"/>
    <x v="2"/>
    <x v="1"/>
    <x v="0"/>
    <n v="1"/>
    <n v="371396"/>
    <d v="2025-04-21T00:00:00"/>
    <n v="4"/>
    <n v="21"/>
    <n v="2025"/>
    <x v="11"/>
    <s v="Q2"/>
    <x v="1"/>
  </r>
  <r>
    <s v="O103218"/>
    <x v="413"/>
    <x v="3"/>
    <x v="0"/>
    <x v="3"/>
    <x v="2"/>
    <n v="1"/>
    <n v="371029"/>
    <d v="2025-07-15T00:00:00"/>
    <n v="7"/>
    <n v="15"/>
    <n v="2025"/>
    <x v="10"/>
    <s v="Q3"/>
    <x v="3"/>
  </r>
  <r>
    <s v="O103740"/>
    <x v="595"/>
    <x v="4"/>
    <x v="2"/>
    <x v="2"/>
    <x v="0"/>
    <n v="1"/>
    <n v="370808"/>
    <d v="2025-08-16T00:00:00"/>
    <n v="8"/>
    <n v="16"/>
    <n v="2025"/>
    <x v="8"/>
    <s v="Q3"/>
    <x v="2"/>
  </r>
  <r>
    <s v="O105657"/>
    <x v="545"/>
    <x v="8"/>
    <x v="2"/>
    <x v="2"/>
    <x v="3"/>
    <n v="1"/>
    <n v="370499"/>
    <d v="2025-10-12T00:00:00"/>
    <n v="10"/>
    <n v="12"/>
    <n v="2025"/>
    <x v="9"/>
    <s v="Q4"/>
    <x v="2"/>
  </r>
  <r>
    <s v="O107247"/>
    <x v="726"/>
    <x v="0"/>
    <x v="2"/>
    <x v="3"/>
    <x v="1"/>
    <n v="1"/>
    <n v="370064"/>
    <d v="2026-03-17T00:00:00"/>
    <n v="3"/>
    <n v="17"/>
    <n v="2026"/>
    <x v="5"/>
    <s v="Q1"/>
    <x v="3"/>
  </r>
  <r>
    <s v="O109096"/>
    <x v="267"/>
    <x v="8"/>
    <x v="5"/>
    <x v="3"/>
    <x v="3"/>
    <n v="3"/>
    <n v="369948"/>
    <d v="2026-07-07T00:00:00"/>
    <n v="7"/>
    <n v="7"/>
    <n v="2026"/>
    <x v="10"/>
    <s v="Q3"/>
    <x v="3"/>
  </r>
  <r>
    <s v="O105269"/>
    <x v="545"/>
    <x v="3"/>
    <x v="5"/>
    <x v="4"/>
    <x v="3"/>
    <n v="3"/>
    <n v="369859"/>
    <d v="2025-11-17T00:00:00"/>
    <n v="11"/>
    <n v="17"/>
    <n v="2025"/>
    <x v="0"/>
    <s v="Q4"/>
    <x v="4"/>
  </r>
  <r>
    <s v="O100293"/>
    <x v="654"/>
    <x v="3"/>
    <x v="5"/>
    <x v="2"/>
    <x v="1"/>
    <n v="3"/>
    <n v="369732"/>
    <d v="2025-01-18T00:00:00"/>
    <n v="1"/>
    <n v="18"/>
    <n v="2025"/>
    <x v="6"/>
    <s v="Q1"/>
    <x v="2"/>
  </r>
  <r>
    <s v="O105598"/>
    <x v="265"/>
    <x v="0"/>
    <x v="2"/>
    <x v="2"/>
    <x v="3"/>
    <n v="1"/>
    <n v="369220"/>
    <d v="2025-07-12T00:00:00"/>
    <n v="7"/>
    <n v="12"/>
    <n v="2025"/>
    <x v="10"/>
    <s v="Q3"/>
    <x v="2"/>
  </r>
  <r>
    <s v="O102141"/>
    <x v="205"/>
    <x v="0"/>
    <x v="5"/>
    <x v="2"/>
    <x v="1"/>
    <n v="3"/>
    <n v="369182"/>
    <d v="2025-11-05T00:00:00"/>
    <n v="11"/>
    <n v="5"/>
    <n v="2025"/>
    <x v="0"/>
    <s v="Q4"/>
    <x v="2"/>
  </r>
  <r>
    <s v="O110046"/>
    <x v="417"/>
    <x v="3"/>
    <x v="2"/>
    <x v="1"/>
    <x v="3"/>
    <n v="1"/>
    <n v="368701"/>
    <d v="2026-03-09T00:00:00"/>
    <n v="3"/>
    <n v="9"/>
    <n v="2026"/>
    <x v="5"/>
    <s v="Q1"/>
    <x v="1"/>
  </r>
  <r>
    <s v="O100016"/>
    <x v="638"/>
    <x v="5"/>
    <x v="0"/>
    <x v="4"/>
    <x v="0"/>
    <n v="1"/>
    <n v="368615"/>
    <d v="2025-01-01T00:00:00"/>
    <n v="1"/>
    <n v="1"/>
    <n v="2025"/>
    <x v="6"/>
    <s v="Q1"/>
    <x v="4"/>
  </r>
  <r>
    <s v="O110205"/>
    <x v="376"/>
    <x v="5"/>
    <x v="0"/>
    <x v="0"/>
    <x v="3"/>
    <n v="1"/>
    <n v="367863"/>
    <d v="2026-12-09T00:00:00"/>
    <n v="12"/>
    <n v="9"/>
    <n v="2026"/>
    <x v="7"/>
    <s v="Q4"/>
    <x v="0"/>
  </r>
  <r>
    <s v="O108698"/>
    <x v="745"/>
    <x v="2"/>
    <x v="2"/>
    <x v="4"/>
    <x v="3"/>
    <n v="1"/>
    <n v="367563"/>
    <d v="2026-06-13T00:00:00"/>
    <n v="6"/>
    <n v="13"/>
    <n v="2026"/>
    <x v="2"/>
    <s v="Q2"/>
    <x v="4"/>
  </r>
  <r>
    <s v="O102836"/>
    <x v="687"/>
    <x v="2"/>
    <x v="3"/>
    <x v="4"/>
    <x v="0"/>
    <n v="2"/>
    <n v="367396"/>
    <d v="2025-06-22T00:00:00"/>
    <n v="6"/>
    <n v="22"/>
    <n v="2025"/>
    <x v="2"/>
    <s v="Q2"/>
    <x v="4"/>
  </r>
  <r>
    <s v="O100869"/>
    <x v="398"/>
    <x v="4"/>
    <x v="5"/>
    <x v="3"/>
    <x v="0"/>
    <n v="3"/>
    <n v="367310"/>
    <d v="2025-02-22T00:00:00"/>
    <n v="2"/>
    <n v="22"/>
    <n v="2025"/>
    <x v="4"/>
    <s v="Q1"/>
    <x v="3"/>
  </r>
  <r>
    <s v="O100472"/>
    <x v="384"/>
    <x v="6"/>
    <x v="3"/>
    <x v="1"/>
    <x v="0"/>
    <n v="2"/>
    <n v="367068"/>
    <d v="2025-01-29T00:00:00"/>
    <n v="1"/>
    <n v="29"/>
    <n v="2025"/>
    <x v="6"/>
    <s v="Q1"/>
    <x v="1"/>
  </r>
  <r>
    <s v="O107526"/>
    <x v="705"/>
    <x v="9"/>
    <x v="2"/>
    <x v="1"/>
    <x v="2"/>
    <n v="1"/>
    <n v="366968"/>
    <d v="2026-03-04T00:00:00"/>
    <n v="3"/>
    <n v="4"/>
    <n v="2026"/>
    <x v="5"/>
    <s v="Q1"/>
    <x v="1"/>
  </r>
  <r>
    <s v="O102205"/>
    <x v="548"/>
    <x v="6"/>
    <x v="4"/>
    <x v="3"/>
    <x v="1"/>
    <n v="2"/>
    <n v="366435"/>
    <d v="2025-05-14T00:00:00"/>
    <n v="5"/>
    <n v="14"/>
    <n v="2025"/>
    <x v="3"/>
    <s v="Q2"/>
    <x v="3"/>
  </r>
  <r>
    <s v="O106151"/>
    <x v="436"/>
    <x v="9"/>
    <x v="2"/>
    <x v="3"/>
    <x v="1"/>
    <n v="1"/>
    <n v="366354"/>
    <d v="2026-09-01T00:00:00"/>
    <n v="9"/>
    <n v="1"/>
    <n v="2026"/>
    <x v="1"/>
    <s v="Q3"/>
    <x v="3"/>
  </r>
  <r>
    <s v="O103082"/>
    <x v="622"/>
    <x v="0"/>
    <x v="5"/>
    <x v="0"/>
    <x v="3"/>
    <n v="4"/>
    <n v="366162"/>
    <d v="2025-07-07T00:00:00"/>
    <n v="7"/>
    <n v="7"/>
    <n v="2025"/>
    <x v="10"/>
    <s v="Q3"/>
    <x v="0"/>
  </r>
  <r>
    <s v="O103726"/>
    <x v="333"/>
    <x v="5"/>
    <x v="3"/>
    <x v="2"/>
    <x v="0"/>
    <n v="2"/>
    <n v="366098"/>
    <d v="2025-08-15T00:00:00"/>
    <n v="8"/>
    <n v="15"/>
    <n v="2025"/>
    <x v="8"/>
    <s v="Q3"/>
    <x v="2"/>
  </r>
  <r>
    <s v="O108983"/>
    <x v="715"/>
    <x v="5"/>
    <x v="2"/>
    <x v="0"/>
    <x v="3"/>
    <n v="1"/>
    <n v="365994"/>
    <d v="2026-06-30T00:00:00"/>
    <n v="6"/>
    <n v="30"/>
    <n v="2026"/>
    <x v="2"/>
    <s v="Q2"/>
    <x v="0"/>
  </r>
  <r>
    <s v="O104453"/>
    <x v="322"/>
    <x v="4"/>
    <x v="5"/>
    <x v="3"/>
    <x v="3"/>
    <n v="3"/>
    <n v="365977"/>
    <d v="2025-09-28T00:00:00"/>
    <n v="9"/>
    <n v="28"/>
    <n v="2025"/>
    <x v="1"/>
    <s v="Q3"/>
    <x v="3"/>
  </r>
  <r>
    <s v="O104614"/>
    <x v="312"/>
    <x v="10"/>
    <x v="0"/>
    <x v="4"/>
    <x v="2"/>
    <n v="1"/>
    <n v="365670"/>
    <d v="2025-08-10T00:00:00"/>
    <n v="8"/>
    <n v="10"/>
    <n v="2025"/>
    <x v="8"/>
    <s v="Q3"/>
    <x v="4"/>
  </r>
  <r>
    <s v="O106055"/>
    <x v="572"/>
    <x v="5"/>
    <x v="5"/>
    <x v="3"/>
    <x v="3"/>
    <n v="3"/>
    <n v="365638"/>
    <d v="2026-03-01T00:00:00"/>
    <n v="3"/>
    <n v="1"/>
    <n v="2026"/>
    <x v="5"/>
    <s v="Q1"/>
    <x v="3"/>
  </r>
  <r>
    <s v="O102380"/>
    <x v="414"/>
    <x v="3"/>
    <x v="4"/>
    <x v="3"/>
    <x v="2"/>
    <n v="2"/>
    <n v="365623"/>
    <d v="2025-05-25T00:00:00"/>
    <n v="5"/>
    <n v="25"/>
    <n v="2025"/>
    <x v="3"/>
    <s v="Q2"/>
    <x v="3"/>
  </r>
  <r>
    <s v="O105339"/>
    <x v="482"/>
    <x v="0"/>
    <x v="5"/>
    <x v="4"/>
    <x v="3"/>
    <n v="3"/>
    <n v="365478"/>
    <d v="2025-11-21T00:00:00"/>
    <n v="11"/>
    <n v="21"/>
    <n v="2025"/>
    <x v="0"/>
    <s v="Q4"/>
    <x v="4"/>
  </r>
  <r>
    <s v="O111017"/>
    <x v="461"/>
    <x v="1"/>
    <x v="2"/>
    <x v="2"/>
    <x v="1"/>
    <n v="1"/>
    <n v="365455"/>
    <d v="2026-01-11T00:00:00"/>
    <n v="1"/>
    <n v="11"/>
    <n v="2026"/>
    <x v="6"/>
    <s v="Q1"/>
    <x v="2"/>
  </r>
  <r>
    <s v="O109210"/>
    <x v="514"/>
    <x v="6"/>
    <x v="2"/>
    <x v="0"/>
    <x v="2"/>
    <n v="1"/>
    <n v="365342"/>
    <d v="2026-07-14T00:00:00"/>
    <n v="7"/>
    <n v="14"/>
    <n v="2026"/>
    <x v="10"/>
    <m/>
    <x v="0"/>
  </r>
  <r>
    <s v="O108122"/>
    <x v="504"/>
    <x v="3"/>
    <x v="2"/>
    <x v="1"/>
    <x v="3"/>
    <n v="1"/>
    <n v="365201"/>
    <d v="2026-09-05T00:00:00"/>
    <n v="9"/>
    <n v="5"/>
    <n v="2026"/>
    <x v="1"/>
    <s v="Q3"/>
    <x v="1"/>
  </r>
  <r>
    <s v="O103750"/>
    <x v="528"/>
    <x v="2"/>
    <x v="5"/>
    <x v="1"/>
    <x v="1"/>
    <n v="4"/>
    <n v="364962"/>
    <d v="2025-08-16T00:00:00"/>
    <n v="8"/>
    <n v="16"/>
    <n v="2025"/>
    <x v="8"/>
    <s v="Q3"/>
    <x v="1"/>
  </r>
  <r>
    <s v="O110092"/>
    <x v="709"/>
    <x v="5"/>
    <x v="0"/>
    <x v="0"/>
    <x v="3"/>
    <n v="1"/>
    <n v="364686"/>
    <d v="2026-06-09T00:00:00"/>
    <n v="6"/>
    <n v="9"/>
    <n v="2026"/>
    <x v="2"/>
    <s v="Q2"/>
    <x v="0"/>
  </r>
  <r>
    <s v="O101687"/>
    <x v="530"/>
    <x v="3"/>
    <x v="3"/>
    <x v="0"/>
    <x v="0"/>
    <n v="2"/>
    <n v="364288"/>
    <d v="2025-04-13T00:00:00"/>
    <n v="4"/>
    <n v="13"/>
    <n v="2025"/>
    <x v="11"/>
    <s v="Q2"/>
    <x v="0"/>
  </r>
  <r>
    <s v="O106519"/>
    <x v="237"/>
    <x v="4"/>
    <x v="3"/>
    <x v="4"/>
    <x v="3"/>
    <n v="2"/>
    <n v="364161"/>
    <d v="2026-01-02T00:00:00"/>
    <n v="1"/>
    <n v="2"/>
    <n v="2026"/>
    <x v="6"/>
    <s v="Q1"/>
    <x v="4"/>
  </r>
  <r>
    <s v="O104991"/>
    <x v="737"/>
    <x v="5"/>
    <x v="3"/>
    <x v="4"/>
    <x v="3"/>
    <n v="2"/>
    <n v="364126"/>
    <d v="2025-10-31T00:00:00"/>
    <n v="10"/>
    <n v="31"/>
    <n v="2025"/>
    <x v="9"/>
    <s v="Q4"/>
    <x v="4"/>
  </r>
  <r>
    <s v="O102643"/>
    <x v="354"/>
    <x v="10"/>
    <x v="4"/>
    <x v="0"/>
    <x v="0"/>
    <n v="2"/>
    <n v="364121"/>
    <d v="2025-10-06T00:00:00"/>
    <n v="10"/>
    <n v="6"/>
    <n v="2025"/>
    <x v="9"/>
    <s v="Q4"/>
    <x v="0"/>
  </r>
  <r>
    <s v="O111650"/>
    <x v="490"/>
    <x v="4"/>
    <x v="5"/>
    <x v="2"/>
    <x v="3"/>
    <n v="3"/>
    <n v="363556"/>
    <d v="2026-09-12T00:00:00"/>
    <n v="9"/>
    <n v="12"/>
    <n v="2026"/>
    <x v="1"/>
    <s v="Q3"/>
    <x v="2"/>
  </r>
  <r>
    <s v="O106447"/>
    <x v="770"/>
    <x v="3"/>
    <x v="3"/>
    <x v="1"/>
    <x v="3"/>
    <n v="2"/>
    <n v="363447"/>
    <d v="2026-01-27T00:00:00"/>
    <n v="1"/>
    <n v="27"/>
    <n v="2026"/>
    <x v="6"/>
    <s v="Q1"/>
    <x v="1"/>
  </r>
  <r>
    <s v="O101146"/>
    <x v="369"/>
    <x v="8"/>
    <x v="5"/>
    <x v="0"/>
    <x v="3"/>
    <n v="4"/>
    <n v="363318"/>
    <d v="2025-11-03T00:00:00"/>
    <n v="11"/>
    <n v="3"/>
    <n v="2025"/>
    <x v="0"/>
    <m/>
    <x v="0"/>
  </r>
  <r>
    <s v="O106652"/>
    <x v="734"/>
    <x v="1"/>
    <x v="5"/>
    <x v="0"/>
    <x v="2"/>
    <n v="4"/>
    <n v="363041"/>
    <d v="2026-09-02T00:00:00"/>
    <n v="9"/>
    <n v="2"/>
    <n v="2026"/>
    <x v="1"/>
    <s v="Q3"/>
    <x v="0"/>
  </r>
  <r>
    <s v="O105765"/>
    <x v="680"/>
    <x v="5"/>
    <x v="5"/>
    <x v="2"/>
    <x v="1"/>
    <n v="3"/>
    <n v="363036"/>
    <d v="2025-12-17T00:00:00"/>
    <n v="12"/>
    <n v="17"/>
    <n v="2025"/>
    <x v="7"/>
    <s v="Q4"/>
    <x v="2"/>
  </r>
  <r>
    <s v="O108842"/>
    <x v="424"/>
    <x v="2"/>
    <x v="5"/>
    <x v="0"/>
    <x v="2"/>
    <n v="3"/>
    <n v="362966"/>
    <d v="2026-06-22T00:00:00"/>
    <n v="6"/>
    <n v="22"/>
    <n v="2026"/>
    <x v="2"/>
    <s v="Q2"/>
    <x v="0"/>
  </r>
  <r>
    <s v="O103272"/>
    <x v="436"/>
    <x v="1"/>
    <x v="0"/>
    <x v="1"/>
    <x v="1"/>
    <n v="1"/>
    <n v="362647"/>
    <d v="2025-07-18T00:00:00"/>
    <n v="7"/>
    <n v="18"/>
    <n v="2025"/>
    <x v="10"/>
    <s v="Q3"/>
    <x v="1"/>
  </r>
  <r>
    <s v="O101458"/>
    <x v="691"/>
    <x v="8"/>
    <x v="2"/>
    <x v="2"/>
    <x v="1"/>
    <n v="1"/>
    <n v="362053"/>
    <d v="2025-03-30T00:00:00"/>
    <n v="3"/>
    <n v="30"/>
    <n v="2025"/>
    <x v="5"/>
    <m/>
    <x v="2"/>
  </r>
  <r>
    <s v="O109837"/>
    <x v="771"/>
    <x v="3"/>
    <x v="5"/>
    <x v="3"/>
    <x v="3"/>
    <n v="3"/>
    <n v="361773"/>
    <d v="2026-08-21T00:00:00"/>
    <n v="8"/>
    <n v="21"/>
    <n v="2026"/>
    <x v="8"/>
    <s v="Q3"/>
    <x v="3"/>
  </r>
  <r>
    <s v="O102760"/>
    <x v="39"/>
    <x v="10"/>
    <x v="0"/>
    <x v="2"/>
    <x v="2"/>
    <n v="1"/>
    <n v="361742"/>
    <d v="2025-06-17T00:00:00"/>
    <n v="6"/>
    <n v="17"/>
    <n v="2025"/>
    <x v="2"/>
    <s v="Q2"/>
    <x v="2"/>
  </r>
  <r>
    <s v="O109448"/>
    <x v="697"/>
    <x v="0"/>
    <x v="4"/>
    <x v="4"/>
    <x v="0"/>
    <n v="2"/>
    <n v="361544"/>
    <d v="2026-07-28T00:00:00"/>
    <n v="7"/>
    <n v="28"/>
    <n v="2026"/>
    <x v="10"/>
    <s v="Q3"/>
    <x v="4"/>
  </r>
  <r>
    <s v="O106225"/>
    <x v="342"/>
    <x v="8"/>
    <x v="0"/>
    <x v="0"/>
    <x v="3"/>
    <n v="1"/>
    <n v="361247"/>
    <d v="2026-01-14T00:00:00"/>
    <n v="1"/>
    <n v="14"/>
    <n v="2026"/>
    <x v="6"/>
    <s v="Q1"/>
    <x v="0"/>
  </r>
  <r>
    <s v="O102215"/>
    <x v="219"/>
    <x v="6"/>
    <x v="4"/>
    <x v="4"/>
    <x v="1"/>
    <n v="2"/>
    <n v="361210"/>
    <d v="2025-05-15T00:00:00"/>
    <n v="5"/>
    <n v="15"/>
    <n v="2025"/>
    <x v="3"/>
    <s v="Q2"/>
    <x v="4"/>
  </r>
  <r>
    <s v="O110412"/>
    <x v="1"/>
    <x v="5"/>
    <x v="4"/>
    <x v="1"/>
    <x v="3"/>
    <n v="2"/>
    <n v="360670"/>
    <d v="2026-09-25T00:00:00"/>
    <n v="9"/>
    <n v="25"/>
    <n v="2026"/>
    <x v="1"/>
    <s v="Q3"/>
    <x v="1"/>
  </r>
  <r>
    <s v="O109269"/>
    <x v="493"/>
    <x v="9"/>
    <x v="0"/>
    <x v="0"/>
    <x v="1"/>
    <n v="1"/>
    <n v="360264"/>
    <d v="2026-07-18T00:00:00"/>
    <n v="7"/>
    <n v="18"/>
    <n v="2026"/>
    <x v="10"/>
    <s v="Q3"/>
    <x v="0"/>
  </r>
  <r>
    <s v="O109163"/>
    <x v="523"/>
    <x v="5"/>
    <x v="4"/>
    <x v="2"/>
    <x v="3"/>
    <n v="2"/>
    <n v="360227"/>
    <d v="2026-11-07T00:00:00"/>
    <n v="11"/>
    <n v="7"/>
    <n v="2026"/>
    <x v="0"/>
    <s v="Q4"/>
    <x v="2"/>
  </r>
  <r>
    <s v="O102720"/>
    <x v="539"/>
    <x v="0"/>
    <x v="0"/>
    <x v="1"/>
    <x v="0"/>
    <n v="1"/>
    <n v="360045"/>
    <d v="2025-06-15T00:00:00"/>
    <n v="6"/>
    <n v="15"/>
    <n v="2025"/>
    <x v="2"/>
    <s v="Q2"/>
    <x v="1"/>
  </r>
  <r>
    <s v="O104106"/>
    <x v="765"/>
    <x v="9"/>
    <x v="2"/>
    <x v="4"/>
    <x v="2"/>
    <n v="1"/>
    <n v="360044"/>
    <d v="2025-07-09T00:00:00"/>
    <n v="7"/>
    <n v="9"/>
    <n v="2025"/>
    <x v="10"/>
    <s v="Q3"/>
    <x v="4"/>
  </r>
  <r>
    <s v="O110162"/>
    <x v="160"/>
    <x v="10"/>
    <x v="2"/>
    <x v="7"/>
    <x v="2"/>
    <n v="1"/>
    <n v="359917"/>
    <d v="2026-10-09T00:00:00"/>
    <n v="10"/>
    <n v="9"/>
    <n v="2026"/>
    <x v="9"/>
    <s v="Q4"/>
    <x v="3"/>
  </r>
  <r>
    <s v="O109155"/>
    <x v="515"/>
    <x v="0"/>
    <x v="0"/>
    <x v="0"/>
    <x v="2"/>
    <n v="1"/>
    <n v="359768"/>
    <d v="2026-11-07T00:00:00"/>
    <n v="11"/>
    <n v="7"/>
    <n v="2026"/>
    <x v="0"/>
    <s v="Q4"/>
    <x v="0"/>
  </r>
  <r>
    <s v="O107968"/>
    <x v="376"/>
    <x v="4"/>
    <x v="0"/>
    <x v="1"/>
    <x v="1"/>
    <n v="1"/>
    <n v="359639"/>
    <d v="2026-04-30T00:00:00"/>
    <n v="4"/>
    <n v="30"/>
    <n v="2026"/>
    <x v="11"/>
    <s v="Q2"/>
    <x v="1"/>
  </r>
  <r>
    <s v="O105503"/>
    <x v="791"/>
    <x v="3"/>
    <x v="0"/>
    <x v="1"/>
    <x v="0"/>
    <n v="1"/>
    <n v="359618"/>
    <d v="2025-01-12T00:00:00"/>
    <n v="1"/>
    <n v="12"/>
    <n v="2025"/>
    <x v="6"/>
    <s v="Q1"/>
    <x v="1"/>
  </r>
  <r>
    <s v="O103520"/>
    <x v="728"/>
    <x v="1"/>
    <x v="0"/>
    <x v="0"/>
    <x v="3"/>
    <n v="1"/>
    <n v="359579"/>
    <d v="2025-02-08T00:00:00"/>
    <n v="2"/>
    <n v="8"/>
    <n v="2025"/>
    <x v="4"/>
    <s v="Q1"/>
    <x v="0"/>
  </r>
  <r>
    <s v="O109724"/>
    <x v="671"/>
    <x v="4"/>
    <x v="4"/>
    <x v="2"/>
    <x v="1"/>
    <n v="2"/>
    <n v="359322"/>
    <d v="2026-08-14T00:00:00"/>
    <n v="8"/>
    <n v="14"/>
    <n v="2026"/>
    <x v="8"/>
    <s v="Q3"/>
    <x v="2"/>
  </r>
  <r>
    <s v="O102400"/>
    <x v="422"/>
    <x v="8"/>
    <x v="2"/>
    <x v="0"/>
    <x v="3"/>
    <n v="1"/>
    <n v="359148"/>
    <d v="2025-05-26T00:00:00"/>
    <n v="5"/>
    <n v="26"/>
    <n v="2025"/>
    <x v="3"/>
    <m/>
    <x v="0"/>
  </r>
  <r>
    <s v="O111136"/>
    <x v="218"/>
    <x v="1"/>
    <x v="0"/>
    <x v="0"/>
    <x v="1"/>
    <n v="1"/>
    <n v="359097"/>
    <d v="2026-08-11T00:00:00"/>
    <n v="8"/>
    <n v="11"/>
    <n v="2026"/>
    <x v="8"/>
    <s v="Q3"/>
    <x v="0"/>
  </r>
  <r>
    <s v="O111411"/>
    <x v="419"/>
    <x v="8"/>
    <x v="0"/>
    <x v="0"/>
    <x v="1"/>
    <n v="1"/>
    <n v="358800"/>
    <d v="2026-11-25T00:00:00"/>
    <n v="11"/>
    <n v="25"/>
    <n v="2026"/>
    <x v="0"/>
    <s v="Q4"/>
    <x v="0"/>
  </r>
  <r>
    <s v="O101454"/>
    <x v="146"/>
    <x v="9"/>
    <x v="2"/>
    <x v="0"/>
    <x v="2"/>
    <n v="1"/>
    <n v="358486"/>
    <d v="2025-03-30T00:00:00"/>
    <n v="3"/>
    <n v="30"/>
    <n v="2025"/>
    <x v="5"/>
    <s v="Q1"/>
    <x v="0"/>
  </r>
  <r>
    <s v="O102974"/>
    <x v="41"/>
    <x v="1"/>
    <x v="4"/>
    <x v="3"/>
    <x v="2"/>
    <n v="2"/>
    <n v="358297"/>
    <d v="2025-06-30T00:00:00"/>
    <n v="6"/>
    <n v="30"/>
    <n v="2025"/>
    <x v="2"/>
    <s v="Q2"/>
    <x v="3"/>
  </r>
  <r>
    <s v="O107067"/>
    <x v="349"/>
    <x v="0"/>
    <x v="0"/>
    <x v="2"/>
    <x v="1"/>
    <n v="1"/>
    <n v="358261"/>
    <d v="2026-06-03T00:00:00"/>
    <n v="6"/>
    <n v="3"/>
    <n v="2026"/>
    <x v="2"/>
    <s v="Q2"/>
    <x v="2"/>
  </r>
  <r>
    <s v="O108967"/>
    <x v="290"/>
    <x v="4"/>
    <x v="2"/>
    <x v="2"/>
    <x v="0"/>
    <n v="1"/>
    <n v="358206"/>
    <d v="2026-06-29T00:00:00"/>
    <n v="6"/>
    <n v="29"/>
    <n v="2026"/>
    <x v="2"/>
    <s v="Q2"/>
    <x v="2"/>
  </r>
  <r>
    <s v="O108003"/>
    <x v="205"/>
    <x v="10"/>
    <x v="0"/>
    <x v="4"/>
    <x v="0"/>
    <n v="1"/>
    <n v="358041"/>
    <d v="2026-02-05T00:00:00"/>
    <n v="2"/>
    <n v="5"/>
    <n v="2026"/>
    <x v="4"/>
    <s v="Q1"/>
    <x v="4"/>
  </r>
  <r>
    <s v="O102824"/>
    <x v="462"/>
    <x v="2"/>
    <x v="0"/>
    <x v="1"/>
    <x v="2"/>
    <n v="1"/>
    <n v="357865"/>
    <d v="2025-06-21T00:00:00"/>
    <n v="6"/>
    <n v="21"/>
    <n v="2025"/>
    <x v="2"/>
    <s v="Q2"/>
    <x v="1"/>
  </r>
  <r>
    <s v="O101434"/>
    <x v="399"/>
    <x v="0"/>
    <x v="2"/>
    <x v="0"/>
    <x v="2"/>
    <n v="1"/>
    <n v="357204"/>
    <d v="2025-03-29T00:00:00"/>
    <n v="3"/>
    <n v="29"/>
    <n v="2025"/>
    <x v="5"/>
    <s v="Q1"/>
    <x v="0"/>
  </r>
  <r>
    <s v="O101169"/>
    <x v="79"/>
    <x v="3"/>
    <x v="0"/>
    <x v="4"/>
    <x v="1"/>
    <n v="1"/>
    <n v="357029"/>
    <d v="2025-12-03T00:00:00"/>
    <n v="12"/>
    <n v="3"/>
    <n v="2025"/>
    <x v="7"/>
    <s v="Q4"/>
    <x v="4"/>
  </r>
  <r>
    <s v="O108988"/>
    <x v="112"/>
    <x v="5"/>
    <x v="3"/>
    <x v="1"/>
    <x v="0"/>
    <n v="2"/>
    <n v="356779"/>
    <d v="2026-01-07T00:00:00"/>
    <n v="1"/>
    <n v="7"/>
    <n v="2026"/>
    <x v="6"/>
    <s v="Q1"/>
    <x v="1"/>
  </r>
  <r>
    <s v="O103320"/>
    <x v="168"/>
    <x v="0"/>
    <x v="4"/>
    <x v="0"/>
    <x v="3"/>
    <n v="2"/>
    <n v="356646"/>
    <d v="2025-07-21T00:00:00"/>
    <n v="7"/>
    <n v="21"/>
    <n v="2025"/>
    <x v="10"/>
    <s v="Q3"/>
    <x v="0"/>
  </r>
  <r>
    <s v="O102804"/>
    <x v="399"/>
    <x v="9"/>
    <x v="3"/>
    <x v="3"/>
    <x v="3"/>
    <n v="2"/>
    <n v="356534"/>
    <d v="2025-06-20T00:00:00"/>
    <n v="6"/>
    <n v="20"/>
    <n v="2025"/>
    <x v="2"/>
    <s v="Q2"/>
    <x v="3"/>
  </r>
  <r>
    <s v="O109189"/>
    <x v="661"/>
    <x v="0"/>
    <x v="3"/>
    <x v="1"/>
    <x v="0"/>
    <n v="2"/>
    <n v="356422"/>
    <d v="2026-07-13T00:00:00"/>
    <n v="7"/>
    <n v="13"/>
    <n v="2026"/>
    <x v="10"/>
    <s v="Q3"/>
    <x v="1"/>
  </r>
  <r>
    <s v="O100919"/>
    <x v="395"/>
    <x v="9"/>
    <x v="4"/>
    <x v="4"/>
    <x v="1"/>
    <n v="2"/>
    <n v="356059"/>
    <d v="2025-02-25T00:00:00"/>
    <n v="2"/>
    <n v="25"/>
    <n v="2025"/>
    <x v="4"/>
    <s v="Q1"/>
    <x v="4"/>
  </r>
  <r>
    <s v="O102687"/>
    <x v="736"/>
    <x v="6"/>
    <x v="0"/>
    <x v="3"/>
    <x v="2"/>
    <n v="1"/>
    <n v="355985"/>
    <d v="2025-06-13T00:00:00"/>
    <n v="6"/>
    <n v="13"/>
    <n v="2025"/>
    <x v="2"/>
    <s v="Q2"/>
    <x v="3"/>
  </r>
  <r>
    <s v="O109484"/>
    <x v="782"/>
    <x v="6"/>
    <x v="4"/>
    <x v="2"/>
    <x v="0"/>
    <n v="2"/>
    <n v="355606"/>
    <d v="2026-07-31T00:00:00"/>
    <n v="7"/>
    <n v="31"/>
    <n v="2026"/>
    <x v="10"/>
    <s v="Q3"/>
    <x v="2"/>
  </r>
  <r>
    <s v="O100505"/>
    <x v="535"/>
    <x v="1"/>
    <x v="2"/>
    <x v="1"/>
    <x v="3"/>
    <n v="1"/>
    <n v="355503"/>
    <d v="2025-01-31T00:00:00"/>
    <n v="1"/>
    <n v="31"/>
    <n v="2025"/>
    <x v="6"/>
    <s v="Q1"/>
    <x v="1"/>
  </r>
  <r>
    <s v="O103412"/>
    <x v="793"/>
    <x v="3"/>
    <x v="0"/>
    <x v="3"/>
    <x v="0"/>
    <n v="1"/>
    <n v="355419"/>
    <d v="2025-07-27T00:00:00"/>
    <n v="7"/>
    <n v="27"/>
    <n v="2025"/>
    <x v="10"/>
    <s v="Q3"/>
    <x v="3"/>
  </r>
  <r>
    <s v="O110665"/>
    <x v="758"/>
    <x v="10"/>
    <x v="2"/>
    <x v="4"/>
    <x v="3"/>
    <n v="1"/>
    <n v="354813"/>
    <d v="2026-10-10T00:00:00"/>
    <n v="10"/>
    <n v="10"/>
    <n v="2026"/>
    <x v="9"/>
    <s v="Q4"/>
    <x v="4"/>
  </r>
  <r>
    <s v="O110451"/>
    <x v="655"/>
    <x v="5"/>
    <x v="4"/>
    <x v="0"/>
    <x v="2"/>
    <n v="2"/>
    <n v="354196"/>
    <d v="2026-09-27T00:00:00"/>
    <n v="9"/>
    <n v="27"/>
    <n v="2026"/>
    <x v="1"/>
    <s v="Q3"/>
    <x v="0"/>
  </r>
  <r>
    <s v="O109205"/>
    <x v="617"/>
    <x v="1"/>
    <x v="3"/>
    <x v="2"/>
    <x v="3"/>
    <n v="2"/>
    <n v="353911"/>
    <d v="2026-07-14T00:00:00"/>
    <n v="7"/>
    <n v="14"/>
    <n v="2026"/>
    <x v="10"/>
    <s v="Q3"/>
    <x v="2"/>
  </r>
  <r>
    <s v="O101749"/>
    <x v="136"/>
    <x v="8"/>
    <x v="4"/>
    <x v="0"/>
    <x v="2"/>
    <n v="2"/>
    <n v="353519"/>
    <d v="2025-04-17T00:00:00"/>
    <n v="4"/>
    <n v="17"/>
    <n v="2025"/>
    <x v="11"/>
    <s v="Q2"/>
    <x v="0"/>
  </r>
  <r>
    <s v="O109646"/>
    <x v="128"/>
    <x v="8"/>
    <x v="2"/>
    <x v="4"/>
    <x v="3"/>
    <n v="1"/>
    <n v="352990"/>
    <d v="2026-09-08T00:00:00"/>
    <n v="9"/>
    <n v="8"/>
    <n v="2026"/>
    <x v="1"/>
    <s v="Q3"/>
    <x v="4"/>
  </r>
  <r>
    <s v="O110187"/>
    <x v="319"/>
    <x v="1"/>
    <x v="5"/>
    <x v="4"/>
    <x v="2"/>
    <n v="3"/>
    <n v="352901"/>
    <d v="2026-11-09T00:00:00"/>
    <n v="11"/>
    <n v="9"/>
    <n v="2026"/>
    <x v="0"/>
    <s v="Q4"/>
    <x v="4"/>
  </r>
  <r>
    <s v="O104113"/>
    <x v="562"/>
    <x v="10"/>
    <x v="0"/>
    <x v="3"/>
    <x v="0"/>
    <n v="1"/>
    <n v="352794"/>
    <d v="2025-07-09T00:00:00"/>
    <n v="7"/>
    <n v="9"/>
    <n v="2025"/>
    <x v="10"/>
    <s v="Q3"/>
    <x v="3"/>
  </r>
  <r>
    <s v="O107486"/>
    <x v="466"/>
    <x v="6"/>
    <x v="2"/>
    <x v="1"/>
    <x v="2"/>
    <n v="1"/>
    <n v="352547"/>
    <d v="2026-03-31T00:00:00"/>
    <n v="3"/>
    <n v="31"/>
    <n v="2026"/>
    <x v="5"/>
    <s v="Q1"/>
    <x v="1"/>
  </r>
  <r>
    <s v="O108286"/>
    <x v="43"/>
    <x v="4"/>
    <x v="5"/>
    <x v="3"/>
    <x v="0"/>
    <n v="3"/>
    <n v="352539"/>
    <d v="2026-05-19T00:00:00"/>
    <n v="5"/>
    <n v="19"/>
    <n v="2026"/>
    <x v="3"/>
    <s v="Q2"/>
    <x v="3"/>
  </r>
  <r>
    <s v="O108044"/>
    <x v="193"/>
    <x v="9"/>
    <x v="4"/>
    <x v="1"/>
    <x v="3"/>
    <n v="2"/>
    <n v="352405"/>
    <d v="2026-04-05T00:00:00"/>
    <n v="4"/>
    <n v="5"/>
    <n v="2026"/>
    <x v="11"/>
    <s v="Q2"/>
    <x v="1"/>
  </r>
  <r>
    <s v="O109632"/>
    <x v="499"/>
    <x v="0"/>
    <x v="4"/>
    <x v="0"/>
    <x v="1"/>
    <n v="2"/>
    <n v="351018"/>
    <d v="2026-09-08T00:00:00"/>
    <n v="9"/>
    <n v="8"/>
    <n v="2026"/>
    <x v="1"/>
    <s v="Q3"/>
    <x v="0"/>
  </r>
  <r>
    <s v="O102849"/>
    <x v="342"/>
    <x v="0"/>
    <x v="2"/>
    <x v="2"/>
    <x v="2"/>
    <n v="1"/>
    <n v="350888"/>
    <d v="2025-06-23T00:00:00"/>
    <n v="6"/>
    <n v="23"/>
    <n v="2025"/>
    <x v="2"/>
    <s v="Q2"/>
    <x v="2"/>
  </r>
  <r>
    <s v="O102842"/>
    <x v="798"/>
    <x v="9"/>
    <x v="4"/>
    <x v="4"/>
    <x v="1"/>
    <n v="2"/>
    <n v="350420"/>
    <d v="2025-06-22T00:00:00"/>
    <n v="6"/>
    <n v="22"/>
    <n v="2025"/>
    <x v="2"/>
    <s v="Q2"/>
    <x v="4"/>
  </r>
  <r>
    <s v="O103780"/>
    <x v="30"/>
    <x v="1"/>
    <x v="5"/>
    <x v="1"/>
    <x v="3"/>
    <n v="3"/>
    <n v="350388"/>
    <d v="2025-08-18T00:00:00"/>
    <n v="8"/>
    <n v="18"/>
    <n v="2025"/>
    <x v="8"/>
    <s v="Q3"/>
    <x v="1"/>
  </r>
  <r>
    <s v="O104365"/>
    <x v="294"/>
    <x v="10"/>
    <x v="0"/>
    <x v="0"/>
    <x v="1"/>
    <n v="1"/>
    <n v="350350"/>
    <d v="2025-09-23T00:00:00"/>
    <n v="9"/>
    <n v="23"/>
    <n v="2025"/>
    <x v="1"/>
    <s v="Q3"/>
    <x v="0"/>
  </r>
  <r>
    <s v="O103433"/>
    <x v="713"/>
    <x v="9"/>
    <x v="4"/>
    <x v="4"/>
    <x v="0"/>
    <n v="2"/>
    <n v="350107"/>
    <d v="2025-07-28T00:00:00"/>
    <n v="7"/>
    <n v="28"/>
    <n v="2025"/>
    <x v="10"/>
    <s v="Q3"/>
    <x v="4"/>
  </r>
  <r>
    <s v="O107645"/>
    <x v="50"/>
    <x v="10"/>
    <x v="0"/>
    <x v="0"/>
    <x v="0"/>
    <n v="1"/>
    <n v="350070"/>
    <d v="2026-10-04T00:00:00"/>
    <n v="10"/>
    <n v="4"/>
    <n v="2026"/>
    <x v="9"/>
    <s v="Q4"/>
    <x v="0"/>
  </r>
  <r>
    <s v="O107546"/>
    <x v="285"/>
    <x v="8"/>
    <x v="0"/>
    <x v="2"/>
    <x v="1"/>
    <n v="1"/>
    <n v="349908"/>
    <d v="2026-04-04T00:00:00"/>
    <n v="4"/>
    <n v="4"/>
    <n v="2026"/>
    <x v="11"/>
    <s v="Q2"/>
    <x v="2"/>
  </r>
  <r>
    <s v="O111285"/>
    <x v="791"/>
    <x v="0"/>
    <x v="5"/>
    <x v="3"/>
    <x v="0"/>
    <n v="3"/>
    <n v="349869"/>
    <d v="2026-11-17T00:00:00"/>
    <n v="11"/>
    <n v="17"/>
    <n v="2026"/>
    <x v="0"/>
    <s v="Q4"/>
    <x v="3"/>
  </r>
  <r>
    <s v="O100209"/>
    <x v="676"/>
    <x v="0"/>
    <x v="0"/>
    <x v="1"/>
    <x v="2"/>
    <n v="1"/>
    <n v="349799"/>
    <d v="2025-01-13T00:00:00"/>
    <n v="1"/>
    <n v="13"/>
    <n v="2025"/>
    <x v="6"/>
    <s v="Q1"/>
    <x v="1"/>
  </r>
  <r>
    <s v="O110324"/>
    <x v="637"/>
    <x v="4"/>
    <x v="0"/>
    <x v="3"/>
    <x v="0"/>
    <n v="1"/>
    <n v="349292"/>
    <d v="2026-09-20T00:00:00"/>
    <n v="9"/>
    <n v="20"/>
    <n v="2026"/>
    <x v="1"/>
    <s v="Q3"/>
    <x v="3"/>
  </r>
  <r>
    <s v="O104733"/>
    <x v="126"/>
    <x v="3"/>
    <x v="4"/>
    <x v="0"/>
    <x v="2"/>
    <n v="2"/>
    <n v="349287"/>
    <d v="2025-10-15T00:00:00"/>
    <n v="10"/>
    <n v="15"/>
    <n v="2025"/>
    <x v="9"/>
    <s v="Q4"/>
    <x v="0"/>
  </r>
  <r>
    <s v="O107648"/>
    <x v="681"/>
    <x v="3"/>
    <x v="0"/>
    <x v="1"/>
    <x v="1"/>
    <n v="1"/>
    <n v="349206"/>
    <d v="2026-10-04T00:00:00"/>
    <n v="10"/>
    <n v="4"/>
    <n v="2026"/>
    <x v="9"/>
    <s v="Q4"/>
    <x v="1"/>
  </r>
  <r>
    <s v="O111005"/>
    <x v="151"/>
    <x v="10"/>
    <x v="0"/>
    <x v="0"/>
    <x v="3"/>
    <n v="1"/>
    <n v="348977"/>
    <d v="2026-10-31T00:00:00"/>
    <n v="10"/>
    <n v="31"/>
    <n v="2026"/>
    <x v="9"/>
    <s v="Q4"/>
    <x v="0"/>
  </r>
  <r>
    <s v="O107467"/>
    <x v="523"/>
    <x v="0"/>
    <x v="5"/>
    <x v="2"/>
    <x v="3"/>
    <n v="3"/>
    <n v="348800"/>
    <d v="2026-03-30T00:00:00"/>
    <n v="3"/>
    <n v="30"/>
    <n v="2026"/>
    <x v="5"/>
    <s v="Q1"/>
    <x v="2"/>
  </r>
  <r>
    <s v="O110607"/>
    <x v="581"/>
    <x v="6"/>
    <x v="2"/>
    <x v="1"/>
    <x v="2"/>
    <n v="1"/>
    <n v="348373"/>
    <d v="2026-07-10T00:00:00"/>
    <n v="7"/>
    <n v="10"/>
    <n v="2026"/>
    <x v="10"/>
    <s v="Q3"/>
    <x v="1"/>
  </r>
  <r>
    <s v="O105357"/>
    <x v="50"/>
    <x v="8"/>
    <x v="0"/>
    <x v="0"/>
    <x v="1"/>
    <n v="1"/>
    <n v="347990"/>
    <d v="2025-11-22T00:00:00"/>
    <n v="11"/>
    <n v="22"/>
    <n v="2025"/>
    <x v="0"/>
    <s v="Q4"/>
    <x v="0"/>
  </r>
  <r>
    <s v="O111214"/>
    <x v="158"/>
    <x v="8"/>
    <x v="0"/>
    <x v="2"/>
    <x v="2"/>
    <n v="1"/>
    <n v="347706"/>
    <d v="2026-11-13T00:00:00"/>
    <n v="11"/>
    <n v="13"/>
    <n v="2026"/>
    <x v="0"/>
    <s v="Q4"/>
    <x v="2"/>
  </r>
  <r>
    <s v="O111366"/>
    <x v="139"/>
    <x v="2"/>
    <x v="4"/>
    <x v="4"/>
    <x v="2"/>
    <n v="2"/>
    <n v="347668"/>
    <d v="2026-11-22T00:00:00"/>
    <n v="11"/>
    <n v="22"/>
    <n v="2026"/>
    <x v="0"/>
    <s v="Q4"/>
    <x v="4"/>
  </r>
  <r>
    <s v="O100525"/>
    <x v="496"/>
    <x v="9"/>
    <x v="5"/>
    <x v="0"/>
    <x v="1"/>
    <n v="3"/>
    <n v="347525"/>
    <d v="2025-01-02T00:00:00"/>
    <n v="1"/>
    <n v="2"/>
    <n v="2025"/>
    <x v="6"/>
    <s v="Q1"/>
    <x v="0"/>
  </r>
  <r>
    <s v="O105651"/>
    <x v="32"/>
    <x v="5"/>
    <x v="4"/>
    <x v="4"/>
    <x v="2"/>
    <n v="2"/>
    <n v="347352"/>
    <d v="2025-10-12T00:00:00"/>
    <n v="10"/>
    <n v="12"/>
    <n v="2025"/>
    <x v="9"/>
    <s v="Q4"/>
    <x v="4"/>
  </r>
  <r>
    <s v="O104271"/>
    <x v="320"/>
    <x v="1"/>
    <x v="2"/>
    <x v="2"/>
    <x v="2"/>
    <n v="1"/>
    <n v="347323"/>
    <d v="2025-09-17T00:00:00"/>
    <n v="9"/>
    <n v="17"/>
    <n v="2025"/>
    <x v="1"/>
    <s v="Q3"/>
    <x v="2"/>
  </r>
  <r>
    <s v="O102519"/>
    <x v="251"/>
    <x v="4"/>
    <x v="2"/>
    <x v="4"/>
    <x v="3"/>
    <n v="1"/>
    <n v="347090"/>
    <d v="2025-02-06T00:00:00"/>
    <n v="2"/>
    <n v="6"/>
    <n v="2025"/>
    <x v="4"/>
    <s v="Q1"/>
    <x v="4"/>
  </r>
  <r>
    <s v="O103687"/>
    <x v="115"/>
    <x v="8"/>
    <x v="3"/>
    <x v="1"/>
    <x v="1"/>
    <n v="2"/>
    <n v="346284"/>
    <d v="2025-12-08T00:00:00"/>
    <n v="12"/>
    <n v="8"/>
    <n v="2025"/>
    <x v="7"/>
    <s v="Q4"/>
    <x v="1"/>
  </r>
  <r>
    <s v="O109515"/>
    <x v="542"/>
    <x v="8"/>
    <x v="2"/>
    <x v="2"/>
    <x v="2"/>
    <n v="1"/>
    <n v="346169"/>
    <d v="2026-02-08T00:00:00"/>
    <n v="2"/>
    <n v="8"/>
    <n v="2026"/>
    <x v="4"/>
    <s v="Q1"/>
    <x v="2"/>
  </r>
  <r>
    <s v="O100711"/>
    <x v="525"/>
    <x v="4"/>
    <x v="4"/>
    <x v="0"/>
    <x v="1"/>
    <n v="2"/>
    <n v="345919"/>
    <d v="2025-02-13T00:00:00"/>
    <n v="2"/>
    <n v="13"/>
    <n v="2025"/>
    <x v="4"/>
    <s v="Q1"/>
    <x v="0"/>
  </r>
  <r>
    <s v="O108291"/>
    <x v="217"/>
    <x v="0"/>
    <x v="3"/>
    <x v="4"/>
    <x v="0"/>
    <n v="2"/>
    <n v="345752"/>
    <d v="2026-05-19T00:00:00"/>
    <n v="5"/>
    <n v="19"/>
    <n v="2026"/>
    <x v="3"/>
    <s v="Q2"/>
    <x v="4"/>
  </r>
  <r>
    <s v="O109752"/>
    <x v="452"/>
    <x v="5"/>
    <x v="0"/>
    <x v="1"/>
    <x v="3"/>
    <n v="1"/>
    <n v="345557"/>
    <d v="2026-08-16T00:00:00"/>
    <n v="8"/>
    <n v="16"/>
    <n v="2026"/>
    <x v="8"/>
    <s v="Q3"/>
    <x v="1"/>
  </r>
  <r>
    <s v="O106696"/>
    <x v="444"/>
    <x v="3"/>
    <x v="4"/>
    <x v="0"/>
    <x v="0"/>
    <n v="2"/>
    <n v="345480"/>
    <d v="2026-11-02T00:00:00"/>
    <n v="11"/>
    <n v="2"/>
    <n v="2026"/>
    <x v="0"/>
    <s v="Q4"/>
    <x v="0"/>
  </r>
  <r>
    <s v="O108328"/>
    <x v="161"/>
    <x v="6"/>
    <x v="5"/>
    <x v="1"/>
    <x v="2"/>
    <n v="3"/>
    <n v="345262"/>
    <d v="2026-05-21T00:00:00"/>
    <n v="5"/>
    <n v="21"/>
    <n v="2026"/>
    <x v="3"/>
    <s v="Q2"/>
    <x v="1"/>
  </r>
  <r>
    <s v="O108868"/>
    <x v="135"/>
    <x v="1"/>
    <x v="2"/>
    <x v="2"/>
    <x v="1"/>
    <n v="1"/>
    <n v="345013"/>
    <d v="2026-06-23T00:00:00"/>
    <n v="6"/>
    <n v="23"/>
    <n v="2026"/>
    <x v="2"/>
    <s v="Q2"/>
    <x v="2"/>
  </r>
  <r>
    <s v="O106676"/>
    <x v="57"/>
    <x v="1"/>
    <x v="5"/>
    <x v="4"/>
    <x v="3"/>
    <n v="3"/>
    <n v="344566"/>
    <d v="2026-10-02T00:00:00"/>
    <n v="10"/>
    <n v="2"/>
    <n v="2026"/>
    <x v="9"/>
    <s v="Q4"/>
    <x v="4"/>
  </r>
  <r>
    <s v="O102069"/>
    <x v="418"/>
    <x v="1"/>
    <x v="0"/>
    <x v="3"/>
    <x v="1"/>
    <n v="1"/>
    <n v="344228"/>
    <d v="2025-06-05T00:00:00"/>
    <n v="6"/>
    <n v="5"/>
    <n v="2025"/>
    <x v="2"/>
    <s v="Q2"/>
    <x v="3"/>
  </r>
  <r>
    <s v="O100530"/>
    <x v="455"/>
    <x v="10"/>
    <x v="5"/>
    <x v="1"/>
    <x v="3"/>
    <n v="3"/>
    <n v="344191"/>
    <d v="2025-02-02T00:00:00"/>
    <n v="2"/>
    <n v="2"/>
    <n v="2025"/>
    <x v="4"/>
    <s v="Q1"/>
    <x v="1"/>
  </r>
  <r>
    <s v="O102305"/>
    <x v="620"/>
    <x v="3"/>
    <x v="3"/>
    <x v="3"/>
    <x v="0"/>
    <n v="2"/>
    <n v="343988"/>
    <d v="2025-05-20T00:00:00"/>
    <n v="5"/>
    <n v="20"/>
    <n v="2025"/>
    <x v="3"/>
    <s v="Q2"/>
    <x v="3"/>
  </r>
  <r>
    <s v="O104586"/>
    <x v="531"/>
    <x v="4"/>
    <x v="3"/>
    <x v="2"/>
    <x v="0"/>
    <n v="2"/>
    <n v="343607"/>
    <d v="2025-06-10T00:00:00"/>
    <n v="6"/>
    <n v="10"/>
    <n v="2025"/>
    <x v="2"/>
    <s v="Q2"/>
    <x v="2"/>
  </r>
  <r>
    <s v="O105632"/>
    <x v="619"/>
    <x v="9"/>
    <x v="2"/>
    <x v="4"/>
    <x v="1"/>
    <n v="1"/>
    <n v="343585"/>
    <d v="2025-09-12T00:00:00"/>
    <n v="9"/>
    <n v="12"/>
    <n v="2025"/>
    <x v="1"/>
    <s v="Q3"/>
    <x v="4"/>
  </r>
  <r>
    <s v="O103982"/>
    <x v="154"/>
    <x v="0"/>
    <x v="4"/>
    <x v="0"/>
    <x v="2"/>
    <n v="2"/>
    <n v="343420"/>
    <d v="2025-08-30T00:00:00"/>
    <n v="8"/>
    <n v="30"/>
    <n v="2025"/>
    <x v="8"/>
    <s v="Q3"/>
    <x v="0"/>
  </r>
  <r>
    <s v="O102360"/>
    <x v="728"/>
    <x v="6"/>
    <x v="0"/>
    <x v="2"/>
    <x v="0"/>
    <n v="1"/>
    <n v="343347"/>
    <d v="2025-05-24T00:00:00"/>
    <n v="5"/>
    <n v="24"/>
    <n v="2025"/>
    <x v="3"/>
    <s v="Q2"/>
    <x v="2"/>
  </r>
  <r>
    <s v="O110572"/>
    <x v="255"/>
    <x v="6"/>
    <x v="5"/>
    <x v="3"/>
    <x v="1"/>
    <n v="3"/>
    <n v="343086"/>
    <d v="2026-05-10T00:00:00"/>
    <n v="5"/>
    <n v="10"/>
    <n v="2026"/>
    <x v="3"/>
    <s v="Q2"/>
    <x v="3"/>
  </r>
  <r>
    <s v="O106465"/>
    <x v="502"/>
    <x v="2"/>
    <x v="5"/>
    <x v="0"/>
    <x v="1"/>
    <n v="3"/>
    <n v="343057"/>
    <d v="2026-01-28T00:00:00"/>
    <n v="1"/>
    <n v="28"/>
    <n v="2026"/>
    <x v="6"/>
    <s v="Q1"/>
    <x v="0"/>
  </r>
  <r>
    <s v="O104183"/>
    <x v="462"/>
    <x v="3"/>
    <x v="2"/>
    <x v="3"/>
    <x v="0"/>
    <n v="1"/>
    <n v="342868"/>
    <d v="2025-12-09T00:00:00"/>
    <n v="12"/>
    <n v="9"/>
    <n v="2025"/>
    <x v="7"/>
    <s v="Q4"/>
    <x v="3"/>
  </r>
  <r>
    <s v="O111829"/>
    <x v="284"/>
    <x v="8"/>
    <x v="0"/>
    <x v="2"/>
    <x v="3"/>
    <n v="1"/>
    <n v="342572"/>
    <d v="2026-12-20T00:00:00"/>
    <n v="12"/>
    <n v="20"/>
    <n v="2026"/>
    <x v="7"/>
    <s v="Q4"/>
    <x v="2"/>
  </r>
  <r>
    <s v="O102785"/>
    <x v="583"/>
    <x v="2"/>
    <x v="5"/>
    <x v="4"/>
    <x v="0"/>
    <n v="3"/>
    <n v="341826"/>
    <d v="2025-06-19T00:00:00"/>
    <n v="6"/>
    <n v="19"/>
    <n v="2025"/>
    <x v="2"/>
    <s v="Q2"/>
    <x v="4"/>
  </r>
  <r>
    <s v="O100350"/>
    <x v="278"/>
    <x v="1"/>
    <x v="2"/>
    <x v="1"/>
    <x v="0"/>
    <n v="1"/>
    <n v="341710"/>
    <d v="2025-01-22T00:00:00"/>
    <n v="1"/>
    <n v="22"/>
    <n v="2025"/>
    <x v="6"/>
    <s v="Q1"/>
    <x v="1"/>
  </r>
  <r>
    <s v="O109483"/>
    <x v="593"/>
    <x v="4"/>
    <x v="2"/>
    <x v="1"/>
    <x v="2"/>
    <n v="1"/>
    <n v="341393"/>
    <d v="2026-07-31T00:00:00"/>
    <n v="7"/>
    <n v="31"/>
    <n v="2026"/>
    <x v="10"/>
    <s v="Q3"/>
    <x v="1"/>
  </r>
  <r>
    <s v="O108228"/>
    <x v="264"/>
    <x v="2"/>
    <x v="0"/>
    <x v="3"/>
    <x v="1"/>
    <n v="1"/>
    <n v="341254"/>
    <d v="2026-05-15T00:00:00"/>
    <n v="5"/>
    <n v="15"/>
    <n v="2026"/>
    <x v="3"/>
    <s v="Q2"/>
    <x v="3"/>
  </r>
  <r>
    <s v="O110328"/>
    <x v="726"/>
    <x v="8"/>
    <x v="0"/>
    <x v="0"/>
    <x v="1"/>
    <n v="1"/>
    <n v="341168"/>
    <d v="2026-09-20T00:00:00"/>
    <n v="9"/>
    <n v="20"/>
    <n v="2026"/>
    <x v="1"/>
    <s v="Q3"/>
    <x v="0"/>
  </r>
  <r>
    <s v="O103485"/>
    <x v="136"/>
    <x v="1"/>
    <x v="2"/>
    <x v="0"/>
    <x v="3"/>
    <n v="1"/>
    <n v="340931"/>
    <d v="2025-07-31T00:00:00"/>
    <n v="7"/>
    <n v="31"/>
    <n v="2025"/>
    <x v="10"/>
    <s v="Q3"/>
    <x v="0"/>
  </r>
  <r>
    <s v="O108270"/>
    <x v="792"/>
    <x v="8"/>
    <x v="4"/>
    <x v="4"/>
    <x v="0"/>
    <n v="2"/>
    <n v="340873"/>
    <d v="2026-05-18T00:00:00"/>
    <n v="5"/>
    <n v="18"/>
    <n v="2026"/>
    <x v="3"/>
    <s v="Q2"/>
    <x v="4"/>
  </r>
  <r>
    <s v="O101884"/>
    <x v="255"/>
    <x v="6"/>
    <x v="4"/>
    <x v="0"/>
    <x v="0"/>
    <n v="2"/>
    <n v="340720"/>
    <d v="2025-04-25T00:00:00"/>
    <n v="4"/>
    <n v="25"/>
    <n v="2025"/>
    <x v="11"/>
    <s v="Q2"/>
    <x v="0"/>
  </r>
  <r>
    <s v="O103939"/>
    <x v="369"/>
    <x v="4"/>
    <x v="0"/>
    <x v="4"/>
    <x v="2"/>
    <n v="1"/>
    <n v="340209"/>
    <d v="2025-08-28T00:00:00"/>
    <n v="8"/>
    <n v="28"/>
    <n v="2025"/>
    <x v="8"/>
    <m/>
    <x v="4"/>
  </r>
  <r>
    <s v="O111854"/>
    <x v="127"/>
    <x v="8"/>
    <x v="4"/>
    <x v="4"/>
    <x v="1"/>
    <n v="2"/>
    <n v="339873"/>
    <d v="2026-12-22T00:00:00"/>
    <n v="12"/>
    <n v="22"/>
    <n v="2026"/>
    <x v="7"/>
    <s v="Q4"/>
    <x v="4"/>
  </r>
  <r>
    <s v="O101941"/>
    <x v="647"/>
    <x v="3"/>
    <x v="0"/>
    <x v="1"/>
    <x v="1"/>
    <n v="1"/>
    <n v="339052"/>
    <d v="2025-04-28T00:00:00"/>
    <n v="4"/>
    <n v="28"/>
    <n v="2025"/>
    <x v="11"/>
    <s v="Q2"/>
    <x v="1"/>
  </r>
  <r>
    <s v="O101929"/>
    <x v="677"/>
    <x v="8"/>
    <x v="2"/>
    <x v="0"/>
    <x v="3"/>
    <n v="1"/>
    <n v="338253"/>
    <d v="2025-04-28T00:00:00"/>
    <n v="4"/>
    <n v="28"/>
    <n v="2025"/>
    <x v="11"/>
    <s v="Q2"/>
    <x v="0"/>
  </r>
  <r>
    <s v="O111843"/>
    <x v="764"/>
    <x v="6"/>
    <x v="5"/>
    <x v="4"/>
    <x v="2"/>
    <n v="3"/>
    <n v="337797"/>
    <d v="2026-12-21T00:00:00"/>
    <n v="12"/>
    <n v="21"/>
    <n v="2026"/>
    <x v="7"/>
    <s v="Q4"/>
    <x v="4"/>
  </r>
  <r>
    <s v="O104018"/>
    <x v="290"/>
    <x v="3"/>
    <x v="5"/>
    <x v="2"/>
    <x v="0"/>
    <n v="3"/>
    <n v="337735"/>
    <d v="2025-02-09T00:00:00"/>
    <n v="2"/>
    <n v="9"/>
    <n v="2025"/>
    <x v="4"/>
    <s v="Q1"/>
    <x v="2"/>
  </r>
  <r>
    <s v="O110284"/>
    <x v="367"/>
    <x v="10"/>
    <x v="5"/>
    <x v="2"/>
    <x v="1"/>
    <n v="3"/>
    <n v="337668"/>
    <d v="2026-09-17T00:00:00"/>
    <n v="9"/>
    <n v="17"/>
    <n v="2026"/>
    <x v="1"/>
    <s v="Q3"/>
    <x v="2"/>
  </r>
  <r>
    <s v="O106094"/>
    <x v="315"/>
    <x v="5"/>
    <x v="2"/>
    <x v="3"/>
    <x v="3"/>
    <n v="1"/>
    <n v="337598"/>
    <d v="2026-06-01T00:00:00"/>
    <n v="6"/>
    <n v="1"/>
    <n v="2026"/>
    <x v="2"/>
    <s v="Q2"/>
    <x v="3"/>
  </r>
  <r>
    <s v="O105908"/>
    <x v="310"/>
    <x v="5"/>
    <x v="4"/>
    <x v="2"/>
    <x v="3"/>
    <n v="2"/>
    <n v="337577"/>
    <d v="2025-12-25T00:00:00"/>
    <n v="12"/>
    <n v="25"/>
    <n v="2025"/>
    <x v="7"/>
    <s v="Q4"/>
    <x v="2"/>
  </r>
  <r>
    <s v="O111009"/>
    <x v="600"/>
    <x v="4"/>
    <x v="2"/>
    <x v="2"/>
    <x v="0"/>
    <n v="1"/>
    <n v="337493"/>
    <d v="2026-10-31T00:00:00"/>
    <n v="10"/>
    <n v="31"/>
    <n v="2026"/>
    <x v="9"/>
    <s v="Q4"/>
    <x v="2"/>
  </r>
  <r>
    <s v="O107619"/>
    <x v="749"/>
    <x v="4"/>
    <x v="3"/>
    <x v="0"/>
    <x v="3"/>
    <n v="2"/>
    <n v="337130"/>
    <d v="2026-08-04T00:00:00"/>
    <n v="8"/>
    <n v="4"/>
    <n v="2026"/>
    <x v="8"/>
    <m/>
    <x v="0"/>
  </r>
  <r>
    <s v="O107596"/>
    <x v="494"/>
    <x v="4"/>
    <x v="3"/>
    <x v="1"/>
    <x v="1"/>
    <n v="2"/>
    <n v="335989"/>
    <d v="2026-07-04T00:00:00"/>
    <n v="7"/>
    <n v="4"/>
    <n v="2026"/>
    <x v="10"/>
    <s v="Q3"/>
    <x v="1"/>
  </r>
  <r>
    <s v="O111389"/>
    <x v="738"/>
    <x v="8"/>
    <x v="3"/>
    <x v="1"/>
    <x v="0"/>
    <n v="2"/>
    <n v="335928"/>
    <d v="2026-11-23T00:00:00"/>
    <n v="11"/>
    <n v="23"/>
    <n v="2026"/>
    <x v="0"/>
    <s v="Q4"/>
    <x v="1"/>
  </r>
  <r>
    <s v="O110313"/>
    <x v="146"/>
    <x v="6"/>
    <x v="3"/>
    <x v="3"/>
    <x v="1"/>
    <n v="2"/>
    <n v="335884"/>
    <d v="2026-09-19T00:00:00"/>
    <n v="9"/>
    <n v="19"/>
    <n v="2026"/>
    <x v="1"/>
    <s v="Q3"/>
    <x v="3"/>
  </r>
  <r>
    <s v="O106912"/>
    <x v="196"/>
    <x v="3"/>
    <x v="3"/>
    <x v="0"/>
    <x v="0"/>
    <n v="2"/>
    <n v="335578"/>
    <d v="2026-02-24T00:00:00"/>
    <n v="2"/>
    <n v="24"/>
    <n v="2026"/>
    <x v="4"/>
    <s v="Q1"/>
    <x v="0"/>
  </r>
  <r>
    <s v="O107958"/>
    <x v="292"/>
    <x v="2"/>
    <x v="5"/>
    <x v="2"/>
    <x v="3"/>
    <n v="3"/>
    <n v="335517"/>
    <d v="2026-04-29T00:00:00"/>
    <n v="4"/>
    <n v="29"/>
    <n v="2026"/>
    <x v="11"/>
    <s v="Q2"/>
    <x v="2"/>
  </r>
  <r>
    <s v="O103853"/>
    <x v="345"/>
    <x v="3"/>
    <x v="2"/>
    <x v="3"/>
    <x v="1"/>
    <n v="1"/>
    <n v="335401"/>
    <d v="2025-08-23T00:00:00"/>
    <n v="8"/>
    <n v="23"/>
    <n v="2025"/>
    <x v="8"/>
    <s v="Q3"/>
    <x v="3"/>
  </r>
  <r>
    <s v="O101944"/>
    <x v="163"/>
    <x v="5"/>
    <x v="4"/>
    <x v="3"/>
    <x v="1"/>
    <n v="2"/>
    <n v="335177"/>
    <d v="2025-04-29T00:00:00"/>
    <n v="4"/>
    <n v="29"/>
    <n v="2025"/>
    <x v="11"/>
    <s v="Q2"/>
    <x v="3"/>
  </r>
  <r>
    <s v="O105244"/>
    <x v="275"/>
    <x v="1"/>
    <x v="5"/>
    <x v="0"/>
    <x v="2"/>
    <n v="3"/>
    <n v="334949"/>
    <d v="2025-11-15T00:00:00"/>
    <n v="11"/>
    <n v="15"/>
    <n v="2025"/>
    <x v="0"/>
    <s v="Q4"/>
    <x v="0"/>
  </r>
  <r>
    <s v="O109939"/>
    <x v="627"/>
    <x v="2"/>
    <x v="5"/>
    <x v="2"/>
    <x v="3"/>
    <n v="3"/>
    <n v="334409"/>
    <d v="2026-08-27T00:00:00"/>
    <n v="8"/>
    <n v="27"/>
    <n v="2026"/>
    <x v="8"/>
    <s v="Q3"/>
    <x v="2"/>
  </r>
  <r>
    <s v="O108887"/>
    <x v="639"/>
    <x v="6"/>
    <x v="4"/>
    <x v="1"/>
    <x v="0"/>
    <n v="2"/>
    <n v="334154"/>
    <d v="2026-06-24T00:00:00"/>
    <n v="6"/>
    <n v="24"/>
    <n v="2026"/>
    <x v="2"/>
    <s v="Q2"/>
    <x v="1"/>
  </r>
  <r>
    <s v="O111554"/>
    <x v="719"/>
    <x v="3"/>
    <x v="2"/>
    <x v="3"/>
    <x v="1"/>
    <n v="1"/>
    <n v="333888"/>
    <d v="2026-03-12T00:00:00"/>
    <n v="3"/>
    <n v="12"/>
    <n v="2026"/>
    <x v="5"/>
    <s v="Q1"/>
    <x v="3"/>
  </r>
  <r>
    <s v="O103849"/>
    <x v="273"/>
    <x v="9"/>
    <x v="4"/>
    <x v="3"/>
    <x v="3"/>
    <n v="2"/>
    <n v="333818"/>
    <d v="2025-08-22T00:00:00"/>
    <n v="8"/>
    <n v="22"/>
    <n v="2025"/>
    <x v="8"/>
    <s v="Q3"/>
    <x v="3"/>
  </r>
  <r>
    <s v="O106138"/>
    <x v="342"/>
    <x v="6"/>
    <x v="3"/>
    <x v="1"/>
    <x v="0"/>
    <n v="2"/>
    <n v="333781"/>
    <d v="2026-08-01T00:00:00"/>
    <n v="8"/>
    <n v="1"/>
    <n v="2026"/>
    <x v="8"/>
    <s v="Q3"/>
    <x v="1"/>
  </r>
  <r>
    <s v="O110671"/>
    <x v="671"/>
    <x v="8"/>
    <x v="5"/>
    <x v="2"/>
    <x v="2"/>
    <n v="3"/>
    <n v="333485"/>
    <d v="2026-11-10T00:00:00"/>
    <n v="11"/>
    <n v="10"/>
    <n v="2026"/>
    <x v="0"/>
    <s v="Q4"/>
    <x v="2"/>
  </r>
  <r>
    <s v="O105967"/>
    <x v="674"/>
    <x v="4"/>
    <x v="5"/>
    <x v="4"/>
    <x v="0"/>
    <n v="3"/>
    <n v="332355"/>
    <d v="2025-12-29T00:00:00"/>
    <n v="12"/>
    <n v="29"/>
    <n v="2025"/>
    <x v="7"/>
    <s v="Q4"/>
    <x v="4"/>
  </r>
  <r>
    <s v="O105364"/>
    <x v="594"/>
    <x v="3"/>
    <x v="4"/>
    <x v="1"/>
    <x v="0"/>
    <n v="2"/>
    <n v="332250"/>
    <d v="2025-11-22T00:00:00"/>
    <n v="11"/>
    <n v="22"/>
    <n v="2025"/>
    <x v="0"/>
    <s v="Q4"/>
    <x v="1"/>
  </r>
  <r>
    <s v="O101215"/>
    <x v="458"/>
    <x v="0"/>
    <x v="4"/>
    <x v="2"/>
    <x v="3"/>
    <n v="2"/>
    <n v="331718"/>
    <d v="2025-03-15T00:00:00"/>
    <n v="3"/>
    <n v="15"/>
    <n v="2025"/>
    <x v="5"/>
    <s v="Q1"/>
    <x v="2"/>
  </r>
  <r>
    <s v="O106644"/>
    <x v="449"/>
    <x v="8"/>
    <x v="5"/>
    <x v="4"/>
    <x v="3"/>
    <n v="3"/>
    <n v="330468"/>
    <d v="2026-08-02T00:00:00"/>
    <n v="8"/>
    <n v="2"/>
    <n v="2026"/>
    <x v="8"/>
    <s v="Q3"/>
    <x v="4"/>
  </r>
  <r>
    <s v="O106695"/>
    <x v="195"/>
    <x v="2"/>
    <x v="2"/>
    <x v="1"/>
    <x v="3"/>
    <n v="1"/>
    <n v="330315"/>
    <d v="2026-11-02T00:00:00"/>
    <n v="11"/>
    <n v="2"/>
    <n v="2026"/>
    <x v="0"/>
    <s v="Q4"/>
    <x v="1"/>
  </r>
  <r>
    <s v="O103102"/>
    <x v="358"/>
    <x v="8"/>
    <x v="4"/>
    <x v="4"/>
    <x v="0"/>
    <n v="2"/>
    <n v="330055"/>
    <d v="2025-08-07T00:00:00"/>
    <n v="8"/>
    <n v="7"/>
    <n v="2025"/>
    <x v="8"/>
    <s v="Q3"/>
    <x v="4"/>
  </r>
  <r>
    <s v="O107455"/>
    <x v="301"/>
    <x v="6"/>
    <x v="5"/>
    <x v="1"/>
    <x v="2"/>
    <n v="3"/>
    <n v="329655"/>
    <d v="2026-03-29T00:00:00"/>
    <n v="3"/>
    <n v="29"/>
    <n v="2026"/>
    <x v="5"/>
    <s v="Q1"/>
    <x v="1"/>
  </r>
  <r>
    <s v="O108199"/>
    <x v="758"/>
    <x v="8"/>
    <x v="2"/>
    <x v="1"/>
    <x v="3"/>
    <n v="1"/>
    <n v="329113"/>
    <d v="2026-05-14T00:00:00"/>
    <n v="5"/>
    <n v="14"/>
    <n v="2026"/>
    <x v="3"/>
    <s v="Q2"/>
    <x v="1"/>
  </r>
  <r>
    <s v="O106668"/>
    <x v="227"/>
    <x v="6"/>
    <x v="4"/>
    <x v="4"/>
    <x v="2"/>
    <n v="2"/>
    <n v="328155"/>
    <d v="2026-10-02T00:00:00"/>
    <n v="10"/>
    <n v="2"/>
    <n v="2026"/>
    <x v="9"/>
    <s v="Q4"/>
    <x v="4"/>
  </r>
  <r>
    <s v="O111863"/>
    <x v="237"/>
    <x v="9"/>
    <x v="4"/>
    <x v="2"/>
    <x v="1"/>
    <n v="2"/>
    <n v="327977"/>
    <d v="2026-12-22T00:00:00"/>
    <n v="12"/>
    <n v="22"/>
    <n v="2026"/>
    <x v="7"/>
    <s v="Q4"/>
    <x v="2"/>
  </r>
  <r>
    <s v="O107790"/>
    <x v="641"/>
    <x v="9"/>
    <x v="2"/>
    <x v="2"/>
    <x v="2"/>
    <n v="1"/>
    <n v="327748"/>
    <d v="2026-04-19T00:00:00"/>
    <n v="4"/>
    <n v="19"/>
    <n v="2026"/>
    <x v="11"/>
    <s v="Q2"/>
    <x v="2"/>
  </r>
  <r>
    <s v="O107036"/>
    <x v="122"/>
    <x v="2"/>
    <x v="5"/>
    <x v="2"/>
    <x v="0"/>
    <n v="3"/>
    <n v="324799"/>
    <d v="2026-04-03T00:00:00"/>
    <n v="4"/>
    <n v="3"/>
    <n v="2026"/>
    <x v="11"/>
    <s v="Q2"/>
    <x v="2"/>
  </r>
  <r>
    <s v="O101078"/>
    <x v="621"/>
    <x v="4"/>
    <x v="2"/>
    <x v="4"/>
    <x v="2"/>
    <n v="1"/>
    <n v="324675"/>
    <d v="2025-07-03T00:00:00"/>
    <n v="7"/>
    <n v="3"/>
    <n v="2025"/>
    <x v="10"/>
    <s v="Q3"/>
    <x v="4"/>
  </r>
  <r>
    <s v="O107578"/>
    <x v="415"/>
    <x v="0"/>
    <x v="4"/>
    <x v="4"/>
    <x v="1"/>
    <n v="2"/>
    <n v="324161"/>
    <d v="2026-06-04T00:00:00"/>
    <n v="6"/>
    <n v="4"/>
    <n v="2026"/>
    <x v="2"/>
    <s v="Q2"/>
    <x v="4"/>
  </r>
  <r>
    <s v="O111879"/>
    <x v="202"/>
    <x v="1"/>
    <x v="2"/>
    <x v="1"/>
    <x v="0"/>
    <n v="1"/>
    <n v="322883"/>
    <d v="2026-12-23T00:00:00"/>
    <n v="12"/>
    <n v="23"/>
    <n v="2026"/>
    <x v="7"/>
    <s v="Q4"/>
    <x v="1"/>
  </r>
  <r>
    <s v="O107398"/>
    <x v="371"/>
    <x v="8"/>
    <x v="5"/>
    <x v="1"/>
    <x v="0"/>
    <n v="3"/>
    <n v="322671"/>
    <d v="2026-03-26T00:00:00"/>
    <n v="3"/>
    <n v="26"/>
    <n v="2026"/>
    <x v="5"/>
    <s v="Q1"/>
    <x v="1"/>
  </r>
  <r>
    <s v="O107003"/>
    <x v="234"/>
    <x v="8"/>
    <x v="5"/>
    <x v="4"/>
    <x v="0"/>
    <n v="3"/>
    <n v="322669"/>
    <d v="2026-02-03T00:00:00"/>
    <n v="2"/>
    <n v="3"/>
    <n v="2026"/>
    <x v="4"/>
    <s v="Q1"/>
    <x v="4"/>
  </r>
  <r>
    <s v="O103528"/>
    <x v="481"/>
    <x v="0"/>
    <x v="4"/>
    <x v="4"/>
    <x v="0"/>
    <n v="2"/>
    <n v="322648"/>
    <d v="2025-03-08T00:00:00"/>
    <n v="3"/>
    <n v="8"/>
    <n v="2025"/>
    <x v="5"/>
    <s v="Q1"/>
    <x v="4"/>
  </r>
  <r>
    <s v="O104987"/>
    <x v="777"/>
    <x v="5"/>
    <x v="4"/>
    <x v="3"/>
    <x v="0"/>
    <n v="2"/>
    <n v="322372"/>
    <d v="2025-10-30T00:00:00"/>
    <n v="10"/>
    <n v="30"/>
    <n v="2025"/>
    <x v="9"/>
    <s v="Q4"/>
    <x v="3"/>
  </r>
  <r>
    <s v="O103556"/>
    <x v="326"/>
    <x v="6"/>
    <x v="2"/>
    <x v="1"/>
    <x v="3"/>
    <n v="1"/>
    <n v="322349"/>
    <d v="2025-04-08T00:00:00"/>
    <n v="4"/>
    <n v="8"/>
    <n v="2025"/>
    <x v="11"/>
    <s v="Q2"/>
    <x v="1"/>
  </r>
  <r>
    <s v="O110886"/>
    <x v="689"/>
    <x v="8"/>
    <x v="4"/>
    <x v="1"/>
    <x v="0"/>
    <n v="2"/>
    <n v="322262"/>
    <d v="2026-10-24T00:00:00"/>
    <n v="10"/>
    <n v="24"/>
    <n v="2026"/>
    <x v="9"/>
    <s v="Q4"/>
    <x v="1"/>
  </r>
  <r>
    <s v="O100464"/>
    <x v="604"/>
    <x v="2"/>
    <x v="2"/>
    <x v="4"/>
    <x v="0"/>
    <n v="1"/>
    <n v="321951"/>
    <d v="2025-01-29T00:00:00"/>
    <n v="1"/>
    <n v="29"/>
    <n v="2025"/>
    <x v="6"/>
    <s v="Q1"/>
    <x v="4"/>
  </r>
  <r>
    <s v="O100969"/>
    <x v="18"/>
    <x v="4"/>
    <x v="2"/>
    <x v="0"/>
    <x v="3"/>
    <n v="1"/>
    <n v="321744"/>
    <d v="2025-02-28T00:00:00"/>
    <n v="2"/>
    <n v="28"/>
    <n v="2025"/>
    <x v="4"/>
    <s v="Q1"/>
    <x v="0"/>
  </r>
  <r>
    <s v="O101857"/>
    <x v="53"/>
    <x v="0"/>
    <x v="4"/>
    <x v="2"/>
    <x v="0"/>
    <n v="2"/>
    <n v="321592"/>
    <d v="2025-04-23T00:00:00"/>
    <n v="4"/>
    <n v="23"/>
    <n v="2025"/>
    <x v="11"/>
    <s v="Q2"/>
    <x v="2"/>
  </r>
  <r>
    <s v="O106908"/>
    <x v="405"/>
    <x v="9"/>
    <x v="4"/>
    <x v="0"/>
    <x v="2"/>
    <n v="2"/>
    <n v="321192"/>
    <d v="2026-02-24T00:00:00"/>
    <n v="2"/>
    <n v="24"/>
    <n v="2026"/>
    <x v="4"/>
    <s v="Q1"/>
    <x v="0"/>
  </r>
  <r>
    <s v="O109619"/>
    <x v="679"/>
    <x v="0"/>
    <x v="4"/>
    <x v="4"/>
    <x v="1"/>
    <n v="2"/>
    <n v="320812"/>
    <d v="2026-08-08T00:00:00"/>
    <n v="8"/>
    <n v="8"/>
    <n v="2026"/>
    <x v="8"/>
    <s v="Q3"/>
    <x v="4"/>
  </r>
  <r>
    <s v="O102601"/>
    <x v="412"/>
    <x v="9"/>
    <x v="2"/>
    <x v="1"/>
    <x v="2"/>
    <n v="-2"/>
    <n v="320641"/>
    <d v="2025-07-06T00:00:00"/>
    <n v="7"/>
    <n v="6"/>
    <n v="2025"/>
    <x v="10"/>
    <s v="Q3"/>
    <x v="1"/>
  </r>
  <r>
    <s v="O110884"/>
    <x v="592"/>
    <x v="4"/>
    <x v="2"/>
    <x v="3"/>
    <x v="0"/>
    <n v="1"/>
    <n v="320194"/>
    <d v="2026-10-24T00:00:00"/>
    <n v="10"/>
    <n v="24"/>
    <n v="2026"/>
    <x v="9"/>
    <s v="Q4"/>
    <x v="3"/>
  </r>
  <r>
    <s v="O102097"/>
    <x v="34"/>
    <x v="9"/>
    <x v="2"/>
    <x v="3"/>
    <x v="1"/>
    <n v="1"/>
    <n v="320145"/>
    <d v="2025-08-05T00:00:00"/>
    <n v="8"/>
    <n v="5"/>
    <n v="2025"/>
    <x v="8"/>
    <s v="Q3"/>
    <x v="3"/>
  </r>
  <r>
    <s v="O104948"/>
    <x v="198"/>
    <x v="4"/>
    <x v="4"/>
    <x v="4"/>
    <x v="2"/>
    <n v="2"/>
    <n v="319588"/>
    <d v="2025-10-28T00:00:00"/>
    <n v="10"/>
    <n v="28"/>
    <n v="2025"/>
    <x v="9"/>
    <s v="Q4"/>
    <x v="4"/>
  </r>
  <r>
    <s v="O107527"/>
    <x v="125"/>
    <x v="3"/>
    <x v="2"/>
    <x v="2"/>
    <x v="1"/>
    <n v="1"/>
    <n v="319389"/>
    <d v="2026-03-04T00:00:00"/>
    <n v="3"/>
    <n v="4"/>
    <n v="2026"/>
    <x v="5"/>
    <s v="Q1"/>
    <x v="2"/>
  </r>
  <r>
    <s v="O102171"/>
    <x v="779"/>
    <x v="10"/>
    <x v="2"/>
    <x v="2"/>
    <x v="1"/>
    <n v="1"/>
    <n v="319055"/>
    <d v="2025-12-05T00:00:00"/>
    <n v="12"/>
    <n v="5"/>
    <n v="2025"/>
    <x v="7"/>
    <s v="Q4"/>
    <x v="2"/>
  </r>
  <r>
    <s v="O104763"/>
    <x v="573"/>
    <x v="9"/>
    <x v="4"/>
    <x v="3"/>
    <x v="1"/>
    <n v="2"/>
    <n v="318560"/>
    <d v="2025-10-17T00:00:00"/>
    <n v="10"/>
    <n v="17"/>
    <n v="2025"/>
    <x v="9"/>
    <s v="Q4"/>
    <x v="3"/>
  </r>
  <r>
    <s v="O111098"/>
    <x v="729"/>
    <x v="2"/>
    <x v="5"/>
    <x v="3"/>
    <x v="0"/>
    <n v="3"/>
    <n v="318450"/>
    <d v="2026-06-11T00:00:00"/>
    <n v="6"/>
    <n v="11"/>
    <n v="2026"/>
    <x v="2"/>
    <s v="Q2"/>
    <x v="3"/>
  </r>
  <r>
    <s v="O105606"/>
    <x v="680"/>
    <x v="9"/>
    <x v="2"/>
    <x v="4"/>
    <x v="2"/>
    <n v="1"/>
    <n v="318441"/>
    <d v="2025-07-12T00:00:00"/>
    <n v="7"/>
    <n v="12"/>
    <n v="2025"/>
    <x v="10"/>
    <s v="Q3"/>
    <x v="4"/>
  </r>
  <r>
    <s v="O107638"/>
    <x v="648"/>
    <x v="4"/>
    <x v="2"/>
    <x v="0"/>
    <x v="2"/>
    <n v="1"/>
    <n v="318406"/>
    <d v="2026-09-04T00:00:00"/>
    <n v="9"/>
    <n v="4"/>
    <n v="2026"/>
    <x v="1"/>
    <s v="Q3"/>
    <x v="0"/>
  </r>
  <r>
    <s v="O109162"/>
    <x v="11"/>
    <x v="3"/>
    <x v="2"/>
    <x v="4"/>
    <x v="0"/>
    <n v="1"/>
    <n v="318112"/>
    <d v="2026-11-07T00:00:00"/>
    <n v="11"/>
    <n v="7"/>
    <n v="2026"/>
    <x v="0"/>
    <s v="Q4"/>
    <x v="4"/>
  </r>
  <r>
    <s v="O107238"/>
    <x v="99"/>
    <x v="10"/>
    <x v="5"/>
    <x v="2"/>
    <x v="0"/>
    <n v="3"/>
    <n v="317714"/>
    <d v="2026-03-16T00:00:00"/>
    <n v="3"/>
    <n v="16"/>
    <n v="2026"/>
    <x v="5"/>
    <s v="Q1"/>
    <x v="2"/>
  </r>
  <r>
    <s v="O111731"/>
    <x v="28"/>
    <x v="1"/>
    <x v="4"/>
    <x v="3"/>
    <x v="3"/>
    <n v="2"/>
    <n v="317651"/>
    <d v="2026-12-14T00:00:00"/>
    <n v="12"/>
    <n v="14"/>
    <n v="2026"/>
    <x v="7"/>
    <s v="Q4"/>
    <x v="3"/>
  </r>
  <r>
    <s v="O104853"/>
    <x v="144"/>
    <x v="0"/>
    <x v="4"/>
    <x v="1"/>
    <x v="1"/>
    <n v="2"/>
    <n v="317236"/>
    <d v="2025-10-22T00:00:00"/>
    <n v="10"/>
    <n v="22"/>
    <n v="2025"/>
    <x v="9"/>
    <s v="Q4"/>
    <x v="1"/>
  </r>
  <r>
    <s v="O106319"/>
    <x v="276"/>
    <x v="6"/>
    <x v="2"/>
    <x v="4"/>
    <x v="3"/>
    <n v="1"/>
    <n v="317075"/>
    <d v="2026-01-19T00:00:00"/>
    <n v="1"/>
    <n v="19"/>
    <n v="2026"/>
    <x v="6"/>
    <s v="Q1"/>
    <x v="4"/>
  </r>
  <r>
    <s v="O111819"/>
    <x v="208"/>
    <x v="1"/>
    <x v="4"/>
    <x v="0"/>
    <x v="0"/>
    <n v="2"/>
    <n v="317010"/>
    <d v="2026-12-20T00:00:00"/>
    <n v="12"/>
    <n v="20"/>
    <n v="2026"/>
    <x v="7"/>
    <s v="Q4"/>
    <x v="0"/>
  </r>
  <r>
    <s v="O107498"/>
    <x v="0"/>
    <x v="2"/>
    <x v="5"/>
    <x v="1"/>
    <x v="1"/>
    <n v="3"/>
    <n v="316583"/>
    <d v="2026-01-04T00:00:00"/>
    <n v="1"/>
    <n v="4"/>
    <n v="2026"/>
    <x v="6"/>
    <s v="Q1"/>
    <x v="1"/>
  </r>
  <r>
    <s v="O108684"/>
    <x v="760"/>
    <x v="4"/>
    <x v="2"/>
    <x v="0"/>
    <x v="0"/>
    <n v="1"/>
    <n v="315900"/>
    <d v="2026-12-06T00:00:00"/>
    <n v="12"/>
    <n v="6"/>
    <n v="2026"/>
    <x v="7"/>
    <s v="Q4"/>
    <x v="0"/>
  </r>
  <r>
    <s v="O110124"/>
    <x v="1"/>
    <x v="2"/>
    <x v="4"/>
    <x v="0"/>
    <x v="1"/>
    <n v="2"/>
    <n v="315579"/>
    <d v="2026-08-09T00:00:00"/>
    <n v="8"/>
    <n v="9"/>
    <n v="2026"/>
    <x v="8"/>
    <s v="Q3"/>
    <x v="0"/>
  </r>
  <r>
    <s v="O100951"/>
    <x v="776"/>
    <x v="4"/>
    <x v="2"/>
    <x v="4"/>
    <x v="4"/>
    <n v="1"/>
    <n v="313885"/>
    <d v="2025-02-27T00:00:00"/>
    <n v="2"/>
    <n v="27"/>
    <n v="2025"/>
    <x v="4"/>
    <s v="Q1"/>
    <x v="4"/>
  </r>
  <r>
    <s v="O108217"/>
    <x v="527"/>
    <x v="0"/>
    <x v="2"/>
    <x v="3"/>
    <x v="2"/>
    <n v="1"/>
    <n v="313292"/>
    <d v="2026-05-15T00:00:00"/>
    <n v="5"/>
    <n v="15"/>
    <n v="2026"/>
    <x v="3"/>
    <m/>
    <x v="3"/>
  </r>
  <r>
    <s v="O100031"/>
    <x v="54"/>
    <x v="4"/>
    <x v="2"/>
    <x v="2"/>
    <x v="1"/>
    <n v="1"/>
    <n v="313248"/>
    <d v="2025-02-01T00:00:00"/>
    <n v="2"/>
    <n v="1"/>
    <n v="2025"/>
    <x v="4"/>
    <s v="Q1"/>
    <x v="2"/>
  </r>
  <r>
    <s v="O100177"/>
    <x v="770"/>
    <x v="0"/>
    <x v="4"/>
    <x v="2"/>
    <x v="1"/>
    <n v="2"/>
    <n v="312828"/>
    <d v="2025-11-01T00:00:00"/>
    <n v="11"/>
    <n v="1"/>
    <n v="2025"/>
    <x v="0"/>
    <s v="Q4"/>
    <x v="2"/>
  </r>
  <r>
    <s v="O107150"/>
    <x v="46"/>
    <x v="3"/>
    <x v="2"/>
    <x v="3"/>
    <x v="3"/>
    <n v="1"/>
    <n v="312796"/>
    <d v="2026-11-03T00:00:00"/>
    <n v="11"/>
    <n v="3"/>
    <n v="2026"/>
    <x v="0"/>
    <s v="Q4"/>
    <x v="3"/>
  </r>
  <r>
    <s v="O102938"/>
    <x v="677"/>
    <x v="9"/>
    <x v="2"/>
    <x v="0"/>
    <x v="1"/>
    <n v="1"/>
    <n v="312771"/>
    <d v="2025-06-28T00:00:00"/>
    <n v="6"/>
    <n v="28"/>
    <n v="2025"/>
    <x v="2"/>
    <s v="Q2"/>
    <x v="0"/>
  </r>
  <r>
    <s v="O111024"/>
    <x v="606"/>
    <x v="8"/>
    <x v="6"/>
    <x v="0"/>
    <x v="3"/>
    <n v="10"/>
    <n v="312453"/>
    <d v="2026-01-11T00:00:00"/>
    <n v="1"/>
    <n v="11"/>
    <n v="2026"/>
    <x v="6"/>
    <s v="Q1"/>
    <x v="0"/>
  </r>
  <r>
    <s v="O103807"/>
    <x v="673"/>
    <x v="6"/>
    <x v="6"/>
    <x v="2"/>
    <x v="1"/>
    <n v="10"/>
    <n v="312320"/>
    <d v="2025-08-20T00:00:00"/>
    <n v="8"/>
    <n v="20"/>
    <n v="2025"/>
    <x v="8"/>
    <s v="Q3"/>
    <x v="2"/>
  </r>
  <r>
    <s v="O108869"/>
    <x v="193"/>
    <x v="9"/>
    <x v="2"/>
    <x v="0"/>
    <x v="1"/>
    <n v="1"/>
    <n v="311902"/>
    <d v="2026-06-23T00:00:00"/>
    <n v="6"/>
    <n v="23"/>
    <n v="2026"/>
    <x v="2"/>
    <s v="Q2"/>
    <x v="0"/>
  </r>
  <r>
    <s v="O103459"/>
    <x v="143"/>
    <x v="10"/>
    <x v="4"/>
    <x v="2"/>
    <x v="0"/>
    <n v="2"/>
    <n v="311849"/>
    <d v="2025-07-30T00:00:00"/>
    <n v="7"/>
    <n v="30"/>
    <n v="2025"/>
    <x v="10"/>
    <s v="Q3"/>
    <x v="2"/>
  </r>
  <r>
    <s v="O103712"/>
    <x v="111"/>
    <x v="2"/>
    <x v="4"/>
    <x v="4"/>
    <x v="3"/>
    <n v="2"/>
    <n v="311421"/>
    <d v="2025-08-14T00:00:00"/>
    <n v="8"/>
    <n v="14"/>
    <n v="2025"/>
    <x v="8"/>
    <s v="Q3"/>
    <x v="4"/>
  </r>
  <r>
    <s v="O102764"/>
    <x v="286"/>
    <x v="8"/>
    <x v="6"/>
    <x v="2"/>
    <x v="2"/>
    <n v="10"/>
    <n v="311154"/>
    <d v="2025-06-17T00:00:00"/>
    <n v="6"/>
    <n v="17"/>
    <n v="2025"/>
    <x v="2"/>
    <s v="Q2"/>
    <x v="2"/>
  </r>
  <r>
    <s v="O109854"/>
    <x v="100"/>
    <x v="5"/>
    <x v="2"/>
    <x v="3"/>
    <x v="3"/>
    <n v="1"/>
    <n v="310929"/>
    <d v="2026-08-22T00:00:00"/>
    <n v="8"/>
    <n v="22"/>
    <n v="2026"/>
    <x v="8"/>
    <s v="Q3"/>
    <x v="3"/>
  </r>
  <r>
    <s v="O108773"/>
    <x v="601"/>
    <x v="6"/>
    <x v="6"/>
    <x v="0"/>
    <x v="0"/>
    <n v="10"/>
    <n v="310677"/>
    <d v="2026-06-17T00:00:00"/>
    <n v="6"/>
    <n v="17"/>
    <n v="2026"/>
    <x v="2"/>
    <s v="Q2"/>
    <x v="0"/>
  </r>
  <r>
    <s v="O106313"/>
    <x v="264"/>
    <x v="3"/>
    <x v="2"/>
    <x v="0"/>
    <x v="2"/>
    <n v="1"/>
    <n v="310495"/>
    <d v="2026-01-19T00:00:00"/>
    <n v="1"/>
    <n v="19"/>
    <n v="2026"/>
    <x v="6"/>
    <s v="Q1"/>
    <x v="0"/>
  </r>
  <r>
    <s v="O107940"/>
    <x v="65"/>
    <x v="10"/>
    <x v="6"/>
    <x v="0"/>
    <x v="3"/>
    <n v="10"/>
    <n v="309432"/>
    <d v="2026-04-28T00:00:00"/>
    <n v="4"/>
    <n v="28"/>
    <n v="2026"/>
    <x v="11"/>
    <s v="Q2"/>
    <x v="0"/>
  </r>
  <r>
    <s v="O106528"/>
    <x v="215"/>
    <x v="1"/>
    <x v="5"/>
    <x v="4"/>
    <x v="1"/>
    <n v="3"/>
    <n v="309416"/>
    <d v="2026-01-02T00:00:00"/>
    <n v="1"/>
    <n v="2"/>
    <n v="2026"/>
    <x v="6"/>
    <s v="Q1"/>
    <x v="4"/>
  </r>
  <r>
    <s v="O110207"/>
    <x v="258"/>
    <x v="3"/>
    <x v="4"/>
    <x v="0"/>
    <x v="3"/>
    <n v="2"/>
    <n v="309330"/>
    <d v="2026-09-13T00:00:00"/>
    <n v="9"/>
    <n v="13"/>
    <n v="2026"/>
    <x v="1"/>
    <m/>
    <x v="0"/>
  </r>
  <r>
    <s v="O106977"/>
    <x v="715"/>
    <x v="0"/>
    <x v="4"/>
    <x v="1"/>
    <x v="3"/>
    <n v="2"/>
    <n v="308920"/>
    <d v="2026-02-28T00:00:00"/>
    <n v="2"/>
    <n v="28"/>
    <n v="2026"/>
    <x v="4"/>
    <s v="Q1"/>
    <x v="1"/>
  </r>
  <r>
    <s v="O108586"/>
    <x v="303"/>
    <x v="0"/>
    <x v="6"/>
    <x v="0"/>
    <x v="0"/>
    <n v="10"/>
    <n v="308898"/>
    <d v="2026-06-06T00:00:00"/>
    <n v="6"/>
    <n v="6"/>
    <n v="2026"/>
    <x v="2"/>
    <s v="Q2"/>
    <x v="0"/>
  </r>
  <r>
    <s v="O106243"/>
    <x v="237"/>
    <x v="6"/>
    <x v="6"/>
    <x v="1"/>
    <x v="3"/>
    <n v="10"/>
    <n v="308762"/>
    <d v="2026-01-15T00:00:00"/>
    <n v="1"/>
    <n v="15"/>
    <n v="2026"/>
    <x v="6"/>
    <s v="Q1"/>
    <x v="1"/>
  </r>
  <r>
    <s v="O107840"/>
    <x v="295"/>
    <x v="4"/>
    <x v="5"/>
    <x v="1"/>
    <x v="0"/>
    <n v="3"/>
    <n v="308501"/>
    <d v="2026-04-22T00:00:00"/>
    <n v="4"/>
    <n v="22"/>
    <n v="2026"/>
    <x v="11"/>
    <s v="Q2"/>
    <x v="1"/>
  </r>
  <r>
    <s v="O103316"/>
    <x v="759"/>
    <x v="8"/>
    <x v="2"/>
    <x v="2"/>
    <x v="0"/>
    <n v="1"/>
    <n v="308278"/>
    <d v="2025-07-21T00:00:00"/>
    <n v="7"/>
    <n v="21"/>
    <n v="2025"/>
    <x v="10"/>
    <s v="Q3"/>
    <x v="2"/>
  </r>
  <r>
    <s v="O110773"/>
    <x v="394"/>
    <x v="2"/>
    <x v="6"/>
    <x v="0"/>
    <x v="0"/>
    <n v="10"/>
    <n v="308209"/>
    <d v="2026-10-17T00:00:00"/>
    <n v="10"/>
    <n v="17"/>
    <n v="2026"/>
    <x v="9"/>
    <s v="Q4"/>
    <x v="0"/>
  </r>
  <r>
    <s v="O103386"/>
    <x v="25"/>
    <x v="2"/>
    <x v="5"/>
    <x v="1"/>
    <x v="0"/>
    <n v="3"/>
    <n v="308208"/>
    <d v="2025-07-25T00:00:00"/>
    <n v="7"/>
    <n v="25"/>
    <n v="2025"/>
    <x v="10"/>
    <s v="Q3"/>
    <x v="1"/>
  </r>
  <r>
    <s v="O110873"/>
    <x v="434"/>
    <x v="2"/>
    <x v="2"/>
    <x v="1"/>
    <x v="2"/>
    <n v="1"/>
    <n v="308056"/>
    <d v="2026-10-23T00:00:00"/>
    <n v="10"/>
    <n v="23"/>
    <n v="2026"/>
    <x v="9"/>
    <s v="Q4"/>
    <x v="1"/>
  </r>
  <r>
    <s v="O108968"/>
    <x v="681"/>
    <x v="3"/>
    <x v="4"/>
    <x v="2"/>
    <x v="0"/>
    <n v="2"/>
    <n v="307794"/>
    <d v="2026-06-29T00:00:00"/>
    <n v="6"/>
    <n v="29"/>
    <n v="2026"/>
    <x v="2"/>
    <s v="Q2"/>
    <x v="2"/>
  </r>
  <r>
    <s v="O108907"/>
    <x v="114"/>
    <x v="5"/>
    <x v="2"/>
    <x v="2"/>
    <x v="3"/>
    <n v="1"/>
    <n v="306448"/>
    <d v="2026-06-26T00:00:00"/>
    <n v="6"/>
    <n v="26"/>
    <n v="2026"/>
    <x v="2"/>
    <s v="Q2"/>
    <x v="2"/>
  </r>
  <r>
    <s v="O100779"/>
    <x v="150"/>
    <x v="4"/>
    <x v="4"/>
    <x v="2"/>
    <x v="3"/>
    <n v="2"/>
    <n v="306205"/>
    <d v="2025-02-17T00:00:00"/>
    <n v="2"/>
    <n v="17"/>
    <n v="2025"/>
    <x v="4"/>
    <s v="Q1"/>
    <x v="2"/>
  </r>
  <r>
    <s v="O101399"/>
    <x v="240"/>
    <x v="6"/>
    <x v="2"/>
    <x v="1"/>
    <x v="2"/>
    <n v="1"/>
    <n v="305990"/>
    <d v="2025-03-26T00:00:00"/>
    <n v="3"/>
    <n v="26"/>
    <n v="2025"/>
    <x v="5"/>
    <s v="Q1"/>
    <x v="1"/>
  </r>
  <r>
    <s v="O100075"/>
    <x v="94"/>
    <x v="6"/>
    <x v="4"/>
    <x v="2"/>
    <x v="2"/>
    <n v="2"/>
    <n v="305481"/>
    <d v="2025-05-01T00:00:00"/>
    <n v="5"/>
    <n v="1"/>
    <n v="2025"/>
    <x v="3"/>
    <s v="Q2"/>
    <x v="2"/>
  </r>
  <r>
    <s v="O102441"/>
    <x v="479"/>
    <x v="3"/>
    <x v="6"/>
    <x v="0"/>
    <x v="1"/>
    <n v="10"/>
    <n v="305045"/>
    <d v="2025-05-29T00:00:00"/>
    <n v="5"/>
    <n v="29"/>
    <n v="2025"/>
    <x v="3"/>
    <s v="Q2"/>
    <x v="0"/>
  </r>
  <r>
    <s v="O107896"/>
    <x v="344"/>
    <x v="6"/>
    <x v="5"/>
    <x v="2"/>
    <x v="0"/>
    <n v="3"/>
    <n v="304925"/>
    <d v="2026-04-25T00:00:00"/>
    <n v="4"/>
    <n v="25"/>
    <n v="2026"/>
    <x v="11"/>
    <s v="Q2"/>
    <x v="2"/>
  </r>
  <r>
    <s v="O110087"/>
    <x v="327"/>
    <x v="1"/>
    <x v="4"/>
    <x v="0"/>
    <x v="3"/>
    <n v="2"/>
    <n v="304693"/>
    <d v="2026-05-09T00:00:00"/>
    <n v="5"/>
    <n v="9"/>
    <n v="2026"/>
    <x v="3"/>
    <s v="Q2"/>
    <x v="0"/>
  </r>
  <r>
    <s v="O105306"/>
    <x v="121"/>
    <x v="9"/>
    <x v="6"/>
    <x v="4"/>
    <x v="3"/>
    <n v="10"/>
    <n v="304285"/>
    <d v="2025-11-19T00:00:00"/>
    <n v="11"/>
    <n v="19"/>
    <n v="2025"/>
    <x v="0"/>
    <s v="Q4"/>
    <x v="4"/>
  </r>
  <r>
    <s v="O104424"/>
    <x v="162"/>
    <x v="8"/>
    <x v="4"/>
    <x v="2"/>
    <x v="3"/>
    <n v="2"/>
    <n v="304017"/>
    <d v="2025-09-26T00:00:00"/>
    <n v="9"/>
    <n v="26"/>
    <n v="2025"/>
    <x v="1"/>
    <s v="Q3"/>
    <x v="2"/>
  </r>
  <r>
    <s v="O108645"/>
    <x v="124"/>
    <x v="2"/>
    <x v="6"/>
    <x v="0"/>
    <x v="0"/>
    <n v="10"/>
    <n v="303624"/>
    <d v="2026-10-06T00:00:00"/>
    <n v="10"/>
    <n v="6"/>
    <n v="2026"/>
    <x v="9"/>
    <s v="Q4"/>
    <x v="0"/>
  </r>
  <r>
    <s v="O101618"/>
    <x v="676"/>
    <x v="10"/>
    <x v="2"/>
    <x v="4"/>
    <x v="2"/>
    <n v="1"/>
    <n v="303498"/>
    <d v="2025-09-04T00:00:00"/>
    <n v="9"/>
    <n v="4"/>
    <n v="2025"/>
    <x v="1"/>
    <s v="Q3"/>
    <x v="4"/>
  </r>
  <r>
    <s v="O103532"/>
    <x v="630"/>
    <x v="10"/>
    <x v="4"/>
    <x v="0"/>
    <x v="2"/>
    <n v="2"/>
    <n v="303128"/>
    <d v="2025-03-08T00:00:00"/>
    <n v="3"/>
    <n v="8"/>
    <n v="2025"/>
    <x v="5"/>
    <s v="Q1"/>
    <x v="0"/>
  </r>
  <r>
    <s v="O100792"/>
    <x v="37"/>
    <x v="9"/>
    <x v="2"/>
    <x v="0"/>
    <x v="0"/>
    <n v="1"/>
    <n v="303026"/>
    <d v="2025-02-18T00:00:00"/>
    <n v="2"/>
    <n v="18"/>
    <n v="2025"/>
    <x v="4"/>
    <s v="Q1"/>
    <x v="0"/>
  </r>
  <r>
    <s v="O108250"/>
    <x v="758"/>
    <x v="1"/>
    <x v="4"/>
    <x v="3"/>
    <x v="3"/>
    <n v="2"/>
    <n v="302975"/>
    <d v="2026-05-17T00:00:00"/>
    <n v="5"/>
    <n v="17"/>
    <n v="2026"/>
    <x v="3"/>
    <s v="Q2"/>
    <x v="3"/>
  </r>
  <r>
    <s v="O106236"/>
    <x v="35"/>
    <x v="1"/>
    <x v="5"/>
    <x v="0"/>
    <x v="2"/>
    <n v="3"/>
    <n v="302909"/>
    <d v="2026-01-14T00:00:00"/>
    <n v="1"/>
    <n v="14"/>
    <n v="2026"/>
    <x v="6"/>
    <s v="Q1"/>
    <x v="0"/>
  </r>
  <r>
    <s v="O103933"/>
    <x v="484"/>
    <x v="9"/>
    <x v="2"/>
    <x v="4"/>
    <x v="0"/>
    <n v="1"/>
    <n v="302524"/>
    <d v="2025-08-27T00:00:00"/>
    <n v="8"/>
    <n v="27"/>
    <n v="2025"/>
    <x v="8"/>
    <s v="Q3"/>
    <x v="4"/>
  </r>
  <r>
    <s v="O101478"/>
    <x v="178"/>
    <x v="0"/>
    <x v="4"/>
    <x v="1"/>
    <x v="2"/>
    <n v="2"/>
    <n v="302242"/>
    <d v="2025-03-31T00:00:00"/>
    <n v="3"/>
    <n v="31"/>
    <n v="2025"/>
    <x v="5"/>
    <s v="Q1"/>
    <x v="1"/>
  </r>
  <r>
    <s v="O103415"/>
    <x v="675"/>
    <x v="0"/>
    <x v="4"/>
    <x v="1"/>
    <x v="2"/>
    <n v="2"/>
    <n v="302030"/>
    <d v="2025-07-27T00:00:00"/>
    <n v="7"/>
    <n v="27"/>
    <n v="2025"/>
    <x v="10"/>
    <s v="Q3"/>
    <x v="1"/>
  </r>
  <r>
    <s v="O109132"/>
    <x v="788"/>
    <x v="2"/>
    <x v="4"/>
    <x v="1"/>
    <x v="3"/>
    <n v="2"/>
    <n v="301549"/>
    <d v="2026-09-07T00:00:00"/>
    <n v="9"/>
    <n v="7"/>
    <n v="2026"/>
    <x v="1"/>
    <s v="Q3"/>
    <x v="1"/>
  </r>
  <r>
    <s v="O104089"/>
    <x v="45"/>
    <x v="10"/>
    <x v="5"/>
    <x v="2"/>
    <x v="1"/>
    <n v="3"/>
    <n v="301224"/>
    <d v="2025-06-09T00:00:00"/>
    <n v="6"/>
    <n v="9"/>
    <n v="2025"/>
    <x v="2"/>
    <s v="Q2"/>
    <x v="2"/>
  </r>
  <r>
    <s v="O104929"/>
    <x v="264"/>
    <x v="8"/>
    <x v="4"/>
    <x v="4"/>
    <x v="1"/>
    <n v="2"/>
    <n v="300888"/>
    <d v="2025-10-27T00:00:00"/>
    <n v="10"/>
    <n v="27"/>
    <n v="2025"/>
    <x v="9"/>
    <s v="Q4"/>
    <x v="4"/>
  </r>
  <r>
    <s v="O110639"/>
    <x v="720"/>
    <x v="9"/>
    <x v="4"/>
    <x v="0"/>
    <x v="3"/>
    <n v="2"/>
    <n v="300746"/>
    <d v="2026-09-10T00:00:00"/>
    <n v="9"/>
    <n v="10"/>
    <n v="2026"/>
    <x v="1"/>
    <s v="Q3"/>
    <x v="0"/>
  </r>
  <r>
    <s v="O110543"/>
    <x v="704"/>
    <x v="9"/>
    <x v="4"/>
    <x v="1"/>
    <x v="4"/>
    <n v="2"/>
    <n v="300151"/>
    <d v="2026-03-10T00:00:00"/>
    <n v="3"/>
    <n v="10"/>
    <n v="2026"/>
    <x v="5"/>
    <s v="Q1"/>
    <x v="1"/>
  </r>
  <r>
    <s v="O101873"/>
    <x v="291"/>
    <x v="10"/>
    <x v="6"/>
    <x v="4"/>
    <x v="3"/>
    <n v="10"/>
    <n v="299205"/>
    <d v="2025-04-24T00:00:00"/>
    <n v="4"/>
    <n v="24"/>
    <n v="2025"/>
    <x v="11"/>
    <s v="Q2"/>
    <x v="4"/>
  </r>
  <r>
    <s v="O104983"/>
    <x v="539"/>
    <x v="5"/>
    <x v="2"/>
    <x v="2"/>
    <x v="0"/>
    <n v="1"/>
    <n v="299194"/>
    <d v="2025-10-30T00:00:00"/>
    <n v="10"/>
    <n v="30"/>
    <n v="2025"/>
    <x v="9"/>
    <s v="Q4"/>
    <x v="2"/>
  </r>
  <r>
    <s v="O100448"/>
    <x v="93"/>
    <x v="5"/>
    <x v="4"/>
    <x v="2"/>
    <x v="2"/>
    <n v="2"/>
    <n v="298698"/>
    <d v="2025-01-28T00:00:00"/>
    <n v="1"/>
    <n v="28"/>
    <n v="2025"/>
    <x v="6"/>
    <s v="Q1"/>
    <x v="2"/>
  </r>
  <r>
    <s v="O111116"/>
    <x v="491"/>
    <x v="8"/>
    <x v="5"/>
    <x v="1"/>
    <x v="3"/>
    <n v="2"/>
    <n v="298650"/>
    <d v="2026-07-11T00:00:00"/>
    <n v="7"/>
    <n v="11"/>
    <n v="2026"/>
    <x v="10"/>
    <m/>
    <x v="1"/>
  </r>
  <r>
    <s v="O101950"/>
    <x v="625"/>
    <x v="1"/>
    <x v="6"/>
    <x v="2"/>
    <x v="2"/>
    <n v="10"/>
    <n v="298643"/>
    <d v="2025-04-29T00:00:00"/>
    <n v="4"/>
    <n v="29"/>
    <n v="2025"/>
    <x v="11"/>
    <s v="Q2"/>
    <x v="2"/>
  </r>
  <r>
    <s v="O104755"/>
    <x v="255"/>
    <x v="6"/>
    <x v="5"/>
    <x v="1"/>
    <x v="2"/>
    <n v="3"/>
    <n v="298586"/>
    <d v="2025-10-16T00:00:00"/>
    <n v="10"/>
    <n v="16"/>
    <n v="2025"/>
    <x v="9"/>
    <s v="Q4"/>
    <x v="1"/>
  </r>
  <r>
    <s v="O107234"/>
    <x v="4"/>
    <x v="8"/>
    <x v="6"/>
    <x v="0"/>
    <x v="1"/>
    <n v="10"/>
    <n v="298549"/>
    <d v="2026-03-16T00:00:00"/>
    <n v="3"/>
    <n v="16"/>
    <n v="2026"/>
    <x v="5"/>
    <s v="Q1"/>
    <x v="0"/>
  </r>
  <r>
    <s v="O109051"/>
    <x v="794"/>
    <x v="5"/>
    <x v="5"/>
    <x v="1"/>
    <x v="0"/>
    <n v="2"/>
    <n v="298426"/>
    <d v="2026-04-07T00:00:00"/>
    <n v="4"/>
    <n v="7"/>
    <n v="2026"/>
    <x v="11"/>
    <s v="Q2"/>
    <x v="1"/>
  </r>
  <r>
    <s v="O103179"/>
    <x v="572"/>
    <x v="9"/>
    <x v="5"/>
    <x v="0"/>
    <x v="2"/>
    <n v="2"/>
    <n v="298264"/>
    <d v="2025-07-13T00:00:00"/>
    <n v="7"/>
    <n v="13"/>
    <n v="2025"/>
    <x v="10"/>
    <s v="Q3"/>
    <x v="0"/>
  </r>
  <r>
    <s v="O106924"/>
    <x v="592"/>
    <x v="0"/>
    <x v="2"/>
    <x v="1"/>
    <x v="2"/>
    <n v="1"/>
    <n v="298195"/>
    <d v="2026-02-25T00:00:00"/>
    <n v="2"/>
    <n v="25"/>
    <n v="2026"/>
    <x v="4"/>
    <s v="Q1"/>
    <x v="1"/>
  </r>
  <r>
    <s v="O109721"/>
    <x v="764"/>
    <x v="5"/>
    <x v="4"/>
    <x v="2"/>
    <x v="2"/>
    <n v="2"/>
    <n v="298124"/>
    <d v="2026-08-14T00:00:00"/>
    <n v="8"/>
    <n v="14"/>
    <n v="2026"/>
    <x v="8"/>
    <s v="Q3"/>
    <x v="2"/>
  </r>
  <r>
    <s v="O110276"/>
    <x v="261"/>
    <x v="9"/>
    <x v="6"/>
    <x v="3"/>
    <x v="3"/>
    <n v="10"/>
    <n v="298062"/>
    <d v="2026-09-17T00:00:00"/>
    <n v="9"/>
    <n v="17"/>
    <n v="2026"/>
    <x v="1"/>
    <s v="Q3"/>
    <x v="3"/>
  </r>
  <r>
    <s v="O108283"/>
    <x v="517"/>
    <x v="5"/>
    <x v="5"/>
    <x v="2"/>
    <x v="3"/>
    <n v="2"/>
    <n v="297984"/>
    <d v="2026-05-19T00:00:00"/>
    <n v="5"/>
    <n v="19"/>
    <n v="2026"/>
    <x v="3"/>
    <s v="Q2"/>
    <x v="2"/>
  </r>
  <r>
    <s v="O108806"/>
    <x v="669"/>
    <x v="10"/>
    <x v="5"/>
    <x v="1"/>
    <x v="3"/>
    <n v="3"/>
    <n v="297853"/>
    <d v="2026-06-19T00:00:00"/>
    <n v="6"/>
    <n v="19"/>
    <n v="2026"/>
    <x v="2"/>
    <s v="Q2"/>
    <x v="1"/>
  </r>
  <r>
    <s v="O111533"/>
    <x v="398"/>
    <x v="4"/>
    <x v="5"/>
    <x v="0"/>
    <x v="0"/>
    <n v="2"/>
    <n v="297828"/>
    <d v="2026-02-12T00:00:00"/>
    <n v="2"/>
    <n v="12"/>
    <n v="2026"/>
    <x v="4"/>
    <s v="Q1"/>
    <x v="0"/>
  </r>
  <r>
    <s v="O100746"/>
    <x v="4"/>
    <x v="6"/>
    <x v="5"/>
    <x v="1"/>
    <x v="4"/>
    <n v="2"/>
    <n v="297659"/>
    <d v="2025-02-15T00:00:00"/>
    <n v="2"/>
    <n v="15"/>
    <n v="2025"/>
    <x v="4"/>
    <s v="Q1"/>
    <x v="1"/>
  </r>
  <r>
    <s v="O109259"/>
    <x v="795"/>
    <x v="5"/>
    <x v="4"/>
    <x v="2"/>
    <x v="1"/>
    <n v="2"/>
    <n v="297597"/>
    <d v="2026-07-17T00:00:00"/>
    <n v="7"/>
    <n v="17"/>
    <n v="2026"/>
    <x v="10"/>
    <s v="Q3"/>
    <x v="2"/>
  </r>
  <r>
    <s v="O110545"/>
    <x v="408"/>
    <x v="10"/>
    <x v="5"/>
    <x v="3"/>
    <x v="1"/>
    <n v="2"/>
    <n v="297474"/>
    <d v="2026-03-10T00:00:00"/>
    <n v="3"/>
    <n v="10"/>
    <n v="2026"/>
    <x v="5"/>
    <s v="Q1"/>
    <x v="3"/>
  </r>
  <r>
    <s v="O101211"/>
    <x v="698"/>
    <x v="6"/>
    <x v="6"/>
    <x v="4"/>
    <x v="2"/>
    <n v="10"/>
    <n v="297437"/>
    <d v="2025-03-15T00:00:00"/>
    <n v="3"/>
    <n v="15"/>
    <n v="2025"/>
    <x v="5"/>
    <s v="Q1"/>
    <x v="4"/>
  </r>
  <r>
    <s v="O100928"/>
    <x v="517"/>
    <x v="3"/>
    <x v="6"/>
    <x v="0"/>
    <x v="3"/>
    <n v="10"/>
    <n v="297144"/>
    <d v="2025-02-26T00:00:00"/>
    <n v="2"/>
    <n v="26"/>
    <n v="2025"/>
    <x v="4"/>
    <s v="Q1"/>
    <x v="0"/>
  </r>
  <r>
    <s v="O103398"/>
    <x v="691"/>
    <x v="5"/>
    <x v="5"/>
    <x v="0"/>
    <x v="3"/>
    <n v="2"/>
    <n v="296906"/>
    <d v="2025-07-26T00:00:00"/>
    <n v="7"/>
    <n v="26"/>
    <n v="2025"/>
    <x v="10"/>
    <m/>
    <x v="0"/>
  </r>
  <r>
    <s v="O104003"/>
    <x v="197"/>
    <x v="3"/>
    <x v="4"/>
    <x v="1"/>
    <x v="1"/>
    <n v="2"/>
    <n v="296847"/>
    <d v="2025-01-09T00:00:00"/>
    <n v="1"/>
    <n v="9"/>
    <n v="2025"/>
    <x v="6"/>
    <s v="Q1"/>
    <x v="1"/>
  </r>
  <r>
    <s v="O111745"/>
    <x v="648"/>
    <x v="8"/>
    <x v="5"/>
    <x v="2"/>
    <x v="1"/>
    <n v="2"/>
    <n v="296488"/>
    <d v="2026-12-15T00:00:00"/>
    <n v="12"/>
    <n v="15"/>
    <n v="2026"/>
    <x v="7"/>
    <s v="Q4"/>
    <x v="2"/>
  </r>
  <r>
    <s v="O107675"/>
    <x v="53"/>
    <x v="5"/>
    <x v="6"/>
    <x v="2"/>
    <x v="2"/>
    <n v="10"/>
    <n v="296294"/>
    <d v="2026-12-04T00:00:00"/>
    <n v="12"/>
    <n v="4"/>
    <n v="2026"/>
    <x v="7"/>
    <s v="Q4"/>
    <x v="2"/>
  </r>
  <r>
    <s v="O110974"/>
    <x v="726"/>
    <x v="4"/>
    <x v="2"/>
    <x v="1"/>
    <x v="3"/>
    <n v="1"/>
    <n v="295341"/>
    <d v="2026-10-29T00:00:00"/>
    <n v="10"/>
    <n v="29"/>
    <n v="2026"/>
    <x v="9"/>
    <s v="Q4"/>
    <x v="1"/>
  </r>
  <r>
    <s v="O110053"/>
    <x v="170"/>
    <x v="2"/>
    <x v="5"/>
    <x v="2"/>
    <x v="0"/>
    <n v="3"/>
    <n v="295045"/>
    <d v="2026-03-09T00:00:00"/>
    <n v="3"/>
    <n v="9"/>
    <n v="2026"/>
    <x v="5"/>
    <s v="Q1"/>
    <x v="2"/>
  </r>
  <r>
    <s v="O103803"/>
    <x v="125"/>
    <x v="5"/>
    <x v="5"/>
    <x v="0"/>
    <x v="1"/>
    <n v="3"/>
    <n v="294442"/>
    <d v="2025-08-19T00:00:00"/>
    <n v="8"/>
    <n v="19"/>
    <n v="2025"/>
    <x v="8"/>
    <s v="Q3"/>
    <x v="0"/>
  </r>
  <r>
    <s v="O110068"/>
    <x v="235"/>
    <x v="10"/>
    <x v="4"/>
    <x v="4"/>
    <x v="1"/>
    <n v="2"/>
    <n v="294202"/>
    <d v="2026-04-09T00:00:00"/>
    <n v="4"/>
    <n v="9"/>
    <n v="2026"/>
    <x v="11"/>
    <s v="Q2"/>
    <x v="4"/>
  </r>
  <r>
    <s v="O111586"/>
    <x v="572"/>
    <x v="6"/>
    <x v="2"/>
    <x v="0"/>
    <x v="2"/>
    <n v="1"/>
    <n v="294093"/>
    <d v="2026-05-12T00:00:00"/>
    <n v="5"/>
    <n v="12"/>
    <n v="2026"/>
    <x v="3"/>
    <s v="Q2"/>
    <x v="0"/>
  </r>
  <r>
    <s v="O102689"/>
    <x v="646"/>
    <x v="2"/>
    <x v="6"/>
    <x v="4"/>
    <x v="1"/>
    <n v="10"/>
    <n v="293635"/>
    <d v="2025-06-13T00:00:00"/>
    <n v="6"/>
    <n v="13"/>
    <n v="2025"/>
    <x v="2"/>
    <s v="Q2"/>
    <x v="4"/>
  </r>
  <r>
    <s v="O111565"/>
    <x v="209"/>
    <x v="1"/>
    <x v="4"/>
    <x v="0"/>
    <x v="3"/>
    <n v="2"/>
    <n v="293550"/>
    <d v="2026-04-12T00:00:00"/>
    <n v="4"/>
    <n v="12"/>
    <n v="2026"/>
    <x v="11"/>
    <s v="Q2"/>
    <x v="0"/>
  </r>
  <r>
    <s v="O109455"/>
    <x v="439"/>
    <x v="7"/>
    <x v="5"/>
    <x v="1"/>
    <x v="2"/>
    <n v="2"/>
    <n v="293076"/>
    <d v="2026-07-29T00:00:00"/>
    <n v="7"/>
    <n v="29"/>
    <n v="2026"/>
    <x v="10"/>
    <s v="Q3"/>
    <x v="1"/>
  </r>
  <r>
    <s v="O110570"/>
    <x v="780"/>
    <x v="8"/>
    <x v="2"/>
    <x v="4"/>
    <x v="1"/>
    <n v="1"/>
    <n v="292828"/>
    <d v="2026-10-05T00:00:00"/>
    <n v="10"/>
    <n v="5"/>
    <n v="2026"/>
    <x v="9"/>
    <s v="Q4"/>
    <x v="4"/>
  </r>
  <r>
    <s v="O106826"/>
    <x v="495"/>
    <x v="10"/>
    <x v="5"/>
    <x v="3"/>
    <x v="2"/>
    <n v="3"/>
    <n v="292526"/>
    <d v="2026-02-19T00:00:00"/>
    <n v="2"/>
    <n v="19"/>
    <n v="2026"/>
    <x v="4"/>
    <s v="Q1"/>
    <x v="3"/>
  </r>
  <r>
    <s v="O110052"/>
    <x v="236"/>
    <x v="9"/>
    <x v="6"/>
    <x v="4"/>
    <x v="3"/>
    <n v="10"/>
    <n v="292388"/>
    <d v="2026-03-09T00:00:00"/>
    <n v="3"/>
    <n v="9"/>
    <n v="2026"/>
    <x v="5"/>
    <s v="Q1"/>
    <x v="4"/>
  </r>
  <r>
    <s v="O110126"/>
    <x v="529"/>
    <x v="0"/>
    <x v="5"/>
    <x v="2"/>
    <x v="2"/>
    <n v="2"/>
    <n v="291512"/>
    <d v="2026-08-09T00:00:00"/>
    <n v="8"/>
    <n v="9"/>
    <n v="2026"/>
    <x v="8"/>
    <s v="Q3"/>
    <x v="2"/>
  </r>
  <r>
    <s v="O110367"/>
    <x v="198"/>
    <x v="0"/>
    <x v="5"/>
    <x v="1"/>
    <x v="2"/>
    <n v="2"/>
    <n v="291097"/>
    <d v="2026-09-22T00:00:00"/>
    <n v="9"/>
    <n v="22"/>
    <n v="2026"/>
    <x v="1"/>
    <s v="Q3"/>
    <x v="1"/>
  </r>
  <r>
    <s v="O103428"/>
    <x v="405"/>
    <x v="2"/>
    <x v="2"/>
    <x v="0"/>
    <x v="2"/>
    <n v="1"/>
    <n v="291057"/>
    <d v="2025-07-28T00:00:00"/>
    <n v="7"/>
    <n v="28"/>
    <n v="2025"/>
    <x v="10"/>
    <s v="Q3"/>
    <x v="0"/>
  </r>
  <r>
    <s v="O102724"/>
    <x v="464"/>
    <x v="1"/>
    <x v="6"/>
    <x v="2"/>
    <x v="2"/>
    <n v="10"/>
    <n v="290450"/>
    <d v="2025-06-15T00:00:00"/>
    <n v="6"/>
    <n v="15"/>
    <n v="2025"/>
    <x v="2"/>
    <s v="Q2"/>
    <x v="2"/>
  </r>
  <r>
    <s v="O108713"/>
    <x v="368"/>
    <x v="6"/>
    <x v="2"/>
    <x v="1"/>
    <x v="1"/>
    <n v="1"/>
    <n v="290416"/>
    <d v="2026-06-14T00:00:00"/>
    <n v="6"/>
    <n v="14"/>
    <n v="2026"/>
    <x v="2"/>
    <s v="Q2"/>
    <x v="1"/>
  </r>
  <r>
    <s v="O106710"/>
    <x v="542"/>
    <x v="8"/>
    <x v="5"/>
    <x v="3"/>
    <x v="1"/>
    <n v="3"/>
    <n v="290326"/>
    <d v="2026-12-02T00:00:00"/>
    <n v="12"/>
    <n v="2"/>
    <n v="2026"/>
    <x v="7"/>
    <s v="Q4"/>
    <x v="3"/>
  </r>
  <r>
    <s v="O110169"/>
    <x v="382"/>
    <x v="4"/>
    <x v="6"/>
    <x v="0"/>
    <x v="2"/>
    <n v="10"/>
    <n v="290187"/>
    <d v="2026-10-09T00:00:00"/>
    <n v="10"/>
    <n v="9"/>
    <n v="2026"/>
    <x v="9"/>
    <s v="Q4"/>
    <x v="0"/>
  </r>
  <r>
    <s v="O100389"/>
    <x v="108"/>
    <x v="4"/>
    <x v="4"/>
    <x v="3"/>
    <x v="2"/>
    <n v="2"/>
    <n v="289885"/>
    <d v="2025-01-24T00:00:00"/>
    <n v="1"/>
    <n v="24"/>
    <n v="2025"/>
    <x v="6"/>
    <s v="Q1"/>
    <x v="3"/>
  </r>
  <r>
    <s v="O100247"/>
    <x v="435"/>
    <x v="8"/>
    <x v="6"/>
    <x v="0"/>
    <x v="2"/>
    <n v="10"/>
    <n v="289800"/>
    <d v="2025-01-15T00:00:00"/>
    <n v="1"/>
    <n v="15"/>
    <n v="2025"/>
    <x v="6"/>
    <s v="Q1"/>
    <x v="0"/>
  </r>
  <r>
    <s v="O101783"/>
    <x v="740"/>
    <x v="9"/>
    <x v="6"/>
    <x v="0"/>
    <x v="2"/>
    <n v="10"/>
    <n v="289703"/>
    <d v="2025-04-19T00:00:00"/>
    <n v="4"/>
    <n v="19"/>
    <n v="2025"/>
    <x v="11"/>
    <s v="Q2"/>
    <x v="0"/>
  </r>
  <r>
    <s v="O105507"/>
    <x v="40"/>
    <x v="0"/>
    <x v="6"/>
    <x v="3"/>
    <x v="3"/>
    <n v="10"/>
    <n v="289192"/>
    <d v="2025-01-12T00:00:00"/>
    <n v="1"/>
    <n v="12"/>
    <n v="2025"/>
    <x v="6"/>
    <s v="Q1"/>
    <x v="3"/>
  </r>
  <r>
    <s v="O105307"/>
    <x v="114"/>
    <x v="5"/>
    <x v="6"/>
    <x v="1"/>
    <x v="0"/>
    <n v="10"/>
    <n v="288604"/>
    <d v="2025-11-19T00:00:00"/>
    <n v="11"/>
    <n v="19"/>
    <n v="2025"/>
    <x v="0"/>
    <s v="Q4"/>
    <x v="1"/>
  </r>
  <r>
    <s v="O101124"/>
    <x v="200"/>
    <x v="0"/>
    <x v="4"/>
    <x v="1"/>
    <x v="0"/>
    <n v="2"/>
    <n v="288523"/>
    <d v="2025-10-03T00:00:00"/>
    <n v="10"/>
    <n v="3"/>
    <n v="2025"/>
    <x v="9"/>
    <s v="Q4"/>
    <x v="1"/>
  </r>
  <r>
    <s v="O110747"/>
    <x v="799"/>
    <x v="0"/>
    <x v="5"/>
    <x v="2"/>
    <x v="3"/>
    <n v="3"/>
    <n v="288461"/>
    <d v="2026-10-15T00:00:00"/>
    <n v="10"/>
    <n v="15"/>
    <n v="2026"/>
    <x v="9"/>
    <s v="Q4"/>
    <x v="2"/>
  </r>
  <r>
    <s v="O111822"/>
    <x v="582"/>
    <x v="3"/>
    <x v="2"/>
    <x v="2"/>
    <x v="1"/>
    <n v="1"/>
    <n v="288338"/>
    <d v="2026-12-20T00:00:00"/>
    <n v="12"/>
    <n v="20"/>
    <n v="2026"/>
    <x v="7"/>
    <s v="Q4"/>
    <x v="2"/>
  </r>
  <r>
    <s v="O110411"/>
    <x v="421"/>
    <x v="9"/>
    <x v="4"/>
    <x v="1"/>
    <x v="0"/>
    <n v="2"/>
    <n v="288315"/>
    <d v="2026-09-25T00:00:00"/>
    <n v="9"/>
    <n v="25"/>
    <n v="2026"/>
    <x v="1"/>
    <s v="Q3"/>
    <x v="1"/>
  </r>
  <r>
    <s v="O110476"/>
    <x v="231"/>
    <x v="8"/>
    <x v="6"/>
    <x v="4"/>
    <x v="0"/>
    <n v="10"/>
    <n v="288196"/>
    <d v="2026-09-29T00:00:00"/>
    <n v="9"/>
    <n v="29"/>
    <n v="2026"/>
    <x v="1"/>
    <s v="Q3"/>
    <x v="4"/>
  </r>
  <r>
    <s v="O109120"/>
    <x v="437"/>
    <x v="10"/>
    <x v="5"/>
    <x v="4"/>
    <x v="0"/>
    <n v="3"/>
    <n v="287943"/>
    <d v="2026-09-07T00:00:00"/>
    <n v="9"/>
    <n v="7"/>
    <n v="2026"/>
    <x v="1"/>
    <s v="Q3"/>
    <x v="4"/>
  </r>
  <r>
    <s v="O101126"/>
    <x v="392"/>
    <x v="8"/>
    <x v="6"/>
    <x v="4"/>
    <x v="1"/>
    <n v="10"/>
    <n v="287938"/>
    <d v="2025-10-03T00:00:00"/>
    <n v="10"/>
    <n v="3"/>
    <n v="2025"/>
    <x v="9"/>
    <s v="Q4"/>
    <x v="4"/>
  </r>
  <r>
    <s v="O109560"/>
    <x v="642"/>
    <x v="8"/>
    <x v="2"/>
    <x v="2"/>
    <x v="0"/>
    <n v="1"/>
    <n v="287865"/>
    <d v="2026-04-08T00:00:00"/>
    <n v="4"/>
    <n v="8"/>
    <n v="2026"/>
    <x v="11"/>
    <s v="Q2"/>
    <x v="2"/>
  </r>
  <r>
    <s v="O108786"/>
    <x v="398"/>
    <x v="1"/>
    <x v="1"/>
    <x v="1"/>
    <x v="0"/>
    <n v="10"/>
    <n v="287430"/>
    <d v="2026-06-18T00:00:00"/>
    <n v="6"/>
    <n v="18"/>
    <n v="2026"/>
    <x v="2"/>
    <s v="Q2"/>
    <x v="1"/>
  </r>
  <r>
    <s v="O110347"/>
    <x v="688"/>
    <x v="10"/>
    <x v="6"/>
    <x v="4"/>
    <x v="1"/>
    <n v="10"/>
    <n v="287165"/>
    <d v="2026-09-21T00:00:00"/>
    <n v="9"/>
    <n v="21"/>
    <n v="2026"/>
    <x v="1"/>
    <s v="Q3"/>
    <x v="4"/>
  </r>
  <r>
    <s v="O100801"/>
    <x v="91"/>
    <x v="10"/>
    <x v="4"/>
    <x v="4"/>
    <x v="3"/>
    <n v="2"/>
    <n v="287053"/>
    <d v="2025-02-18T00:00:00"/>
    <n v="2"/>
    <n v="18"/>
    <n v="2025"/>
    <x v="4"/>
    <s v="Q1"/>
    <x v="4"/>
  </r>
  <r>
    <s v="O111155"/>
    <x v="348"/>
    <x v="4"/>
    <x v="5"/>
    <x v="3"/>
    <x v="1"/>
    <n v="3"/>
    <n v="286519"/>
    <d v="2026-09-11T00:00:00"/>
    <n v="9"/>
    <n v="11"/>
    <n v="2026"/>
    <x v="1"/>
    <s v="Q3"/>
    <x v="3"/>
  </r>
  <r>
    <s v="O110872"/>
    <x v="453"/>
    <x v="4"/>
    <x v="2"/>
    <x v="3"/>
    <x v="3"/>
    <n v="1"/>
    <n v="286407"/>
    <d v="2026-10-23T00:00:00"/>
    <n v="10"/>
    <n v="23"/>
    <n v="2026"/>
    <x v="9"/>
    <s v="Q4"/>
    <x v="3"/>
  </r>
  <r>
    <s v="O103956"/>
    <x v="158"/>
    <x v="9"/>
    <x v="5"/>
    <x v="4"/>
    <x v="1"/>
    <n v="2"/>
    <n v="286344"/>
    <d v="2025-08-29T00:00:00"/>
    <n v="8"/>
    <n v="29"/>
    <n v="2025"/>
    <x v="8"/>
    <s v="Q3"/>
    <x v="4"/>
  </r>
  <r>
    <s v="O108696"/>
    <x v="249"/>
    <x v="0"/>
    <x v="2"/>
    <x v="1"/>
    <x v="1"/>
    <n v="1"/>
    <n v="286207"/>
    <d v="2026-06-13T00:00:00"/>
    <n v="6"/>
    <n v="13"/>
    <n v="2026"/>
    <x v="2"/>
    <s v="Q2"/>
    <x v="1"/>
  </r>
  <r>
    <s v="O108556"/>
    <x v="741"/>
    <x v="0"/>
    <x v="2"/>
    <x v="0"/>
    <x v="1"/>
    <n v="1"/>
    <n v="285878"/>
    <d v="2026-04-06T00:00:00"/>
    <n v="4"/>
    <n v="6"/>
    <n v="2026"/>
    <x v="11"/>
    <s v="Q2"/>
    <x v="0"/>
  </r>
  <r>
    <s v="O100200"/>
    <x v="650"/>
    <x v="6"/>
    <x v="4"/>
    <x v="3"/>
    <x v="2"/>
    <n v="2"/>
    <n v="285839"/>
    <d v="2025-01-13T00:00:00"/>
    <n v="1"/>
    <n v="13"/>
    <n v="2025"/>
    <x v="6"/>
    <s v="Q1"/>
    <x v="3"/>
  </r>
  <r>
    <s v="O104149"/>
    <x v="121"/>
    <x v="6"/>
    <x v="4"/>
    <x v="1"/>
    <x v="1"/>
    <n v="2"/>
    <n v="285808"/>
    <d v="2025-10-09T00:00:00"/>
    <n v="10"/>
    <n v="9"/>
    <n v="2025"/>
    <x v="9"/>
    <s v="Q4"/>
    <x v="1"/>
  </r>
  <r>
    <s v="O104549"/>
    <x v="532"/>
    <x v="6"/>
    <x v="2"/>
    <x v="3"/>
    <x v="3"/>
    <n v="1"/>
    <n v="285587"/>
    <d v="2025-04-10T00:00:00"/>
    <n v="4"/>
    <n v="10"/>
    <n v="2025"/>
    <x v="11"/>
    <s v="Q2"/>
    <x v="3"/>
  </r>
  <r>
    <s v="O103495"/>
    <x v="792"/>
    <x v="0"/>
    <x v="2"/>
    <x v="4"/>
    <x v="1"/>
    <n v="1"/>
    <n v="285565"/>
    <d v="2025-01-08T00:00:00"/>
    <n v="1"/>
    <n v="8"/>
    <n v="2025"/>
    <x v="6"/>
    <s v="Q1"/>
    <x v="4"/>
  </r>
  <r>
    <s v="O107667"/>
    <x v="168"/>
    <x v="0"/>
    <x v="2"/>
    <x v="1"/>
    <x v="0"/>
    <n v="1"/>
    <n v="285511"/>
    <d v="2026-11-04T00:00:00"/>
    <n v="11"/>
    <n v="4"/>
    <n v="2026"/>
    <x v="0"/>
    <s v="Q4"/>
    <x v="1"/>
  </r>
  <r>
    <s v="O111791"/>
    <x v="517"/>
    <x v="3"/>
    <x v="5"/>
    <x v="2"/>
    <x v="1"/>
    <n v="2"/>
    <n v="285355"/>
    <d v="2026-12-18T00:00:00"/>
    <n v="12"/>
    <n v="18"/>
    <n v="2026"/>
    <x v="7"/>
    <s v="Q4"/>
    <x v="2"/>
  </r>
  <r>
    <s v="O109303"/>
    <x v="745"/>
    <x v="4"/>
    <x v="5"/>
    <x v="4"/>
    <x v="1"/>
    <n v="2"/>
    <n v="285244"/>
    <d v="2026-07-20T00:00:00"/>
    <n v="7"/>
    <n v="20"/>
    <n v="2026"/>
    <x v="10"/>
    <s v="Q3"/>
    <x v="4"/>
  </r>
  <r>
    <s v="O105970"/>
    <x v="741"/>
    <x v="1"/>
    <x v="5"/>
    <x v="1"/>
    <x v="3"/>
    <n v="2"/>
    <n v="284759"/>
    <d v="2025-12-29T00:00:00"/>
    <n v="12"/>
    <n v="29"/>
    <n v="2025"/>
    <x v="7"/>
    <s v="Q4"/>
    <x v="1"/>
  </r>
  <r>
    <s v="O100906"/>
    <x v="344"/>
    <x v="2"/>
    <x v="5"/>
    <x v="2"/>
    <x v="3"/>
    <n v="2"/>
    <n v="284711"/>
    <d v="2025-02-24T00:00:00"/>
    <n v="2"/>
    <n v="24"/>
    <n v="2025"/>
    <x v="4"/>
    <s v="Q1"/>
    <x v="2"/>
  </r>
  <r>
    <s v="O101917"/>
    <x v="411"/>
    <x v="10"/>
    <x v="5"/>
    <x v="0"/>
    <x v="3"/>
    <n v="3"/>
    <n v="284555"/>
    <d v="2025-04-27T00:00:00"/>
    <n v="4"/>
    <n v="27"/>
    <n v="2025"/>
    <x v="11"/>
    <s v="Q2"/>
    <x v="0"/>
  </r>
  <r>
    <s v="O104494"/>
    <x v="688"/>
    <x v="4"/>
    <x v="4"/>
    <x v="2"/>
    <x v="3"/>
    <n v="2"/>
    <n v="284261"/>
    <d v="2025-09-30T00:00:00"/>
    <n v="9"/>
    <n v="30"/>
    <n v="2025"/>
    <x v="1"/>
    <s v="Q3"/>
    <x v="2"/>
  </r>
  <r>
    <s v="O105248"/>
    <x v="711"/>
    <x v="8"/>
    <x v="5"/>
    <x v="2"/>
    <x v="1"/>
    <n v="2"/>
    <n v="284259"/>
    <d v="2025-11-15T00:00:00"/>
    <n v="11"/>
    <n v="15"/>
    <n v="2025"/>
    <x v="0"/>
    <s v="Q4"/>
    <x v="2"/>
  </r>
  <r>
    <s v="O102279"/>
    <x v="202"/>
    <x v="9"/>
    <x v="2"/>
    <x v="4"/>
    <x v="2"/>
    <n v="1"/>
    <n v="283293"/>
    <d v="2025-05-19T00:00:00"/>
    <n v="5"/>
    <n v="19"/>
    <n v="2025"/>
    <x v="3"/>
    <s v="Q2"/>
    <x v="4"/>
  </r>
  <r>
    <s v="O111563"/>
    <x v="539"/>
    <x v="8"/>
    <x v="5"/>
    <x v="0"/>
    <x v="2"/>
    <n v="2"/>
    <n v="283258"/>
    <d v="2026-04-12T00:00:00"/>
    <n v="4"/>
    <n v="12"/>
    <n v="2026"/>
    <x v="11"/>
    <s v="Q2"/>
    <x v="0"/>
  </r>
  <r>
    <s v="O106462"/>
    <x v="698"/>
    <x v="3"/>
    <x v="2"/>
    <x v="1"/>
    <x v="3"/>
    <n v="1"/>
    <n v="283222"/>
    <d v="2026-01-28T00:00:00"/>
    <n v="1"/>
    <n v="28"/>
    <n v="2026"/>
    <x v="6"/>
    <s v="Q1"/>
    <x v="1"/>
  </r>
  <r>
    <s v="O104490"/>
    <x v="646"/>
    <x v="0"/>
    <x v="2"/>
    <x v="4"/>
    <x v="1"/>
    <n v="1"/>
    <n v="283144"/>
    <d v="2025-09-30T00:00:00"/>
    <n v="9"/>
    <n v="30"/>
    <n v="2025"/>
    <x v="1"/>
    <s v="Q3"/>
    <x v="4"/>
  </r>
  <r>
    <s v="O109468"/>
    <x v="631"/>
    <x v="8"/>
    <x v="5"/>
    <x v="0"/>
    <x v="0"/>
    <n v="2"/>
    <n v="282890"/>
    <d v="2026-07-30T00:00:00"/>
    <n v="7"/>
    <n v="30"/>
    <n v="2026"/>
    <x v="10"/>
    <s v="Q3"/>
    <x v="0"/>
  </r>
  <r>
    <s v="O110575"/>
    <x v="255"/>
    <x v="8"/>
    <x v="5"/>
    <x v="0"/>
    <x v="0"/>
    <n v="2"/>
    <n v="282581"/>
    <d v="2026-05-10T00:00:00"/>
    <n v="5"/>
    <n v="10"/>
    <n v="2026"/>
    <x v="3"/>
    <s v="Q2"/>
    <x v="0"/>
  </r>
  <r>
    <s v="O102809"/>
    <x v="623"/>
    <x v="10"/>
    <x v="6"/>
    <x v="3"/>
    <x v="1"/>
    <n v="10"/>
    <n v="282436"/>
    <d v="2025-06-20T00:00:00"/>
    <n v="6"/>
    <n v="20"/>
    <n v="2025"/>
    <x v="2"/>
    <s v="Q2"/>
    <x v="3"/>
  </r>
  <r>
    <s v="O101116"/>
    <x v="132"/>
    <x v="10"/>
    <x v="2"/>
    <x v="1"/>
    <x v="0"/>
    <n v="1"/>
    <n v="282410"/>
    <d v="2025-09-03T00:00:00"/>
    <n v="9"/>
    <n v="3"/>
    <n v="2025"/>
    <x v="1"/>
    <s v="Q3"/>
    <x v="1"/>
  </r>
  <r>
    <s v="O107121"/>
    <x v="68"/>
    <x v="6"/>
    <x v="5"/>
    <x v="1"/>
    <x v="1"/>
    <n v="3"/>
    <n v="282299"/>
    <d v="2026-09-03T00:00:00"/>
    <n v="9"/>
    <n v="3"/>
    <n v="2026"/>
    <x v="1"/>
    <s v="Q3"/>
    <x v="1"/>
  </r>
  <r>
    <s v="O105222"/>
    <x v="231"/>
    <x v="0"/>
    <x v="6"/>
    <x v="1"/>
    <x v="0"/>
    <n v="10"/>
    <n v="282291"/>
    <d v="2025-11-14T00:00:00"/>
    <n v="11"/>
    <n v="14"/>
    <n v="2025"/>
    <x v="0"/>
    <s v="Q4"/>
    <x v="1"/>
  </r>
  <r>
    <s v="O105008"/>
    <x v="102"/>
    <x v="5"/>
    <x v="5"/>
    <x v="3"/>
    <x v="0"/>
    <n v="2"/>
    <n v="282255"/>
    <d v="2025-01-11T00:00:00"/>
    <n v="1"/>
    <n v="11"/>
    <n v="2025"/>
    <x v="6"/>
    <s v="Q1"/>
    <x v="3"/>
  </r>
  <r>
    <s v="O103178"/>
    <x v="295"/>
    <x v="10"/>
    <x v="5"/>
    <x v="1"/>
    <x v="3"/>
    <n v="2"/>
    <n v="282235"/>
    <d v="2025-07-13T00:00:00"/>
    <n v="7"/>
    <n v="13"/>
    <n v="2025"/>
    <x v="10"/>
    <s v="Q3"/>
    <x v="1"/>
  </r>
  <r>
    <s v="O104352"/>
    <x v="426"/>
    <x v="2"/>
    <x v="2"/>
    <x v="4"/>
    <x v="0"/>
    <n v="1"/>
    <n v="282123"/>
    <d v="2025-09-22T00:00:00"/>
    <n v="9"/>
    <n v="22"/>
    <n v="2025"/>
    <x v="1"/>
    <s v="Q3"/>
    <x v="4"/>
  </r>
  <r>
    <s v="O110919"/>
    <x v="330"/>
    <x v="10"/>
    <x v="2"/>
    <x v="0"/>
    <x v="0"/>
    <n v="1"/>
    <n v="282093"/>
    <d v="2026-10-26T00:00:00"/>
    <n v="10"/>
    <n v="26"/>
    <n v="2026"/>
    <x v="9"/>
    <s v="Q4"/>
    <x v="0"/>
  </r>
  <r>
    <s v="O101171"/>
    <x v="150"/>
    <x v="8"/>
    <x v="2"/>
    <x v="1"/>
    <x v="2"/>
    <n v="1"/>
    <n v="281984"/>
    <d v="2025-03-13T00:00:00"/>
    <n v="3"/>
    <n v="13"/>
    <n v="2025"/>
    <x v="5"/>
    <s v="Q1"/>
    <x v="1"/>
  </r>
  <r>
    <s v="O102791"/>
    <x v="497"/>
    <x v="10"/>
    <x v="4"/>
    <x v="3"/>
    <x v="2"/>
    <n v="2"/>
    <n v="281773"/>
    <d v="2025-06-19T00:00:00"/>
    <n v="6"/>
    <n v="19"/>
    <n v="2025"/>
    <x v="2"/>
    <s v="Q2"/>
    <x v="3"/>
  </r>
  <r>
    <s v="O105488"/>
    <x v="472"/>
    <x v="4"/>
    <x v="2"/>
    <x v="3"/>
    <x v="1"/>
    <n v="1"/>
    <n v="281728"/>
    <d v="2025-11-30T00:00:00"/>
    <n v="11"/>
    <n v="30"/>
    <n v="2025"/>
    <x v="0"/>
    <s v="Q4"/>
    <x v="3"/>
  </r>
  <r>
    <s v="O101758"/>
    <x v="694"/>
    <x v="10"/>
    <x v="6"/>
    <x v="4"/>
    <x v="0"/>
    <n v="10"/>
    <n v="281726"/>
    <d v="2025-04-17T00:00:00"/>
    <n v="4"/>
    <n v="17"/>
    <n v="2025"/>
    <x v="11"/>
    <s v="Q2"/>
    <x v="4"/>
  </r>
  <r>
    <s v="O105788"/>
    <x v="278"/>
    <x v="10"/>
    <x v="5"/>
    <x v="1"/>
    <x v="3"/>
    <n v="3"/>
    <n v="281723"/>
    <d v="2025-12-18T00:00:00"/>
    <n v="12"/>
    <n v="18"/>
    <n v="2025"/>
    <x v="7"/>
    <s v="Q4"/>
    <x v="1"/>
  </r>
  <r>
    <s v="O104314"/>
    <x v="182"/>
    <x v="0"/>
    <x v="5"/>
    <x v="2"/>
    <x v="3"/>
    <n v="2"/>
    <n v="281701"/>
    <d v="2025-09-20T00:00:00"/>
    <n v="9"/>
    <n v="20"/>
    <n v="2025"/>
    <x v="1"/>
    <s v="Q3"/>
    <x v="2"/>
  </r>
  <r>
    <s v="O104740"/>
    <x v="467"/>
    <x v="6"/>
    <x v="2"/>
    <x v="2"/>
    <x v="1"/>
    <n v="1"/>
    <n v="281367"/>
    <d v="2025-10-15T00:00:00"/>
    <n v="10"/>
    <n v="15"/>
    <n v="2025"/>
    <x v="9"/>
    <m/>
    <x v="2"/>
  </r>
  <r>
    <s v="O110257"/>
    <x v="561"/>
    <x v="1"/>
    <x v="2"/>
    <x v="3"/>
    <x v="0"/>
    <n v="1"/>
    <n v="281344"/>
    <d v="2026-09-16T00:00:00"/>
    <n v="9"/>
    <n v="16"/>
    <n v="2026"/>
    <x v="1"/>
    <s v="Q3"/>
    <x v="3"/>
  </r>
  <r>
    <s v="O100524"/>
    <x v="514"/>
    <x v="9"/>
    <x v="5"/>
    <x v="4"/>
    <x v="0"/>
    <n v="2"/>
    <n v="281059"/>
    <d v="2025-01-02T00:00:00"/>
    <n v="1"/>
    <n v="2"/>
    <n v="2025"/>
    <x v="6"/>
    <m/>
    <x v="4"/>
  </r>
  <r>
    <s v="O105076"/>
    <x v="740"/>
    <x v="8"/>
    <x v="6"/>
    <x v="0"/>
    <x v="3"/>
    <n v="9"/>
    <n v="280977"/>
    <d v="2025-05-11T00:00:00"/>
    <n v="5"/>
    <n v="11"/>
    <n v="2025"/>
    <x v="3"/>
    <s v="Q2"/>
    <x v="0"/>
  </r>
  <r>
    <s v="O106479"/>
    <x v="428"/>
    <x v="0"/>
    <x v="6"/>
    <x v="1"/>
    <x v="3"/>
    <n v="10"/>
    <n v="280756"/>
    <d v="2026-01-29T00:00:00"/>
    <n v="1"/>
    <n v="29"/>
    <n v="2026"/>
    <x v="6"/>
    <s v="Q1"/>
    <x v="1"/>
  </r>
  <r>
    <s v="O106074"/>
    <x v="794"/>
    <x v="4"/>
    <x v="6"/>
    <x v="0"/>
    <x v="2"/>
    <n v="9"/>
    <n v="280728"/>
    <d v="2026-04-01T00:00:00"/>
    <n v="4"/>
    <n v="1"/>
    <n v="2026"/>
    <x v="11"/>
    <s v="Q2"/>
    <x v="0"/>
  </r>
  <r>
    <s v="O102583"/>
    <x v="578"/>
    <x v="0"/>
    <x v="6"/>
    <x v="2"/>
    <x v="1"/>
    <n v="9"/>
    <n v="280679"/>
    <d v="2025-06-06T00:00:00"/>
    <n v="6"/>
    <n v="6"/>
    <n v="2025"/>
    <x v="2"/>
    <s v="Q2"/>
    <x v="2"/>
  </r>
  <r>
    <s v="O107167"/>
    <x v="350"/>
    <x v="6"/>
    <x v="5"/>
    <x v="0"/>
    <x v="0"/>
    <n v="2"/>
    <n v="280598"/>
    <d v="2026-12-03T00:00:00"/>
    <n v="12"/>
    <n v="3"/>
    <n v="2026"/>
    <x v="7"/>
    <s v="Q4"/>
    <x v="0"/>
  </r>
  <r>
    <s v="O109172"/>
    <x v="445"/>
    <x v="6"/>
    <x v="5"/>
    <x v="0"/>
    <x v="3"/>
    <n v="3"/>
    <n v="280413"/>
    <d v="2026-12-07T00:00:00"/>
    <n v="12"/>
    <n v="7"/>
    <n v="2026"/>
    <x v="7"/>
    <s v="Q4"/>
    <x v="0"/>
  </r>
  <r>
    <s v="O111242"/>
    <x v="711"/>
    <x v="5"/>
    <x v="5"/>
    <x v="4"/>
    <x v="3"/>
    <n v="2"/>
    <n v="279820"/>
    <d v="2026-11-14T00:00:00"/>
    <n v="11"/>
    <n v="14"/>
    <n v="2026"/>
    <x v="0"/>
    <s v="Q4"/>
    <x v="4"/>
  </r>
  <r>
    <s v="O108646"/>
    <x v="352"/>
    <x v="4"/>
    <x v="6"/>
    <x v="1"/>
    <x v="2"/>
    <n v="10"/>
    <n v="279704"/>
    <d v="2026-10-06T00:00:00"/>
    <n v="10"/>
    <n v="6"/>
    <n v="2026"/>
    <x v="9"/>
    <s v="Q4"/>
    <x v="1"/>
  </r>
  <r>
    <s v="O110306"/>
    <x v="391"/>
    <x v="1"/>
    <x v="4"/>
    <x v="0"/>
    <x v="2"/>
    <n v="2"/>
    <n v="279697"/>
    <d v="2026-09-19T00:00:00"/>
    <n v="9"/>
    <n v="19"/>
    <n v="2026"/>
    <x v="1"/>
    <s v="Q3"/>
    <x v="0"/>
  </r>
  <r>
    <s v="O110056"/>
    <x v="750"/>
    <x v="10"/>
    <x v="6"/>
    <x v="0"/>
    <x v="2"/>
    <n v="9"/>
    <n v="279485"/>
    <d v="2026-03-09T00:00:00"/>
    <n v="3"/>
    <n v="9"/>
    <n v="2026"/>
    <x v="5"/>
    <s v="Q1"/>
    <x v="0"/>
  </r>
  <r>
    <s v="O106133"/>
    <x v="18"/>
    <x v="8"/>
    <x v="6"/>
    <x v="3"/>
    <x v="0"/>
    <n v="9"/>
    <n v="279438"/>
    <d v="2026-08-01T00:00:00"/>
    <n v="8"/>
    <n v="1"/>
    <n v="2026"/>
    <x v="8"/>
    <s v="Q3"/>
    <x v="3"/>
  </r>
  <r>
    <s v="O108544"/>
    <x v="470"/>
    <x v="8"/>
    <x v="2"/>
    <x v="3"/>
    <x v="1"/>
    <n v="1"/>
    <n v="279182"/>
    <d v="2026-04-06T00:00:00"/>
    <n v="4"/>
    <n v="6"/>
    <n v="2026"/>
    <x v="11"/>
    <s v="Q2"/>
    <x v="3"/>
  </r>
  <r>
    <s v="O104585"/>
    <x v="594"/>
    <x v="1"/>
    <x v="4"/>
    <x v="4"/>
    <x v="2"/>
    <n v="2"/>
    <n v="278628"/>
    <d v="2025-06-10T00:00:00"/>
    <n v="6"/>
    <n v="10"/>
    <n v="2025"/>
    <x v="2"/>
    <s v="Q2"/>
    <x v="4"/>
  </r>
  <r>
    <s v="O104193"/>
    <x v="121"/>
    <x v="3"/>
    <x v="6"/>
    <x v="2"/>
    <x v="3"/>
    <n v="9"/>
    <n v="278348"/>
    <d v="2025-12-09T00:00:00"/>
    <n v="12"/>
    <n v="9"/>
    <n v="2025"/>
    <x v="7"/>
    <s v="Q4"/>
    <x v="2"/>
  </r>
  <r>
    <s v="O103659"/>
    <x v="682"/>
    <x v="10"/>
    <x v="2"/>
    <x v="0"/>
    <x v="1"/>
    <n v="1"/>
    <n v="278339"/>
    <d v="2025-11-08T00:00:00"/>
    <n v="11"/>
    <n v="8"/>
    <n v="2025"/>
    <x v="0"/>
    <s v="Q4"/>
    <x v="0"/>
  </r>
  <r>
    <s v="O104685"/>
    <x v="82"/>
    <x v="5"/>
    <x v="4"/>
    <x v="1"/>
    <x v="0"/>
    <n v="2"/>
    <n v="278239"/>
    <d v="2025-12-10T00:00:00"/>
    <n v="12"/>
    <n v="10"/>
    <n v="2025"/>
    <x v="7"/>
    <s v="Q4"/>
    <x v="1"/>
  </r>
  <r>
    <s v="O109722"/>
    <x v="164"/>
    <x v="1"/>
    <x v="6"/>
    <x v="2"/>
    <x v="1"/>
    <n v="10"/>
    <n v="278135"/>
    <d v="2026-08-14T00:00:00"/>
    <n v="8"/>
    <n v="14"/>
    <n v="2026"/>
    <x v="8"/>
    <s v="Q3"/>
    <x v="2"/>
  </r>
  <r>
    <s v="O103421"/>
    <x v="581"/>
    <x v="0"/>
    <x v="4"/>
    <x v="0"/>
    <x v="2"/>
    <n v="2"/>
    <n v="277923"/>
    <d v="2025-07-27T00:00:00"/>
    <n v="7"/>
    <n v="27"/>
    <n v="2025"/>
    <x v="10"/>
    <s v="Q3"/>
    <x v="0"/>
  </r>
  <r>
    <s v="O105965"/>
    <x v="420"/>
    <x v="4"/>
    <x v="6"/>
    <x v="4"/>
    <x v="3"/>
    <n v="9"/>
    <n v="277568"/>
    <d v="2025-12-29T00:00:00"/>
    <n v="12"/>
    <n v="29"/>
    <n v="2025"/>
    <x v="7"/>
    <s v="Q4"/>
    <x v="4"/>
  </r>
  <r>
    <s v="O104698"/>
    <x v="485"/>
    <x v="10"/>
    <x v="6"/>
    <x v="1"/>
    <x v="1"/>
    <n v="10"/>
    <n v="277543"/>
    <d v="2025-10-13T00:00:00"/>
    <n v="10"/>
    <n v="13"/>
    <n v="2025"/>
    <x v="9"/>
    <s v="Q4"/>
    <x v="1"/>
  </r>
  <r>
    <s v="O109245"/>
    <x v="570"/>
    <x v="0"/>
    <x v="6"/>
    <x v="1"/>
    <x v="2"/>
    <n v="10"/>
    <n v="277533"/>
    <d v="2026-07-16T00:00:00"/>
    <n v="7"/>
    <n v="16"/>
    <n v="2026"/>
    <x v="10"/>
    <s v="Q3"/>
    <x v="1"/>
  </r>
  <r>
    <s v="O102614"/>
    <x v="118"/>
    <x v="10"/>
    <x v="4"/>
    <x v="0"/>
    <x v="0"/>
    <n v="2"/>
    <n v="277473"/>
    <d v="2025-06-08T00:00:00"/>
    <n v="6"/>
    <n v="8"/>
    <n v="2025"/>
    <x v="2"/>
    <s v="Q2"/>
    <x v="0"/>
  </r>
  <r>
    <s v="O101512"/>
    <x v="602"/>
    <x v="5"/>
    <x v="4"/>
    <x v="1"/>
    <x v="1"/>
    <n v="2"/>
    <n v="277227"/>
    <d v="2025-02-04T00:00:00"/>
    <n v="2"/>
    <n v="4"/>
    <n v="2025"/>
    <x v="4"/>
    <s v="Q1"/>
    <x v="1"/>
  </r>
  <r>
    <s v="O110531"/>
    <x v="612"/>
    <x v="1"/>
    <x v="4"/>
    <x v="0"/>
    <x v="3"/>
    <n v="2"/>
    <n v="277150"/>
    <d v="2026-02-10T00:00:00"/>
    <n v="2"/>
    <n v="10"/>
    <n v="2026"/>
    <x v="4"/>
    <s v="Q1"/>
    <x v="0"/>
  </r>
  <r>
    <s v="O110600"/>
    <x v="544"/>
    <x v="0"/>
    <x v="6"/>
    <x v="1"/>
    <x v="0"/>
    <n v="9"/>
    <n v="277071"/>
    <d v="2026-06-10T00:00:00"/>
    <n v="6"/>
    <n v="10"/>
    <n v="2026"/>
    <x v="2"/>
    <s v="Q2"/>
    <x v="1"/>
  </r>
  <r>
    <s v="O110637"/>
    <x v="609"/>
    <x v="8"/>
    <x v="6"/>
    <x v="1"/>
    <x v="2"/>
    <n v="10"/>
    <n v="276973"/>
    <d v="2026-09-10T00:00:00"/>
    <n v="9"/>
    <n v="10"/>
    <n v="2026"/>
    <x v="1"/>
    <s v="Q3"/>
    <x v="1"/>
  </r>
  <r>
    <s v="O106019"/>
    <x v="775"/>
    <x v="2"/>
    <x v="6"/>
    <x v="4"/>
    <x v="1"/>
    <n v="9"/>
    <n v="276817"/>
    <d v="2026-01-01T00:00:00"/>
    <n v="1"/>
    <n v="1"/>
    <n v="2026"/>
    <x v="6"/>
    <s v="Q1"/>
    <x v="4"/>
  </r>
  <r>
    <s v="O101978"/>
    <x v="338"/>
    <x v="8"/>
    <x v="6"/>
    <x v="4"/>
    <x v="0"/>
    <n v="10"/>
    <n v="276815"/>
    <d v="2025-01-05T00:00:00"/>
    <n v="1"/>
    <n v="5"/>
    <n v="2025"/>
    <x v="6"/>
    <s v="Q1"/>
    <x v="4"/>
  </r>
  <r>
    <s v="O102074"/>
    <x v="406"/>
    <x v="10"/>
    <x v="5"/>
    <x v="4"/>
    <x v="3"/>
    <n v="3"/>
    <n v="276730"/>
    <d v="2025-06-05T00:00:00"/>
    <n v="6"/>
    <n v="5"/>
    <n v="2025"/>
    <x v="2"/>
    <s v="Q2"/>
    <x v="4"/>
  </r>
  <r>
    <s v="O108600"/>
    <x v="417"/>
    <x v="5"/>
    <x v="2"/>
    <x v="2"/>
    <x v="2"/>
    <n v="1"/>
    <n v="275786"/>
    <d v="2026-07-06T00:00:00"/>
    <n v="7"/>
    <n v="6"/>
    <n v="2026"/>
    <x v="10"/>
    <s v="Q3"/>
    <x v="2"/>
  </r>
  <r>
    <s v="O111220"/>
    <x v="476"/>
    <x v="3"/>
    <x v="6"/>
    <x v="4"/>
    <x v="3"/>
    <n v="9"/>
    <n v="275696"/>
    <d v="2026-11-13T00:00:00"/>
    <n v="11"/>
    <n v="13"/>
    <n v="2026"/>
    <x v="0"/>
    <s v="Q4"/>
    <x v="4"/>
  </r>
  <r>
    <s v="O102535"/>
    <x v="226"/>
    <x v="8"/>
    <x v="4"/>
    <x v="0"/>
    <x v="3"/>
    <n v="2"/>
    <n v="275452"/>
    <d v="2025-03-06T00:00:00"/>
    <n v="3"/>
    <n v="6"/>
    <n v="2025"/>
    <x v="5"/>
    <s v="Q1"/>
    <x v="0"/>
  </r>
  <r>
    <s v="O110272"/>
    <x v="255"/>
    <x v="10"/>
    <x v="6"/>
    <x v="0"/>
    <x v="3"/>
    <n v="9"/>
    <n v="275271"/>
    <d v="2026-09-17T00:00:00"/>
    <n v="9"/>
    <n v="17"/>
    <n v="2026"/>
    <x v="1"/>
    <s v="Q3"/>
    <x v="0"/>
  </r>
  <r>
    <s v="O101580"/>
    <x v="11"/>
    <x v="4"/>
    <x v="6"/>
    <x v="2"/>
    <x v="2"/>
    <n v="10"/>
    <n v="275176"/>
    <d v="2025-06-04T00:00:00"/>
    <n v="6"/>
    <n v="4"/>
    <n v="2025"/>
    <x v="2"/>
    <s v="Q2"/>
    <x v="2"/>
  </r>
  <r>
    <s v="O101158"/>
    <x v="475"/>
    <x v="8"/>
    <x v="5"/>
    <x v="2"/>
    <x v="1"/>
    <n v="3"/>
    <n v="274983"/>
    <d v="2025-12-03T00:00:00"/>
    <n v="12"/>
    <n v="3"/>
    <n v="2025"/>
    <x v="7"/>
    <s v="Q4"/>
    <x v="2"/>
  </r>
  <r>
    <s v="O102258"/>
    <x v="14"/>
    <x v="9"/>
    <x v="6"/>
    <x v="3"/>
    <x v="3"/>
    <n v="10"/>
    <n v="274569"/>
    <d v="2025-05-18T00:00:00"/>
    <n v="5"/>
    <n v="18"/>
    <n v="2025"/>
    <x v="3"/>
    <s v="Q2"/>
    <x v="3"/>
  </r>
  <r>
    <s v="O105481"/>
    <x v="788"/>
    <x v="8"/>
    <x v="5"/>
    <x v="4"/>
    <x v="0"/>
    <n v="2"/>
    <n v="274501"/>
    <d v="2025-11-29T00:00:00"/>
    <n v="11"/>
    <n v="29"/>
    <n v="2025"/>
    <x v="0"/>
    <s v="Q4"/>
    <x v="4"/>
  </r>
  <r>
    <s v="O101406"/>
    <x v="302"/>
    <x v="4"/>
    <x v="6"/>
    <x v="2"/>
    <x v="3"/>
    <n v="9"/>
    <n v="274495"/>
    <d v="2025-03-27T00:00:00"/>
    <n v="3"/>
    <n v="27"/>
    <n v="2025"/>
    <x v="5"/>
    <s v="Q1"/>
    <x v="2"/>
  </r>
  <r>
    <s v="O103493"/>
    <x v="344"/>
    <x v="9"/>
    <x v="5"/>
    <x v="3"/>
    <x v="3"/>
    <n v="3"/>
    <n v="274397"/>
    <d v="2025-01-08T00:00:00"/>
    <n v="1"/>
    <n v="8"/>
    <n v="2025"/>
    <x v="6"/>
    <s v="Q1"/>
    <x v="3"/>
  </r>
  <r>
    <s v="O101310"/>
    <x v="774"/>
    <x v="10"/>
    <x v="5"/>
    <x v="1"/>
    <x v="0"/>
    <n v="2"/>
    <n v="274303"/>
    <d v="2025-03-21T00:00:00"/>
    <n v="3"/>
    <n v="21"/>
    <n v="2025"/>
    <x v="5"/>
    <s v="Q1"/>
    <x v="1"/>
  </r>
  <r>
    <s v="O105026"/>
    <x v="340"/>
    <x v="2"/>
    <x v="6"/>
    <x v="2"/>
    <x v="0"/>
    <n v="10"/>
    <n v="274211"/>
    <d v="2025-02-11T00:00:00"/>
    <n v="2"/>
    <n v="11"/>
    <n v="2025"/>
    <x v="4"/>
    <s v="Q1"/>
    <x v="2"/>
  </r>
  <r>
    <s v="O106110"/>
    <x v="791"/>
    <x v="2"/>
    <x v="3"/>
    <x v="3"/>
    <x v="1"/>
    <n v="1"/>
    <n v="273959"/>
    <d v="2026-07-01T00:00:00"/>
    <n v="7"/>
    <n v="1"/>
    <n v="2026"/>
    <x v="10"/>
    <s v="Q3"/>
    <x v="3"/>
  </r>
  <r>
    <s v="O102893"/>
    <x v="96"/>
    <x v="1"/>
    <x v="4"/>
    <x v="0"/>
    <x v="2"/>
    <n v="2"/>
    <n v="273894"/>
    <d v="2025-06-25T00:00:00"/>
    <n v="6"/>
    <n v="25"/>
    <n v="2025"/>
    <x v="2"/>
    <s v="Q2"/>
    <x v="0"/>
  </r>
  <r>
    <s v="O110134"/>
    <x v="639"/>
    <x v="6"/>
    <x v="6"/>
    <x v="0"/>
    <x v="2"/>
    <n v="10"/>
    <n v="273710"/>
    <d v="2026-08-09T00:00:00"/>
    <n v="8"/>
    <n v="9"/>
    <n v="2026"/>
    <x v="8"/>
    <s v="Q3"/>
    <x v="0"/>
  </r>
  <r>
    <s v="O103040"/>
    <x v="674"/>
    <x v="8"/>
    <x v="6"/>
    <x v="4"/>
    <x v="1"/>
    <n v="9"/>
    <n v="273647"/>
    <d v="2025-04-07T00:00:00"/>
    <n v="4"/>
    <n v="7"/>
    <n v="2025"/>
    <x v="11"/>
    <s v="Q2"/>
    <x v="4"/>
  </r>
  <r>
    <s v="O101734"/>
    <x v="138"/>
    <x v="0"/>
    <x v="6"/>
    <x v="3"/>
    <x v="1"/>
    <n v="10"/>
    <n v="273555"/>
    <d v="2025-04-16T00:00:00"/>
    <n v="4"/>
    <n v="16"/>
    <n v="2025"/>
    <x v="11"/>
    <s v="Q2"/>
    <x v="3"/>
  </r>
  <r>
    <s v="O101198"/>
    <x v="222"/>
    <x v="0"/>
    <x v="3"/>
    <x v="0"/>
    <x v="2"/>
    <n v="1"/>
    <n v="273348"/>
    <d v="2025-03-14T00:00:00"/>
    <n v="3"/>
    <n v="14"/>
    <n v="2025"/>
    <x v="5"/>
    <s v="Q1"/>
    <x v="0"/>
  </r>
  <r>
    <s v="O109167"/>
    <x v="158"/>
    <x v="6"/>
    <x v="5"/>
    <x v="3"/>
    <x v="3"/>
    <n v="2"/>
    <n v="273233"/>
    <d v="2026-11-07T00:00:00"/>
    <n v="11"/>
    <n v="7"/>
    <n v="2026"/>
    <x v="0"/>
    <s v="Q4"/>
    <x v="3"/>
  </r>
  <r>
    <s v="O104695"/>
    <x v="62"/>
    <x v="3"/>
    <x v="6"/>
    <x v="3"/>
    <x v="3"/>
    <n v="10"/>
    <n v="273009"/>
    <d v="2025-10-13T00:00:00"/>
    <n v="10"/>
    <n v="13"/>
    <n v="2025"/>
    <x v="9"/>
    <s v="Q4"/>
    <x v="3"/>
  </r>
  <r>
    <s v="O107734"/>
    <x v="564"/>
    <x v="1"/>
    <x v="5"/>
    <x v="2"/>
    <x v="3"/>
    <n v="2"/>
    <n v="272718"/>
    <d v="2026-04-15T00:00:00"/>
    <n v="4"/>
    <n v="15"/>
    <n v="2026"/>
    <x v="11"/>
    <s v="Q2"/>
    <x v="2"/>
  </r>
  <r>
    <s v="O106910"/>
    <x v="545"/>
    <x v="6"/>
    <x v="6"/>
    <x v="2"/>
    <x v="3"/>
    <n v="10"/>
    <n v="272696"/>
    <d v="2026-02-24T00:00:00"/>
    <n v="2"/>
    <n v="24"/>
    <n v="2026"/>
    <x v="4"/>
    <s v="Q1"/>
    <x v="2"/>
  </r>
  <r>
    <s v="O108981"/>
    <x v="192"/>
    <x v="1"/>
    <x v="4"/>
    <x v="1"/>
    <x v="2"/>
    <n v="2"/>
    <n v="272633"/>
    <d v="2026-06-30T00:00:00"/>
    <n v="6"/>
    <n v="30"/>
    <n v="2026"/>
    <x v="2"/>
    <s v="Q2"/>
    <x v="1"/>
  </r>
  <r>
    <s v="O105501"/>
    <x v="153"/>
    <x v="8"/>
    <x v="6"/>
    <x v="1"/>
    <x v="0"/>
    <n v="9"/>
    <n v="272436"/>
    <d v="2025-01-12T00:00:00"/>
    <n v="1"/>
    <n v="12"/>
    <n v="2025"/>
    <x v="6"/>
    <s v="Q1"/>
    <x v="1"/>
  </r>
  <r>
    <s v="O104266"/>
    <x v="382"/>
    <x v="6"/>
    <x v="6"/>
    <x v="3"/>
    <x v="2"/>
    <n v="10"/>
    <n v="271903"/>
    <d v="2025-09-17T00:00:00"/>
    <n v="9"/>
    <n v="17"/>
    <n v="2025"/>
    <x v="1"/>
    <s v="Q3"/>
    <x v="3"/>
  </r>
  <r>
    <s v="O102473"/>
    <x v="577"/>
    <x v="8"/>
    <x v="5"/>
    <x v="1"/>
    <x v="3"/>
    <n v="2"/>
    <n v="271866"/>
    <d v="2025-05-31T00:00:00"/>
    <n v="5"/>
    <n v="31"/>
    <n v="2025"/>
    <x v="3"/>
    <s v="Q2"/>
    <x v="1"/>
  </r>
  <r>
    <s v="O108117"/>
    <x v="68"/>
    <x v="9"/>
    <x v="4"/>
    <x v="1"/>
    <x v="3"/>
    <n v="2"/>
    <n v="271824"/>
    <d v="2026-09-05T00:00:00"/>
    <n v="9"/>
    <n v="5"/>
    <n v="2026"/>
    <x v="1"/>
    <s v="Q3"/>
    <x v="1"/>
  </r>
  <r>
    <s v="O107917"/>
    <x v="717"/>
    <x v="10"/>
    <x v="2"/>
    <x v="3"/>
    <x v="1"/>
    <n v="1"/>
    <n v="271721"/>
    <d v="2026-04-26T00:00:00"/>
    <n v="4"/>
    <n v="26"/>
    <n v="2026"/>
    <x v="11"/>
    <s v="Q2"/>
    <x v="3"/>
  </r>
  <r>
    <s v="O100832"/>
    <x v="112"/>
    <x v="2"/>
    <x v="6"/>
    <x v="1"/>
    <x v="1"/>
    <n v="9"/>
    <n v="271174"/>
    <d v="2025-02-20T00:00:00"/>
    <n v="2"/>
    <n v="20"/>
    <n v="2025"/>
    <x v="4"/>
    <s v="Q1"/>
    <x v="1"/>
  </r>
  <r>
    <s v="O110455"/>
    <x v="28"/>
    <x v="4"/>
    <x v="5"/>
    <x v="4"/>
    <x v="2"/>
    <n v="3"/>
    <n v="271059"/>
    <d v="2026-09-28T00:00:00"/>
    <n v="9"/>
    <n v="28"/>
    <n v="2026"/>
    <x v="1"/>
    <s v="Q3"/>
    <x v="4"/>
  </r>
  <r>
    <s v="O108898"/>
    <x v="111"/>
    <x v="10"/>
    <x v="2"/>
    <x v="2"/>
    <x v="0"/>
    <n v="1"/>
    <n v="271024"/>
    <d v="2026-06-25T00:00:00"/>
    <n v="6"/>
    <n v="25"/>
    <n v="2026"/>
    <x v="2"/>
    <s v="Q2"/>
    <x v="2"/>
  </r>
  <r>
    <s v="O105406"/>
    <x v="476"/>
    <x v="2"/>
    <x v="5"/>
    <x v="0"/>
    <x v="3"/>
    <n v="3"/>
    <n v="270879"/>
    <d v="2025-11-25T00:00:00"/>
    <n v="11"/>
    <n v="25"/>
    <n v="2025"/>
    <x v="0"/>
    <s v="Q4"/>
    <x v="0"/>
  </r>
  <r>
    <s v="O105067"/>
    <x v="301"/>
    <x v="5"/>
    <x v="6"/>
    <x v="2"/>
    <x v="2"/>
    <n v="10"/>
    <n v="270779"/>
    <d v="2025-04-11T00:00:00"/>
    <n v="4"/>
    <n v="11"/>
    <n v="2025"/>
    <x v="11"/>
    <s v="Q2"/>
    <x v="2"/>
  </r>
  <r>
    <s v="O103323"/>
    <x v="204"/>
    <x v="0"/>
    <x v="4"/>
    <x v="3"/>
    <x v="2"/>
    <n v="2"/>
    <n v="270581"/>
    <d v="2025-07-21T00:00:00"/>
    <n v="7"/>
    <n v="21"/>
    <n v="2025"/>
    <x v="10"/>
    <s v="Q3"/>
    <x v="3"/>
  </r>
  <r>
    <s v="O111279"/>
    <x v="391"/>
    <x v="6"/>
    <x v="5"/>
    <x v="2"/>
    <x v="0"/>
    <n v="2"/>
    <n v="270525"/>
    <d v="2026-11-17T00:00:00"/>
    <n v="11"/>
    <n v="17"/>
    <n v="2026"/>
    <x v="0"/>
    <s v="Q4"/>
    <x v="2"/>
  </r>
  <r>
    <s v="O106288"/>
    <x v="397"/>
    <x v="4"/>
    <x v="6"/>
    <x v="4"/>
    <x v="2"/>
    <n v="9"/>
    <n v="270327"/>
    <d v="2026-01-17T00:00:00"/>
    <n v="1"/>
    <n v="17"/>
    <n v="2026"/>
    <x v="6"/>
    <s v="Q1"/>
    <x v="4"/>
  </r>
  <r>
    <s v="O105265"/>
    <x v="644"/>
    <x v="0"/>
    <x v="3"/>
    <x v="2"/>
    <x v="1"/>
    <n v="1"/>
    <n v="270308"/>
    <d v="2025-11-16T00:00:00"/>
    <n v="11"/>
    <n v="16"/>
    <n v="2025"/>
    <x v="0"/>
    <s v="Q4"/>
    <x v="2"/>
  </r>
  <r>
    <s v="O107034"/>
    <x v="576"/>
    <x v="0"/>
    <x v="2"/>
    <x v="2"/>
    <x v="3"/>
    <n v="1"/>
    <n v="270214"/>
    <d v="2026-04-03T00:00:00"/>
    <n v="4"/>
    <n v="3"/>
    <n v="2026"/>
    <x v="11"/>
    <s v="Q2"/>
    <x v="2"/>
  </r>
  <r>
    <s v="O104981"/>
    <x v="56"/>
    <x v="10"/>
    <x v="3"/>
    <x v="2"/>
    <x v="1"/>
    <n v="1"/>
    <n v="270178"/>
    <d v="2025-10-30T00:00:00"/>
    <n v="10"/>
    <n v="30"/>
    <n v="2025"/>
    <x v="9"/>
    <s v="Q4"/>
    <x v="2"/>
  </r>
  <r>
    <s v="O108803"/>
    <x v="515"/>
    <x v="2"/>
    <x v="6"/>
    <x v="3"/>
    <x v="2"/>
    <n v="9"/>
    <n v="270125"/>
    <d v="2026-06-19T00:00:00"/>
    <n v="6"/>
    <n v="19"/>
    <n v="2026"/>
    <x v="2"/>
    <s v="Q2"/>
    <x v="3"/>
  </r>
  <r>
    <s v="O109496"/>
    <x v="408"/>
    <x v="6"/>
    <x v="6"/>
    <x v="4"/>
    <x v="0"/>
    <n v="10"/>
    <n v="270037"/>
    <d v="2026-07-31T00:00:00"/>
    <n v="7"/>
    <n v="31"/>
    <n v="2026"/>
    <x v="10"/>
    <s v="Q3"/>
    <x v="4"/>
  </r>
  <r>
    <s v="O111376"/>
    <x v="179"/>
    <x v="10"/>
    <x v="6"/>
    <x v="3"/>
    <x v="3"/>
    <n v="9"/>
    <n v="269922"/>
    <d v="2026-11-23T00:00:00"/>
    <n v="11"/>
    <n v="23"/>
    <n v="2026"/>
    <x v="0"/>
    <s v="Q4"/>
    <x v="3"/>
  </r>
  <r>
    <s v="O105063"/>
    <x v="531"/>
    <x v="2"/>
    <x v="6"/>
    <x v="0"/>
    <x v="2"/>
    <n v="9"/>
    <n v="269406"/>
    <d v="2025-04-11T00:00:00"/>
    <n v="4"/>
    <n v="11"/>
    <n v="2025"/>
    <x v="11"/>
    <s v="Q2"/>
    <x v="0"/>
  </r>
  <r>
    <s v="O110241"/>
    <x v="554"/>
    <x v="10"/>
    <x v="6"/>
    <x v="1"/>
    <x v="0"/>
    <n v="10"/>
    <n v="269220"/>
    <d v="2026-09-15T00:00:00"/>
    <n v="9"/>
    <n v="15"/>
    <n v="2026"/>
    <x v="1"/>
    <s v="Q3"/>
    <x v="1"/>
  </r>
  <r>
    <s v="O101275"/>
    <x v="0"/>
    <x v="1"/>
    <x v="6"/>
    <x v="4"/>
    <x v="2"/>
    <n v="10"/>
    <n v="268385"/>
    <d v="2025-03-19T00:00:00"/>
    <n v="3"/>
    <n v="19"/>
    <n v="2025"/>
    <x v="5"/>
    <s v="Q1"/>
    <x v="4"/>
  </r>
  <r>
    <s v="O103591"/>
    <x v="37"/>
    <x v="9"/>
    <x v="3"/>
    <x v="1"/>
    <x v="2"/>
    <n v="1"/>
    <n v="268304"/>
    <d v="2025-07-08T00:00:00"/>
    <n v="7"/>
    <n v="8"/>
    <n v="2025"/>
    <x v="10"/>
    <s v="Q3"/>
    <x v="1"/>
  </r>
  <r>
    <s v="O103814"/>
    <x v="353"/>
    <x v="4"/>
    <x v="2"/>
    <x v="2"/>
    <x v="3"/>
    <n v="1"/>
    <n v="268145"/>
    <d v="2025-08-20T00:00:00"/>
    <n v="8"/>
    <n v="20"/>
    <n v="2025"/>
    <x v="8"/>
    <s v="Q3"/>
    <x v="2"/>
  </r>
  <r>
    <s v="O109763"/>
    <x v="168"/>
    <x v="5"/>
    <x v="3"/>
    <x v="0"/>
    <x v="3"/>
    <n v="1"/>
    <n v="268053"/>
    <d v="2026-08-17T00:00:00"/>
    <n v="8"/>
    <n v="17"/>
    <n v="2026"/>
    <x v="8"/>
    <s v="Q3"/>
    <x v="0"/>
  </r>
  <r>
    <s v="O100526"/>
    <x v="653"/>
    <x v="10"/>
    <x v="6"/>
    <x v="2"/>
    <x v="2"/>
    <n v="9"/>
    <n v="268014"/>
    <d v="2025-01-02T00:00:00"/>
    <n v="1"/>
    <n v="2"/>
    <n v="2025"/>
    <x v="6"/>
    <s v="Q1"/>
    <x v="2"/>
  </r>
  <r>
    <s v="O100918"/>
    <x v="499"/>
    <x v="5"/>
    <x v="3"/>
    <x v="7"/>
    <x v="2"/>
    <n v="1"/>
    <n v="267808"/>
    <d v="2025-02-25T00:00:00"/>
    <n v="2"/>
    <n v="25"/>
    <n v="2025"/>
    <x v="4"/>
    <s v="Q1"/>
    <x v="3"/>
  </r>
  <r>
    <s v="O109361"/>
    <x v="463"/>
    <x v="1"/>
    <x v="6"/>
    <x v="2"/>
    <x v="2"/>
    <n v="9"/>
    <n v="267727"/>
    <d v="2026-07-23T00:00:00"/>
    <n v="7"/>
    <n v="23"/>
    <n v="2026"/>
    <x v="10"/>
    <s v="Q3"/>
    <x v="2"/>
  </r>
  <r>
    <s v="O108871"/>
    <x v="213"/>
    <x v="1"/>
    <x v="3"/>
    <x v="0"/>
    <x v="3"/>
    <n v="1"/>
    <n v="267359"/>
    <d v="2026-06-23T00:00:00"/>
    <n v="6"/>
    <n v="23"/>
    <n v="2026"/>
    <x v="2"/>
    <m/>
    <x v="0"/>
  </r>
  <r>
    <s v="O105615"/>
    <x v="263"/>
    <x v="3"/>
    <x v="6"/>
    <x v="4"/>
    <x v="3"/>
    <n v="10"/>
    <n v="267348"/>
    <d v="2025-08-12T00:00:00"/>
    <n v="8"/>
    <n v="12"/>
    <n v="2025"/>
    <x v="8"/>
    <s v="Q3"/>
    <x v="4"/>
  </r>
  <r>
    <s v="O102779"/>
    <x v="516"/>
    <x v="5"/>
    <x v="6"/>
    <x v="3"/>
    <x v="0"/>
    <n v="9"/>
    <n v="267286"/>
    <d v="2025-06-18T00:00:00"/>
    <n v="6"/>
    <n v="18"/>
    <n v="2025"/>
    <x v="2"/>
    <s v="Q2"/>
    <x v="3"/>
  </r>
  <r>
    <s v="O108642"/>
    <x v="393"/>
    <x v="1"/>
    <x v="6"/>
    <x v="3"/>
    <x v="2"/>
    <n v="9"/>
    <n v="267260"/>
    <d v="2026-09-06T00:00:00"/>
    <n v="9"/>
    <n v="6"/>
    <n v="2026"/>
    <x v="1"/>
    <s v="Q3"/>
    <x v="3"/>
  </r>
  <r>
    <s v="O107093"/>
    <x v="11"/>
    <x v="8"/>
    <x v="2"/>
    <x v="4"/>
    <x v="0"/>
    <n v="1"/>
    <n v="266855"/>
    <d v="2026-07-03T00:00:00"/>
    <n v="7"/>
    <n v="3"/>
    <n v="2026"/>
    <x v="10"/>
    <s v="Q3"/>
    <x v="4"/>
  </r>
  <r>
    <s v="O104814"/>
    <x v="579"/>
    <x v="5"/>
    <x v="6"/>
    <x v="1"/>
    <x v="0"/>
    <n v="10"/>
    <n v="266641"/>
    <d v="2025-10-20T00:00:00"/>
    <n v="10"/>
    <n v="20"/>
    <n v="2025"/>
    <x v="9"/>
    <s v="Q4"/>
    <x v="1"/>
  </r>
  <r>
    <s v="O107340"/>
    <x v="56"/>
    <x v="4"/>
    <x v="6"/>
    <x v="4"/>
    <x v="0"/>
    <n v="9"/>
    <n v="266615"/>
    <d v="2026-03-22T00:00:00"/>
    <n v="3"/>
    <n v="22"/>
    <n v="2026"/>
    <x v="5"/>
    <s v="Q1"/>
    <x v="4"/>
  </r>
  <r>
    <s v="O101205"/>
    <x v="755"/>
    <x v="0"/>
    <x v="6"/>
    <x v="0"/>
    <x v="1"/>
    <n v="10"/>
    <n v="266122"/>
    <d v="2025-03-15T00:00:00"/>
    <n v="3"/>
    <n v="15"/>
    <n v="2025"/>
    <x v="5"/>
    <s v="Q1"/>
    <x v="0"/>
  </r>
  <r>
    <s v="O111823"/>
    <x v="688"/>
    <x v="10"/>
    <x v="6"/>
    <x v="1"/>
    <x v="0"/>
    <n v="9"/>
    <n v="265786"/>
    <d v="2026-12-20T00:00:00"/>
    <n v="12"/>
    <n v="20"/>
    <n v="2026"/>
    <x v="7"/>
    <s v="Q4"/>
    <x v="1"/>
  </r>
  <r>
    <s v="O108020"/>
    <x v="767"/>
    <x v="6"/>
    <x v="5"/>
    <x v="1"/>
    <x v="0"/>
    <n v="2"/>
    <n v="265742"/>
    <d v="2026-03-05T00:00:00"/>
    <n v="3"/>
    <n v="5"/>
    <n v="2026"/>
    <x v="5"/>
    <s v="Q1"/>
    <x v="1"/>
  </r>
  <r>
    <s v="O105915"/>
    <x v="261"/>
    <x v="3"/>
    <x v="6"/>
    <x v="3"/>
    <x v="3"/>
    <n v="9"/>
    <n v="265701"/>
    <d v="2025-12-26T00:00:00"/>
    <n v="12"/>
    <n v="26"/>
    <n v="2025"/>
    <x v="7"/>
    <s v="Q4"/>
    <x v="3"/>
  </r>
  <r>
    <s v="O108336"/>
    <x v="192"/>
    <x v="9"/>
    <x v="6"/>
    <x v="4"/>
    <x v="1"/>
    <n v="9"/>
    <n v="265157"/>
    <d v="2026-05-22T00:00:00"/>
    <n v="5"/>
    <n v="22"/>
    <n v="2026"/>
    <x v="3"/>
    <s v="Q2"/>
    <x v="4"/>
  </r>
  <r>
    <s v="O110625"/>
    <x v="349"/>
    <x v="9"/>
    <x v="3"/>
    <x v="1"/>
    <x v="3"/>
    <n v="1"/>
    <n v="264714"/>
    <d v="2026-08-10T00:00:00"/>
    <n v="8"/>
    <n v="10"/>
    <n v="2026"/>
    <x v="8"/>
    <s v="Q3"/>
    <x v="1"/>
  </r>
  <r>
    <s v="O110829"/>
    <x v="265"/>
    <x v="2"/>
    <x v="5"/>
    <x v="2"/>
    <x v="0"/>
    <n v="2"/>
    <n v="264420"/>
    <d v="2026-10-20T00:00:00"/>
    <n v="10"/>
    <n v="20"/>
    <n v="2026"/>
    <x v="9"/>
    <s v="Q4"/>
    <x v="2"/>
  </r>
  <r>
    <s v="O104717"/>
    <x v="236"/>
    <x v="3"/>
    <x v="2"/>
    <x v="2"/>
    <x v="0"/>
    <n v="1"/>
    <n v="264110"/>
    <d v="2025-10-14T00:00:00"/>
    <n v="10"/>
    <n v="14"/>
    <n v="2025"/>
    <x v="9"/>
    <s v="Q4"/>
    <x v="2"/>
  </r>
  <r>
    <s v="O109898"/>
    <x v="209"/>
    <x v="6"/>
    <x v="2"/>
    <x v="1"/>
    <x v="1"/>
    <n v="1"/>
    <n v="264051"/>
    <d v="2026-08-25T00:00:00"/>
    <n v="8"/>
    <n v="25"/>
    <n v="2026"/>
    <x v="8"/>
    <s v="Q3"/>
    <x v="1"/>
  </r>
  <r>
    <s v="O110849"/>
    <x v="481"/>
    <x v="8"/>
    <x v="3"/>
    <x v="2"/>
    <x v="3"/>
    <n v="1"/>
    <n v="263693"/>
    <d v="2026-10-22T00:00:00"/>
    <n v="10"/>
    <n v="22"/>
    <n v="2026"/>
    <x v="9"/>
    <s v="Q4"/>
    <x v="2"/>
  </r>
  <r>
    <s v="O108849"/>
    <x v="39"/>
    <x v="6"/>
    <x v="6"/>
    <x v="3"/>
    <x v="2"/>
    <n v="10"/>
    <n v="263555"/>
    <d v="2026-06-22T00:00:00"/>
    <n v="6"/>
    <n v="22"/>
    <n v="2026"/>
    <x v="2"/>
    <s v="Q2"/>
    <x v="3"/>
  </r>
  <r>
    <s v="O101570"/>
    <x v="570"/>
    <x v="3"/>
    <x v="6"/>
    <x v="2"/>
    <x v="4"/>
    <n v="9"/>
    <n v="263475"/>
    <d v="2025-06-04T00:00:00"/>
    <n v="6"/>
    <n v="4"/>
    <n v="2025"/>
    <x v="2"/>
    <s v="Q2"/>
    <x v="2"/>
  </r>
  <r>
    <s v="O107560"/>
    <x v="531"/>
    <x v="6"/>
    <x v="5"/>
    <x v="0"/>
    <x v="3"/>
    <n v="2"/>
    <n v="263233"/>
    <d v="2026-05-04T00:00:00"/>
    <n v="5"/>
    <n v="4"/>
    <n v="2026"/>
    <x v="3"/>
    <s v="Q2"/>
    <x v="0"/>
  </r>
  <r>
    <s v="O102694"/>
    <x v="750"/>
    <x v="4"/>
    <x v="6"/>
    <x v="0"/>
    <x v="3"/>
    <n v="10"/>
    <n v="263211"/>
    <d v="2025-06-13T00:00:00"/>
    <n v="6"/>
    <n v="13"/>
    <n v="2025"/>
    <x v="2"/>
    <s v="Q2"/>
    <x v="0"/>
  </r>
  <r>
    <s v="O105127"/>
    <x v="403"/>
    <x v="5"/>
    <x v="6"/>
    <x v="2"/>
    <x v="0"/>
    <n v="9"/>
    <n v="263190"/>
    <d v="2025-08-11T00:00:00"/>
    <n v="8"/>
    <n v="11"/>
    <n v="2025"/>
    <x v="8"/>
    <s v="Q3"/>
    <x v="2"/>
  </r>
  <r>
    <s v="O106623"/>
    <x v="338"/>
    <x v="2"/>
    <x v="6"/>
    <x v="0"/>
    <x v="0"/>
    <n v="10"/>
    <n v="263046"/>
    <d v="2026-07-02T00:00:00"/>
    <n v="7"/>
    <n v="2"/>
    <n v="2026"/>
    <x v="10"/>
    <s v="Q3"/>
    <x v="0"/>
  </r>
  <r>
    <s v="O110188"/>
    <x v="182"/>
    <x v="9"/>
    <x v="5"/>
    <x v="4"/>
    <x v="2"/>
    <n v="2"/>
    <n v="263019"/>
    <d v="2026-11-09T00:00:00"/>
    <n v="11"/>
    <n v="9"/>
    <n v="2026"/>
    <x v="0"/>
    <s v="Q4"/>
    <x v="4"/>
  </r>
  <r>
    <s v="O101592"/>
    <x v="352"/>
    <x v="6"/>
    <x v="3"/>
    <x v="0"/>
    <x v="2"/>
    <n v="1"/>
    <n v="262884"/>
    <d v="2025-07-04T00:00:00"/>
    <n v="7"/>
    <n v="4"/>
    <n v="2025"/>
    <x v="10"/>
    <s v="Q3"/>
    <x v="0"/>
  </r>
  <r>
    <s v="O111217"/>
    <x v="678"/>
    <x v="3"/>
    <x v="6"/>
    <x v="0"/>
    <x v="0"/>
    <n v="10"/>
    <n v="262813"/>
    <d v="2026-11-13T00:00:00"/>
    <n v="11"/>
    <n v="13"/>
    <n v="2026"/>
    <x v="0"/>
    <s v="Q4"/>
    <x v="0"/>
  </r>
  <r>
    <s v="O106822"/>
    <x v="199"/>
    <x v="10"/>
    <x v="6"/>
    <x v="3"/>
    <x v="3"/>
    <n v="9"/>
    <n v="262738"/>
    <d v="2026-02-19T00:00:00"/>
    <n v="2"/>
    <n v="19"/>
    <n v="2026"/>
    <x v="4"/>
    <s v="Q1"/>
    <x v="3"/>
  </r>
  <r>
    <s v="O100211"/>
    <x v="339"/>
    <x v="0"/>
    <x v="6"/>
    <x v="0"/>
    <x v="0"/>
    <n v="10"/>
    <n v="262491"/>
    <d v="2025-01-13T00:00:00"/>
    <n v="1"/>
    <n v="13"/>
    <n v="2025"/>
    <x v="6"/>
    <s v="Q1"/>
    <x v="0"/>
  </r>
  <r>
    <s v="O102028"/>
    <x v="479"/>
    <x v="0"/>
    <x v="3"/>
    <x v="0"/>
    <x v="3"/>
    <n v="1"/>
    <n v="261981"/>
    <d v="2025-04-05T00:00:00"/>
    <n v="4"/>
    <n v="5"/>
    <n v="2025"/>
    <x v="11"/>
    <s v="Q2"/>
    <x v="0"/>
  </r>
  <r>
    <s v="O100296"/>
    <x v="395"/>
    <x v="8"/>
    <x v="6"/>
    <x v="0"/>
    <x v="0"/>
    <n v="9"/>
    <n v="261948"/>
    <d v="2025-01-18T00:00:00"/>
    <n v="1"/>
    <n v="18"/>
    <n v="2025"/>
    <x v="6"/>
    <s v="Q1"/>
    <x v="0"/>
  </r>
  <r>
    <s v="O100480"/>
    <x v="583"/>
    <x v="5"/>
    <x v="6"/>
    <x v="3"/>
    <x v="3"/>
    <n v="10"/>
    <n v="261814"/>
    <d v="2025-01-30T00:00:00"/>
    <n v="1"/>
    <n v="30"/>
    <n v="2025"/>
    <x v="6"/>
    <s v="Q1"/>
    <x v="3"/>
  </r>
  <r>
    <s v="O102649"/>
    <x v="355"/>
    <x v="9"/>
    <x v="6"/>
    <x v="3"/>
    <x v="2"/>
    <n v="9"/>
    <n v="261795"/>
    <d v="2025-10-06T00:00:00"/>
    <n v="10"/>
    <n v="6"/>
    <n v="2025"/>
    <x v="9"/>
    <s v="Q4"/>
    <x v="3"/>
  </r>
  <r>
    <s v="O107104"/>
    <x v="770"/>
    <x v="8"/>
    <x v="2"/>
    <x v="0"/>
    <x v="2"/>
    <n v="1"/>
    <n v="261789"/>
    <d v="2026-08-03T00:00:00"/>
    <n v="8"/>
    <n v="3"/>
    <n v="2026"/>
    <x v="8"/>
    <s v="Q3"/>
    <x v="0"/>
  </r>
  <r>
    <s v="O103765"/>
    <x v="599"/>
    <x v="10"/>
    <x v="6"/>
    <x v="3"/>
    <x v="2"/>
    <n v="10"/>
    <n v="261129"/>
    <d v="2025-08-17T00:00:00"/>
    <n v="8"/>
    <n v="17"/>
    <n v="2025"/>
    <x v="8"/>
    <s v="Q3"/>
    <x v="3"/>
  </r>
  <r>
    <s v="O104462"/>
    <x v="0"/>
    <x v="2"/>
    <x v="6"/>
    <x v="1"/>
    <x v="0"/>
    <n v="9"/>
    <n v="261090"/>
    <d v="2025-09-29T00:00:00"/>
    <n v="9"/>
    <n v="29"/>
    <n v="2025"/>
    <x v="1"/>
    <s v="Q3"/>
    <x v="1"/>
  </r>
  <r>
    <s v="O107021"/>
    <x v="687"/>
    <x v="4"/>
    <x v="6"/>
    <x v="1"/>
    <x v="2"/>
    <n v="10"/>
    <n v="261083"/>
    <d v="2026-03-03T00:00:00"/>
    <n v="3"/>
    <n v="3"/>
    <n v="2026"/>
    <x v="5"/>
    <s v="Q1"/>
    <x v="1"/>
  </r>
  <r>
    <s v="O111639"/>
    <x v="646"/>
    <x v="3"/>
    <x v="6"/>
    <x v="2"/>
    <x v="0"/>
    <n v="9"/>
    <n v="260999"/>
    <d v="2026-09-12T00:00:00"/>
    <n v="9"/>
    <n v="12"/>
    <n v="2026"/>
    <x v="1"/>
    <s v="Q3"/>
    <x v="2"/>
  </r>
  <r>
    <s v="O110536"/>
    <x v="213"/>
    <x v="6"/>
    <x v="6"/>
    <x v="0"/>
    <x v="3"/>
    <n v="9"/>
    <n v="260763"/>
    <d v="2026-03-10T00:00:00"/>
    <n v="3"/>
    <n v="10"/>
    <n v="2026"/>
    <x v="5"/>
    <m/>
    <x v="0"/>
  </r>
  <r>
    <s v="O101313"/>
    <x v="427"/>
    <x v="9"/>
    <x v="6"/>
    <x v="0"/>
    <x v="1"/>
    <n v="9"/>
    <n v="260666"/>
    <d v="2025-03-21T00:00:00"/>
    <n v="3"/>
    <n v="21"/>
    <n v="2025"/>
    <x v="5"/>
    <s v="Q1"/>
    <x v="0"/>
  </r>
  <r>
    <s v="O100721"/>
    <x v="714"/>
    <x v="6"/>
    <x v="3"/>
    <x v="0"/>
    <x v="2"/>
    <n v="1"/>
    <n v="260221"/>
    <d v="2025-02-13T00:00:00"/>
    <n v="2"/>
    <n v="13"/>
    <n v="2025"/>
    <x v="4"/>
    <s v="Q1"/>
    <x v="0"/>
  </r>
  <r>
    <s v="O104630"/>
    <x v="569"/>
    <x v="6"/>
    <x v="6"/>
    <x v="4"/>
    <x v="1"/>
    <n v="9"/>
    <n v="260053"/>
    <d v="2025-09-10T00:00:00"/>
    <n v="9"/>
    <n v="10"/>
    <n v="2025"/>
    <x v="1"/>
    <s v="Q3"/>
    <x v="4"/>
  </r>
  <r>
    <s v="O102222"/>
    <x v="673"/>
    <x v="0"/>
    <x v="6"/>
    <x v="1"/>
    <x v="2"/>
    <n v="9"/>
    <n v="259921"/>
    <d v="2025-05-15T00:00:00"/>
    <n v="5"/>
    <n v="15"/>
    <n v="2025"/>
    <x v="3"/>
    <s v="Q2"/>
    <x v="1"/>
  </r>
  <r>
    <s v="O104124"/>
    <x v="239"/>
    <x v="4"/>
    <x v="5"/>
    <x v="4"/>
    <x v="1"/>
    <n v="2"/>
    <n v="259736"/>
    <d v="2025-08-09T00:00:00"/>
    <n v="8"/>
    <n v="9"/>
    <n v="2025"/>
    <x v="8"/>
    <s v="Q3"/>
    <x v="4"/>
  </r>
  <r>
    <s v="O101741"/>
    <x v="208"/>
    <x v="1"/>
    <x v="5"/>
    <x v="4"/>
    <x v="2"/>
    <n v="2"/>
    <n v="259454"/>
    <d v="2025-04-16T00:00:00"/>
    <n v="4"/>
    <n v="16"/>
    <n v="2025"/>
    <x v="11"/>
    <s v="Q2"/>
    <x v="4"/>
  </r>
  <r>
    <s v="O100750"/>
    <x v="202"/>
    <x v="1"/>
    <x v="2"/>
    <x v="4"/>
    <x v="0"/>
    <n v="1"/>
    <n v="259404"/>
    <d v="2025-02-15T00:00:00"/>
    <n v="2"/>
    <n v="15"/>
    <n v="2025"/>
    <x v="4"/>
    <s v="Q1"/>
    <x v="4"/>
  </r>
  <r>
    <s v="O101692"/>
    <x v="725"/>
    <x v="10"/>
    <x v="6"/>
    <x v="3"/>
    <x v="0"/>
    <n v="9"/>
    <n v="259329"/>
    <d v="2025-04-13T00:00:00"/>
    <n v="4"/>
    <n v="13"/>
    <n v="2025"/>
    <x v="11"/>
    <m/>
    <x v="3"/>
  </r>
  <r>
    <s v="O104302"/>
    <x v="770"/>
    <x v="2"/>
    <x v="3"/>
    <x v="3"/>
    <x v="1"/>
    <n v="1"/>
    <n v="259266"/>
    <d v="2025-09-19T00:00:00"/>
    <n v="9"/>
    <n v="19"/>
    <n v="2025"/>
    <x v="1"/>
    <s v="Q3"/>
    <x v="3"/>
  </r>
  <r>
    <s v="O109511"/>
    <x v="612"/>
    <x v="9"/>
    <x v="6"/>
    <x v="3"/>
    <x v="0"/>
    <n v="9"/>
    <n v="259265"/>
    <d v="2026-01-08T00:00:00"/>
    <n v="1"/>
    <n v="8"/>
    <n v="2026"/>
    <x v="6"/>
    <s v="Q1"/>
    <x v="3"/>
  </r>
  <r>
    <s v="O108837"/>
    <x v="720"/>
    <x v="2"/>
    <x v="6"/>
    <x v="0"/>
    <x v="3"/>
    <n v="9"/>
    <n v="259114"/>
    <d v="2026-06-21T00:00:00"/>
    <n v="6"/>
    <n v="21"/>
    <n v="2026"/>
    <x v="2"/>
    <s v="Q2"/>
    <x v="0"/>
  </r>
  <r>
    <s v="O108962"/>
    <x v="154"/>
    <x v="2"/>
    <x v="6"/>
    <x v="2"/>
    <x v="2"/>
    <n v="9"/>
    <n v="258930"/>
    <d v="2026-06-29T00:00:00"/>
    <n v="6"/>
    <n v="29"/>
    <n v="2026"/>
    <x v="2"/>
    <s v="Q2"/>
    <x v="2"/>
  </r>
  <r>
    <s v="O102334"/>
    <x v="347"/>
    <x v="6"/>
    <x v="2"/>
    <x v="4"/>
    <x v="0"/>
    <n v="1"/>
    <n v="258813"/>
    <d v="2025-05-22T00:00:00"/>
    <n v="5"/>
    <n v="22"/>
    <n v="2025"/>
    <x v="3"/>
    <s v="Q2"/>
    <x v="4"/>
  </r>
  <r>
    <s v="O106369"/>
    <x v="60"/>
    <x v="5"/>
    <x v="6"/>
    <x v="1"/>
    <x v="1"/>
    <n v="10"/>
    <n v="258165"/>
    <d v="2026-01-22T00:00:00"/>
    <n v="1"/>
    <n v="22"/>
    <n v="2026"/>
    <x v="6"/>
    <s v="Q1"/>
    <x v="1"/>
  </r>
  <r>
    <s v="O111699"/>
    <x v="13"/>
    <x v="2"/>
    <x v="5"/>
    <x v="4"/>
    <x v="0"/>
    <n v="2"/>
    <n v="258085"/>
    <d v="2026-12-12T00:00:00"/>
    <n v="12"/>
    <n v="12"/>
    <n v="2026"/>
    <x v="7"/>
    <s v="Q4"/>
    <x v="4"/>
  </r>
  <r>
    <s v="O105002"/>
    <x v="664"/>
    <x v="0"/>
    <x v="6"/>
    <x v="1"/>
    <x v="2"/>
    <n v="9"/>
    <n v="258025"/>
    <d v="2025-10-31T00:00:00"/>
    <n v="10"/>
    <n v="31"/>
    <n v="2025"/>
    <x v="9"/>
    <s v="Q4"/>
    <x v="1"/>
  </r>
  <r>
    <s v="O111944"/>
    <x v="299"/>
    <x v="3"/>
    <x v="5"/>
    <x v="0"/>
    <x v="0"/>
    <n v="2"/>
    <n v="257943"/>
    <d v="2026-12-27T00:00:00"/>
    <n v="12"/>
    <n v="27"/>
    <n v="2026"/>
    <x v="7"/>
    <s v="Q4"/>
    <x v="0"/>
  </r>
  <r>
    <s v="O111020"/>
    <x v="652"/>
    <x v="4"/>
    <x v="3"/>
    <x v="3"/>
    <x v="0"/>
    <n v="1"/>
    <n v="257910"/>
    <d v="2026-01-11T00:00:00"/>
    <n v="1"/>
    <n v="11"/>
    <n v="2026"/>
    <x v="6"/>
    <s v="Q1"/>
    <x v="3"/>
  </r>
  <r>
    <s v="O103324"/>
    <x v="117"/>
    <x v="2"/>
    <x v="2"/>
    <x v="3"/>
    <x v="1"/>
    <n v="1"/>
    <n v="257759"/>
    <d v="2025-07-21T00:00:00"/>
    <n v="7"/>
    <n v="21"/>
    <n v="2025"/>
    <x v="10"/>
    <s v="Q3"/>
    <x v="3"/>
  </r>
  <r>
    <s v="O106382"/>
    <x v="583"/>
    <x v="3"/>
    <x v="6"/>
    <x v="2"/>
    <x v="1"/>
    <n v="10"/>
    <n v="257372"/>
    <d v="2026-01-23T00:00:00"/>
    <n v="1"/>
    <n v="23"/>
    <n v="2026"/>
    <x v="6"/>
    <s v="Q1"/>
    <x v="2"/>
  </r>
  <r>
    <s v="O105141"/>
    <x v="511"/>
    <x v="1"/>
    <x v="2"/>
    <x v="0"/>
    <x v="0"/>
    <n v="1"/>
    <n v="257368"/>
    <d v="2025-09-11T00:00:00"/>
    <n v="9"/>
    <n v="11"/>
    <n v="2025"/>
    <x v="1"/>
    <s v="Q3"/>
    <x v="0"/>
  </r>
  <r>
    <s v="O111505"/>
    <x v="44"/>
    <x v="8"/>
    <x v="6"/>
    <x v="2"/>
    <x v="3"/>
    <n v="9"/>
    <n v="257173"/>
    <d v="2026-11-30T00:00:00"/>
    <n v="11"/>
    <n v="30"/>
    <n v="2026"/>
    <x v="0"/>
    <s v="Q4"/>
    <x v="2"/>
  </r>
  <r>
    <s v="O102445"/>
    <x v="180"/>
    <x v="6"/>
    <x v="6"/>
    <x v="2"/>
    <x v="1"/>
    <n v="10"/>
    <n v="256922"/>
    <d v="2025-05-29T00:00:00"/>
    <n v="5"/>
    <n v="29"/>
    <n v="2025"/>
    <x v="3"/>
    <s v="Q2"/>
    <x v="2"/>
  </r>
  <r>
    <s v="O108835"/>
    <x v="441"/>
    <x v="5"/>
    <x v="3"/>
    <x v="1"/>
    <x v="1"/>
    <n v="1"/>
    <n v="256735"/>
    <d v="2026-06-21T00:00:00"/>
    <n v="6"/>
    <n v="21"/>
    <n v="2026"/>
    <x v="2"/>
    <s v="Q2"/>
    <x v="1"/>
  </r>
  <r>
    <s v="O102518"/>
    <x v="281"/>
    <x v="6"/>
    <x v="6"/>
    <x v="0"/>
    <x v="2"/>
    <n v="10"/>
    <n v="256665"/>
    <d v="2025-02-06T00:00:00"/>
    <n v="2"/>
    <n v="6"/>
    <n v="2025"/>
    <x v="4"/>
    <s v="Q1"/>
    <x v="0"/>
  </r>
  <r>
    <s v="O104572"/>
    <x v="169"/>
    <x v="6"/>
    <x v="2"/>
    <x v="1"/>
    <x v="0"/>
    <n v="1"/>
    <n v="256599"/>
    <d v="2025-05-10T00:00:00"/>
    <n v="5"/>
    <n v="10"/>
    <n v="2025"/>
    <x v="3"/>
    <m/>
    <x v="1"/>
  </r>
  <r>
    <s v="O107947"/>
    <x v="472"/>
    <x v="9"/>
    <x v="2"/>
    <x v="1"/>
    <x v="1"/>
    <n v="1"/>
    <n v="256350"/>
    <d v="2026-04-28T00:00:00"/>
    <n v="4"/>
    <n v="28"/>
    <n v="2026"/>
    <x v="11"/>
    <s v="Q2"/>
    <x v="1"/>
  </r>
  <r>
    <s v="O102197"/>
    <x v="626"/>
    <x v="1"/>
    <x v="6"/>
    <x v="4"/>
    <x v="0"/>
    <n v="9"/>
    <n v="256336"/>
    <d v="2025-05-14T00:00:00"/>
    <n v="5"/>
    <n v="14"/>
    <n v="2025"/>
    <x v="3"/>
    <s v="Q2"/>
    <x v="4"/>
  </r>
  <r>
    <s v="O101093"/>
    <x v="408"/>
    <x v="8"/>
    <x v="2"/>
    <x v="3"/>
    <x v="2"/>
    <n v="1"/>
    <n v="256158"/>
    <d v="2025-08-03T00:00:00"/>
    <n v="8"/>
    <n v="3"/>
    <n v="2025"/>
    <x v="8"/>
    <s v="Q3"/>
    <x v="3"/>
  </r>
  <r>
    <s v="O105831"/>
    <x v="794"/>
    <x v="6"/>
    <x v="3"/>
    <x v="4"/>
    <x v="3"/>
    <n v="1"/>
    <n v="256074"/>
    <d v="2025-12-21T00:00:00"/>
    <n v="12"/>
    <n v="21"/>
    <n v="2025"/>
    <x v="7"/>
    <s v="Q4"/>
    <x v="4"/>
  </r>
  <r>
    <s v="O103919"/>
    <x v="190"/>
    <x v="3"/>
    <x v="2"/>
    <x v="2"/>
    <x v="0"/>
    <n v="1"/>
    <n v="255934"/>
    <d v="2025-08-27T00:00:00"/>
    <n v="8"/>
    <n v="27"/>
    <n v="2025"/>
    <x v="8"/>
    <s v="Q3"/>
    <x v="2"/>
  </r>
  <r>
    <s v="O103507"/>
    <x v="778"/>
    <x v="5"/>
    <x v="3"/>
    <x v="4"/>
    <x v="0"/>
    <n v="1"/>
    <n v="255468"/>
    <d v="2025-02-08T00:00:00"/>
    <n v="2"/>
    <n v="8"/>
    <n v="2025"/>
    <x v="4"/>
    <s v="Q1"/>
    <x v="4"/>
  </r>
  <r>
    <s v="O109099"/>
    <x v="181"/>
    <x v="8"/>
    <x v="3"/>
    <x v="3"/>
    <x v="0"/>
    <n v="1"/>
    <n v="255353"/>
    <d v="2026-07-07T00:00:00"/>
    <n v="7"/>
    <n v="7"/>
    <n v="2026"/>
    <x v="10"/>
    <s v="Q3"/>
    <x v="3"/>
  </r>
  <r>
    <s v="O110664"/>
    <x v="702"/>
    <x v="10"/>
    <x v="6"/>
    <x v="1"/>
    <x v="3"/>
    <n v="10"/>
    <n v="255132"/>
    <d v="2026-10-10T00:00:00"/>
    <n v="10"/>
    <n v="10"/>
    <n v="2026"/>
    <x v="9"/>
    <s v="Q4"/>
    <x v="1"/>
  </r>
  <r>
    <s v="O101010"/>
    <x v="503"/>
    <x v="8"/>
    <x v="6"/>
    <x v="2"/>
    <x v="2"/>
    <n v="10"/>
    <n v="254985"/>
    <d v="2025-03-03T00:00:00"/>
    <n v="3"/>
    <n v="3"/>
    <n v="2025"/>
    <x v="5"/>
    <s v="Q1"/>
    <x v="2"/>
  </r>
  <r>
    <s v="O107200"/>
    <x v="605"/>
    <x v="1"/>
    <x v="3"/>
    <x v="2"/>
    <x v="3"/>
    <n v="1"/>
    <n v="254893"/>
    <d v="2026-03-14T00:00:00"/>
    <n v="3"/>
    <n v="14"/>
    <n v="2026"/>
    <x v="5"/>
    <s v="Q1"/>
    <x v="2"/>
  </r>
  <r>
    <s v="O105873"/>
    <x v="356"/>
    <x v="9"/>
    <x v="2"/>
    <x v="3"/>
    <x v="1"/>
    <n v="1"/>
    <n v="254398"/>
    <d v="2025-12-23T00:00:00"/>
    <n v="12"/>
    <n v="23"/>
    <n v="2025"/>
    <x v="7"/>
    <m/>
    <x v="3"/>
  </r>
  <r>
    <s v="O110745"/>
    <x v="585"/>
    <x v="5"/>
    <x v="6"/>
    <x v="4"/>
    <x v="1"/>
    <n v="9"/>
    <n v="254345"/>
    <d v="2026-10-15T00:00:00"/>
    <n v="10"/>
    <n v="15"/>
    <n v="2026"/>
    <x v="9"/>
    <s v="Q4"/>
    <x v="4"/>
  </r>
  <r>
    <s v="O107480"/>
    <x v="102"/>
    <x v="4"/>
    <x v="6"/>
    <x v="1"/>
    <x v="3"/>
    <n v="9"/>
    <n v="254042"/>
    <d v="2026-03-31T00:00:00"/>
    <n v="3"/>
    <n v="31"/>
    <n v="2026"/>
    <x v="5"/>
    <s v="Q1"/>
    <x v="1"/>
  </r>
  <r>
    <s v="O107631"/>
    <x v="783"/>
    <x v="1"/>
    <x v="6"/>
    <x v="2"/>
    <x v="0"/>
    <n v="9"/>
    <n v="253968"/>
    <d v="2026-09-04T00:00:00"/>
    <n v="9"/>
    <n v="4"/>
    <n v="2026"/>
    <x v="1"/>
    <s v="Q3"/>
    <x v="2"/>
  </r>
  <r>
    <s v="O108700"/>
    <x v="369"/>
    <x v="10"/>
    <x v="2"/>
    <x v="3"/>
    <x v="3"/>
    <n v="1"/>
    <n v="253966"/>
    <d v="2026-06-13T00:00:00"/>
    <n v="6"/>
    <n v="13"/>
    <n v="2026"/>
    <x v="2"/>
    <m/>
    <x v="3"/>
  </r>
  <r>
    <s v="O111266"/>
    <x v="766"/>
    <x v="5"/>
    <x v="5"/>
    <x v="4"/>
    <x v="2"/>
    <n v="2"/>
    <n v="253928"/>
    <d v="2026-11-16T00:00:00"/>
    <n v="11"/>
    <n v="16"/>
    <n v="2026"/>
    <x v="0"/>
    <s v="Q4"/>
    <x v="4"/>
  </r>
  <r>
    <s v="O110728"/>
    <x v="498"/>
    <x v="9"/>
    <x v="6"/>
    <x v="0"/>
    <x v="2"/>
    <n v="10"/>
    <n v="253735"/>
    <d v="2026-10-14T00:00:00"/>
    <n v="10"/>
    <n v="14"/>
    <n v="2026"/>
    <x v="9"/>
    <s v="Q4"/>
    <x v="0"/>
  </r>
  <r>
    <s v="O101566"/>
    <x v="793"/>
    <x v="8"/>
    <x v="6"/>
    <x v="1"/>
    <x v="0"/>
    <n v="9"/>
    <n v="253732"/>
    <d v="2025-06-04T00:00:00"/>
    <n v="6"/>
    <n v="4"/>
    <n v="2025"/>
    <x v="2"/>
    <s v="Q2"/>
    <x v="1"/>
  </r>
  <r>
    <s v="O110960"/>
    <x v="211"/>
    <x v="9"/>
    <x v="5"/>
    <x v="0"/>
    <x v="1"/>
    <n v="2"/>
    <n v="253580"/>
    <d v="2026-10-28T00:00:00"/>
    <n v="10"/>
    <n v="28"/>
    <n v="2026"/>
    <x v="9"/>
    <s v="Q4"/>
    <x v="0"/>
  </r>
  <r>
    <s v="O102734"/>
    <x v="99"/>
    <x v="10"/>
    <x v="3"/>
    <x v="1"/>
    <x v="0"/>
    <n v="1"/>
    <n v="253151"/>
    <d v="2025-06-16T00:00:00"/>
    <n v="6"/>
    <n v="16"/>
    <n v="2025"/>
    <x v="2"/>
    <s v="Q2"/>
    <x v="1"/>
  </r>
  <r>
    <s v="O100187"/>
    <x v="167"/>
    <x v="3"/>
    <x v="5"/>
    <x v="4"/>
    <x v="1"/>
    <n v="2"/>
    <n v="252997"/>
    <d v="2025-12-01T00:00:00"/>
    <n v="12"/>
    <n v="1"/>
    <n v="2025"/>
    <x v="7"/>
    <s v="Q4"/>
    <x v="4"/>
  </r>
  <r>
    <s v="O106373"/>
    <x v="441"/>
    <x v="1"/>
    <x v="3"/>
    <x v="2"/>
    <x v="0"/>
    <n v="1"/>
    <n v="252720"/>
    <d v="2026-01-23T00:00:00"/>
    <n v="1"/>
    <n v="23"/>
    <n v="2026"/>
    <x v="6"/>
    <s v="Q1"/>
    <x v="2"/>
  </r>
  <r>
    <s v="O111468"/>
    <x v="465"/>
    <x v="8"/>
    <x v="2"/>
    <x v="3"/>
    <x v="2"/>
    <n v="1"/>
    <n v="252628"/>
    <d v="2026-11-28T00:00:00"/>
    <n v="11"/>
    <n v="28"/>
    <n v="2026"/>
    <x v="0"/>
    <s v="Q4"/>
    <x v="3"/>
  </r>
  <r>
    <s v="O111320"/>
    <x v="641"/>
    <x v="4"/>
    <x v="3"/>
    <x v="2"/>
    <x v="2"/>
    <n v="1"/>
    <n v="252145"/>
    <d v="2026-11-19T00:00:00"/>
    <n v="11"/>
    <n v="19"/>
    <n v="2026"/>
    <x v="0"/>
    <s v="Q4"/>
    <x v="2"/>
  </r>
  <r>
    <s v="O108563"/>
    <x v="355"/>
    <x v="9"/>
    <x v="2"/>
    <x v="2"/>
    <x v="2"/>
    <n v="1"/>
    <n v="251994"/>
    <d v="2026-05-06T00:00:00"/>
    <n v="5"/>
    <n v="6"/>
    <n v="2026"/>
    <x v="3"/>
    <s v="Q2"/>
    <x v="2"/>
  </r>
  <r>
    <s v="O105907"/>
    <x v="216"/>
    <x v="6"/>
    <x v="6"/>
    <x v="2"/>
    <x v="2"/>
    <n v="9"/>
    <n v="251845"/>
    <d v="2025-12-25T00:00:00"/>
    <n v="12"/>
    <n v="25"/>
    <n v="2025"/>
    <x v="7"/>
    <s v="Q4"/>
    <x v="2"/>
  </r>
  <r>
    <s v="O104940"/>
    <x v="208"/>
    <x v="0"/>
    <x v="5"/>
    <x v="2"/>
    <x v="2"/>
    <n v="2"/>
    <n v="251802"/>
    <d v="2025-10-28T00:00:00"/>
    <n v="10"/>
    <n v="28"/>
    <n v="2025"/>
    <x v="9"/>
    <s v="Q4"/>
    <x v="2"/>
  </r>
  <r>
    <s v="O100789"/>
    <x v="718"/>
    <x v="10"/>
    <x v="6"/>
    <x v="3"/>
    <x v="1"/>
    <n v="9"/>
    <n v="251392"/>
    <d v="2025-02-17T00:00:00"/>
    <n v="2"/>
    <n v="17"/>
    <n v="2025"/>
    <x v="4"/>
    <s v="Q1"/>
    <x v="3"/>
  </r>
  <r>
    <s v="O105305"/>
    <x v="526"/>
    <x v="8"/>
    <x v="6"/>
    <x v="0"/>
    <x v="3"/>
    <n v="9"/>
    <n v="251128"/>
    <d v="2025-11-19T00:00:00"/>
    <n v="11"/>
    <n v="19"/>
    <n v="2025"/>
    <x v="0"/>
    <s v="Q4"/>
    <x v="0"/>
  </r>
  <r>
    <s v="O107390"/>
    <x v="447"/>
    <x v="5"/>
    <x v="6"/>
    <x v="1"/>
    <x v="1"/>
    <n v="9"/>
    <n v="251094"/>
    <d v="2026-03-25T00:00:00"/>
    <n v="3"/>
    <n v="25"/>
    <n v="2026"/>
    <x v="5"/>
    <s v="Q1"/>
    <x v="1"/>
  </r>
  <r>
    <s v="O103492"/>
    <x v="303"/>
    <x v="8"/>
    <x v="2"/>
    <x v="2"/>
    <x v="2"/>
    <n v="1"/>
    <n v="251023"/>
    <d v="2025-01-08T00:00:00"/>
    <n v="1"/>
    <n v="8"/>
    <n v="2025"/>
    <x v="6"/>
    <s v="Q1"/>
    <x v="2"/>
  </r>
  <r>
    <s v="O109561"/>
    <x v="228"/>
    <x v="5"/>
    <x v="5"/>
    <x v="0"/>
    <x v="2"/>
    <n v="2"/>
    <n v="250912"/>
    <d v="2026-04-08T00:00:00"/>
    <n v="4"/>
    <n v="8"/>
    <n v="2026"/>
    <x v="11"/>
    <s v="Q2"/>
    <x v="0"/>
  </r>
  <r>
    <s v="O100028"/>
    <x v="511"/>
    <x v="5"/>
    <x v="6"/>
    <x v="0"/>
    <x v="2"/>
    <n v="9"/>
    <n v="250574"/>
    <d v="2025-02-01T00:00:00"/>
    <n v="2"/>
    <n v="1"/>
    <n v="2025"/>
    <x v="4"/>
    <s v="Q1"/>
    <x v="0"/>
  </r>
  <r>
    <s v="O110840"/>
    <x v="483"/>
    <x v="8"/>
    <x v="6"/>
    <x v="2"/>
    <x v="0"/>
    <n v="10"/>
    <n v="250517"/>
    <d v="2026-10-21T00:00:00"/>
    <n v="10"/>
    <n v="21"/>
    <n v="2026"/>
    <x v="9"/>
    <s v="Q4"/>
    <x v="2"/>
  </r>
  <r>
    <s v="O105217"/>
    <x v="610"/>
    <x v="4"/>
    <x v="6"/>
    <x v="4"/>
    <x v="3"/>
    <n v="10"/>
    <n v="250351"/>
    <d v="2025-11-13T00:00:00"/>
    <n v="11"/>
    <n v="13"/>
    <n v="2025"/>
    <x v="0"/>
    <s v="Q4"/>
    <x v="4"/>
  </r>
  <r>
    <s v="O100633"/>
    <x v="554"/>
    <x v="0"/>
    <x v="6"/>
    <x v="3"/>
    <x v="2"/>
    <n v="10"/>
    <n v="250351"/>
    <d v="2025-08-02T00:00:00"/>
    <n v="8"/>
    <n v="2"/>
    <n v="2025"/>
    <x v="8"/>
    <s v="Q3"/>
    <x v="3"/>
  </r>
  <r>
    <s v="O101540"/>
    <x v="59"/>
    <x v="0"/>
    <x v="6"/>
    <x v="3"/>
    <x v="1"/>
    <n v="9"/>
    <n v="250045"/>
    <d v="2025-04-04T00:00:00"/>
    <n v="4"/>
    <n v="4"/>
    <n v="2025"/>
    <x v="11"/>
    <s v="Q2"/>
    <x v="3"/>
  </r>
  <r>
    <s v="O110656"/>
    <x v="546"/>
    <x v="0"/>
    <x v="3"/>
    <x v="3"/>
    <x v="3"/>
    <n v="1"/>
    <n v="250009"/>
    <d v="2026-10-10T00:00:00"/>
    <n v="10"/>
    <n v="10"/>
    <n v="2026"/>
    <x v="9"/>
    <s v="Q4"/>
    <x v="3"/>
  </r>
  <r>
    <s v="O107509"/>
    <x v="430"/>
    <x v="0"/>
    <x v="2"/>
    <x v="3"/>
    <x v="2"/>
    <n v="1"/>
    <n v="249816"/>
    <d v="2026-02-04T00:00:00"/>
    <n v="2"/>
    <n v="4"/>
    <n v="2026"/>
    <x v="4"/>
    <s v="Q1"/>
    <x v="3"/>
  </r>
  <r>
    <s v="O109390"/>
    <x v="525"/>
    <x v="0"/>
    <x v="6"/>
    <x v="0"/>
    <x v="2"/>
    <n v="9"/>
    <n v="249740"/>
    <d v="2026-07-25T00:00:00"/>
    <n v="7"/>
    <n v="25"/>
    <n v="2026"/>
    <x v="10"/>
    <s v="Q3"/>
    <x v="0"/>
  </r>
  <r>
    <s v="O110400"/>
    <x v="630"/>
    <x v="10"/>
    <x v="6"/>
    <x v="4"/>
    <x v="0"/>
    <n v="8"/>
    <n v="249727"/>
    <d v="2026-09-24T00:00:00"/>
    <n v="9"/>
    <n v="24"/>
    <n v="2026"/>
    <x v="1"/>
    <s v="Q3"/>
    <x v="4"/>
  </r>
  <r>
    <s v="O102948"/>
    <x v="780"/>
    <x v="3"/>
    <x v="6"/>
    <x v="4"/>
    <x v="0"/>
    <n v="9"/>
    <n v="249402"/>
    <d v="2025-06-29T00:00:00"/>
    <n v="6"/>
    <n v="29"/>
    <n v="2025"/>
    <x v="2"/>
    <s v="Q2"/>
    <x v="4"/>
  </r>
  <r>
    <s v="O109628"/>
    <x v="261"/>
    <x v="2"/>
    <x v="5"/>
    <x v="1"/>
    <x v="0"/>
    <n v="2"/>
    <n v="249217"/>
    <d v="2026-08-08T00:00:00"/>
    <n v="8"/>
    <n v="8"/>
    <n v="2026"/>
    <x v="8"/>
    <s v="Q3"/>
    <x v="1"/>
  </r>
  <r>
    <s v="O103434"/>
    <x v="2"/>
    <x v="9"/>
    <x v="6"/>
    <x v="2"/>
    <x v="3"/>
    <n v="8"/>
    <n v="248826"/>
    <d v="2025-07-28T00:00:00"/>
    <n v="7"/>
    <n v="28"/>
    <n v="2025"/>
    <x v="10"/>
    <s v="Q3"/>
    <x v="2"/>
  </r>
  <r>
    <s v="O107483"/>
    <x v="200"/>
    <x v="5"/>
    <x v="6"/>
    <x v="4"/>
    <x v="3"/>
    <n v="9"/>
    <n v="248576"/>
    <d v="2026-03-31T00:00:00"/>
    <n v="3"/>
    <n v="31"/>
    <n v="2026"/>
    <x v="5"/>
    <s v="Q1"/>
    <x v="4"/>
  </r>
  <r>
    <s v="O106067"/>
    <x v="93"/>
    <x v="6"/>
    <x v="6"/>
    <x v="2"/>
    <x v="0"/>
    <n v="10"/>
    <n v="248418"/>
    <d v="2026-04-01T00:00:00"/>
    <n v="4"/>
    <n v="1"/>
    <n v="2026"/>
    <x v="11"/>
    <s v="Q2"/>
    <x v="2"/>
  </r>
  <r>
    <s v="O110231"/>
    <x v="549"/>
    <x v="2"/>
    <x v="6"/>
    <x v="3"/>
    <x v="0"/>
    <n v="10"/>
    <n v="248283"/>
    <d v="2026-09-14T00:00:00"/>
    <n v="9"/>
    <n v="14"/>
    <n v="2026"/>
    <x v="1"/>
    <s v="Q3"/>
    <x v="3"/>
  </r>
  <r>
    <s v="O104328"/>
    <x v="721"/>
    <x v="4"/>
    <x v="3"/>
    <x v="3"/>
    <x v="1"/>
    <n v="1"/>
    <n v="248244"/>
    <d v="2025-09-20T00:00:00"/>
    <n v="9"/>
    <n v="20"/>
    <n v="2025"/>
    <x v="1"/>
    <s v="Q3"/>
    <x v="3"/>
  </r>
  <r>
    <s v="O102918"/>
    <x v="725"/>
    <x v="10"/>
    <x v="5"/>
    <x v="0"/>
    <x v="2"/>
    <n v="2"/>
    <n v="247943"/>
    <d v="2025-06-27T00:00:00"/>
    <n v="6"/>
    <n v="27"/>
    <n v="2025"/>
    <x v="2"/>
    <m/>
    <x v="0"/>
  </r>
  <r>
    <s v="O109057"/>
    <x v="501"/>
    <x v="1"/>
    <x v="5"/>
    <x v="4"/>
    <x v="0"/>
    <n v="2"/>
    <n v="247942"/>
    <d v="2026-05-07T00:00:00"/>
    <n v="5"/>
    <n v="7"/>
    <n v="2026"/>
    <x v="3"/>
    <s v="Q2"/>
    <x v="4"/>
  </r>
  <r>
    <s v="O101483"/>
    <x v="296"/>
    <x v="0"/>
    <x v="6"/>
    <x v="2"/>
    <x v="1"/>
    <n v="9"/>
    <n v="247928"/>
    <d v="2025-01-04T00:00:00"/>
    <n v="1"/>
    <n v="4"/>
    <n v="2025"/>
    <x v="6"/>
    <s v="Q1"/>
    <x v="2"/>
  </r>
  <r>
    <s v="O109963"/>
    <x v="564"/>
    <x v="9"/>
    <x v="6"/>
    <x v="3"/>
    <x v="2"/>
    <n v="9"/>
    <n v="247854"/>
    <d v="2026-08-29T00:00:00"/>
    <n v="8"/>
    <n v="29"/>
    <n v="2026"/>
    <x v="8"/>
    <s v="Q3"/>
    <x v="3"/>
  </r>
  <r>
    <s v="O104206"/>
    <x v="704"/>
    <x v="5"/>
    <x v="6"/>
    <x v="3"/>
    <x v="1"/>
    <n v="9"/>
    <n v="247655"/>
    <d v="2025-09-13T00:00:00"/>
    <n v="9"/>
    <n v="13"/>
    <n v="2025"/>
    <x v="1"/>
    <s v="Q3"/>
    <x v="3"/>
  </r>
  <r>
    <s v="O107720"/>
    <x v="67"/>
    <x v="6"/>
    <x v="3"/>
    <x v="0"/>
    <x v="1"/>
    <n v="1"/>
    <n v="247643"/>
    <d v="2026-04-14T00:00:00"/>
    <n v="4"/>
    <n v="14"/>
    <n v="2026"/>
    <x v="11"/>
    <s v="Q2"/>
    <x v="0"/>
  </r>
  <r>
    <s v="O102196"/>
    <x v="498"/>
    <x v="10"/>
    <x v="6"/>
    <x v="0"/>
    <x v="0"/>
    <n v="8"/>
    <n v="247207"/>
    <d v="2025-05-14T00:00:00"/>
    <n v="5"/>
    <n v="14"/>
    <n v="2025"/>
    <x v="3"/>
    <s v="Q2"/>
    <x v="0"/>
  </r>
  <r>
    <s v="O102560"/>
    <x v="272"/>
    <x v="4"/>
    <x v="6"/>
    <x v="2"/>
    <x v="1"/>
    <n v="8"/>
    <n v="246956"/>
    <d v="2025-05-06T00:00:00"/>
    <n v="5"/>
    <n v="6"/>
    <n v="2025"/>
    <x v="3"/>
    <s v="Q2"/>
    <x v="2"/>
  </r>
  <r>
    <s v="O109023"/>
    <x v="550"/>
    <x v="8"/>
    <x v="6"/>
    <x v="4"/>
    <x v="2"/>
    <n v="9"/>
    <n v="246856"/>
    <d v="2026-03-07T00:00:00"/>
    <n v="3"/>
    <n v="7"/>
    <n v="2026"/>
    <x v="5"/>
    <s v="Q1"/>
    <x v="4"/>
  </r>
  <r>
    <s v="O100303"/>
    <x v="291"/>
    <x v="5"/>
    <x v="6"/>
    <x v="4"/>
    <x v="3"/>
    <n v="9"/>
    <n v="246755"/>
    <d v="2025-01-19T00:00:00"/>
    <n v="1"/>
    <n v="19"/>
    <n v="2025"/>
    <x v="6"/>
    <s v="Q1"/>
    <x v="4"/>
  </r>
  <r>
    <s v="O100179"/>
    <x v="279"/>
    <x v="1"/>
    <x v="3"/>
    <x v="0"/>
    <x v="0"/>
    <n v="1"/>
    <n v="246718"/>
    <d v="2025-11-01T00:00:00"/>
    <n v="11"/>
    <n v="1"/>
    <n v="2025"/>
    <x v="0"/>
    <s v="Q4"/>
    <x v="0"/>
  </r>
  <r>
    <s v="O108719"/>
    <x v="242"/>
    <x v="2"/>
    <x v="5"/>
    <x v="3"/>
    <x v="0"/>
    <n v="2"/>
    <n v="246392"/>
    <d v="2026-06-14T00:00:00"/>
    <n v="6"/>
    <n v="14"/>
    <n v="2026"/>
    <x v="2"/>
    <s v="Q2"/>
    <x v="3"/>
  </r>
  <r>
    <s v="O103382"/>
    <x v="756"/>
    <x v="0"/>
    <x v="6"/>
    <x v="2"/>
    <x v="1"/>
    <n v="10"/>
    <n v="246303"/>
    <d v="2025-07-25T00:00:00"/>
    <n v="7"/>
    <n v="25"/>
    <n v="2025"/>
    <x v="10"/>
    <s v="Q3"/>
    <x v="2"/>
  </r>
  <r>
    <s v="O104410"/>
    <x v="444"/>
    <x v="2"/>
    <x v="6"/>
    <x v="1"/>
    <x v="0"/>
    <n v="8"/>
    <n v="246190"/>
    <d v="2025-09-25T00:00:00"/>
    <n v="9"/>
    <n v="25"/>
    <n v="2025"/>
    <x v="1"/>
    <s v="Q3"/>
    <x v="1"/>
  </r>
  <r>
    <s v="O111329"/>
    <x v="426"/>
    <x v="5"/>
    <x v="5"/>
    <x v="4"/>
    <x v="2"/>
    <n v="2"/>
    <n v="245837"/>
    <d v="2026-11-20T00:00:00"/>
    <n v="11"/>
    <n v="20"/>
    <n v="2026"/>
    <x v="0"/>
    <s v="Q4"/>
    <x v="4"/>
  </r>
  <r>
    <s v="O104783"/>
    <x v="82"/>
    <x v="0"/>
    <x v="6"/>
    <x v="3"/>
    <x v="0"/>
    <n v="8"/>
    <n v="245835"/>
    <d v="2025-10-18T00:00:00"/>
    <n v="10"/>
    <n v="18"/>
    <n v="2025"/>
    <x v="9"/>
    <s v="Q4"/>
    <x v="3"/>
  </r>
  <r>
    <s v="O108021"/>
    <x v="18"/>
    <x v="5"/>
    <x v="6"/>
    <x v="1"/>
    <x v="3"/>
    <n v="8"/>
    <n v="245701"/>
    <d v="2026-03-05T00:00:00"/>
    <n v="3"/>
    <n v="5"/>
    <n v="2026"/>
    <x v="5"/>
    <s v="Q1"/>
    <x v="1"/>
  </r>
  <r>
    <s v="O111789"/>
    <x v="252"/>
    <x v="10"/>
    <x v="6"/>
    <x v="0"/>
    <x v="2"/>
    <n v="9"/>
    <n v="245538"/>
    <d v="2026-12-18T00:00:00"/>
    <n v="12"/>
    <n v="18"/>
    <n v="2026"/>
    <x v="7"/>
    <s v="Q4"/>
    <x v="0"/>
  </r>
  <r>
    <s v="O109009"/>
    <x v="499"/>
    <x v="2"/>
    <x v="6"/>
    <x v="3"/>
    <x v="2"/>
    <n v="9"/>
    <n v="245015"/>
    <d v="2026-02-07T00:00:00"/>
    <n v="2"/>
    <n v="7"/>
    <n v="2026"/>
    <x v="4"/>
    <s v="Q1"/>
    <x v="3"/>
  </r>
  <r>
    <s v="O110015"/>
    <x v="519"/>
    <x v="3"/>
    <x v="6"/>
    <x v="1"/>
    <x v="2"/>
    <n v="9"/>
    <n v="244852"/>
    <d v="2026-01-09T00:00:00"/>
    <n v="1"/>
    <n v="9"/>
    <n v="2026"/>
    <x v="6"/>
    <s v="Q1"/>
    <x v="1"/>
  </r>
  <r>
    <s v="O106976"/>
    <x v="314"/>
    <x v="0"/>
    <x v="6"/>
    <x v="2"/>
    <x v="0"/>
    <n v="8"/>
    <n v="244839"/>
    <d v="2026-02-28T00:00:00"/>
    <n v="2"/>
    <n v="28"/>
    <n v="2026"/>
    <x v="4"/>
    <s v="Q1"/>
    <x v="2"/>
  </r>
  <r>
    <s v="O106086"/>
    <x v="568"/>
    <x v="5"/>
    <x v="6"/>
    <x v="0"/>
    <x v="2"/>
    <n v="10"/>
    <n v="244478"/>
    <d v="2026-05-01T00:00:00"/>
    <n v="5"/>
    <n v="1"/>
    <n v="2026"/>
    <x v="3"/>
    <s v="Q2"/>
    <x v="0"/>
  </r>
  <r>
    <s v="O106988"/>
    <x v="130"/>
    <x v="8"/>
    <x v="6"/>
    <x v="3"/>
    <x v="2"/>
    <n v="10"/>
    <n v="244407"/>
    <d v="2026-01-03T00:00:00"/>
    <n v="1"/>
    <n v="3"/>
    <n v="2026"/>
    <x v="6"/>
    <s v="Q1"/>
    <x v="3"/>
  </r>
  <r>
    <s v="O108401"/>
    <x v="596"/>
    <x v="2"/>
    <x v="6"/>
    <x v="3"/>
    <x v="2"/>
    <n v="9"/>
    <n v="243834"/>
    <d v="2026-05-26T00:00:00"/>
    <n v="5"/>
    <n v="26"/>
    <n v="2026"/>
    <x v="3"/>
    <m/>
    <x v="3"/>
  </r>
  <r>
    <s v="O109262"/>
    <x v="246"/>
    <x v="9"/>
    <x v="6"/>
    <x v="2"/>
    <x v="3"/>
    <n v="10"/>
    <n v="243663"/>
    <d v="2026-07-17T00:00:00"/>
    <n v="7"/>
    <n v="17"/>
    <n v="2026"/>
    <x v="10"/>
    <s v="Q3"/>
    <x v="2"/>
  </r>
  <r>
    <s v="O107942"/>
    <x v="79"/>
    <x v="6"/>
    <x v="2"/>
    <x v="3"/>
    <x v="1"/>
    <n v="1"/>
    <n v="243652"/>
    <d v="2026-04-28T00:00:00"/>
    <n v="4"/>
    <n v="28"/>
    <n v="2026"/>
    <x v="11"/>
    <s v="Q2"/>
    <x v="3"/>
  </r>
  <r>
    <s v="O100752"/>
    <x v="77"/>
    <x v="4"/>
    <x v="3"/>
    <x v="3"/>
    <x v="1"/>
    <n v="1"/>
    <n v="243329"/>
    <d v="2025-02-15T00:00:00"/>
    <n v="2"/>
    <n v="15"/>
    <n v="2025"/>
    <x v="4"/>
    <s v="Q1"/>
    <x v="3"/>
  </r>
  <r>
    <s v="O101087"/>
    <x v="762"/>
    <x v="10"/>
    <x v="2"/>
    <x v="1"/>
    <x v="2"/>
    <n v="1"/>
    <n v="243149"/>
    <d v="2025-07-03T00:00:00"/>
    <n v="7"/>
    <n v="3"/>
    <n v="2025"/>
    <x v="10"/>
    <s v="Q3"/>
    <x v="1"/>
  </r>
  <r>
    <s v="O102647"/>
    <x v="12"/>
    <x v="10"/>
    <x v="3"/>
    <x v="4"/>
    <x v="1"/>
    <n v="1"/>
    <n v="242747"/>
    <d v="2025-10-06T00:00:00"/>
    <n v="10"/>
    <n v="6"/>
    <n v="2025"/>
    <x v="9"/>
    <s v="Q4"/>
    <x v="4"/>
  </r>
  <r>
    <s v="O104157"/>
    <x v="602"/>
    <x v="2"/>
    <x v="6"/>
    <x v="2"/>
    <x v="0"/>
    <n v="9"/>
    <n v="242181"/>
    <d v="2025-10-09T00:00:00"/>
    <n v="10"/>
    <n v="9"/>
    <n v="2025"/>
    <x v="9"/>
    <s v="Q4"/>
    <x v="2"/>
  </r>
  <r>
    <s v="O107043"/>
    <x v="326"/>
    <x v="1"/>
    <x v="2"/>
    <x v="3"/>
    <x v="3"/>
    <n v="1"/>
    <n v="242095"/>
    <d v="2026-04-03T00:00:00"/>
    <n v="4"/>
    <n v="3"/>
    <n v="2026"/>
    <x v="11"/>
    <s v="Q2"/>
    <x v="3"/>
  </r>
  <r>
    <s v="O110907"/>
    <x v="72"/>
    <x v="0"/>
    <x v="6"/>
    <x v="3"/>
    <x v="3"/>
    <n v="10"/>
    <n v="241754"/>
    <d v="2026-10-25T00:00:00"/>
    <n v="10"/>
    <n v="25"/>
    <n v="2026"/>
    <x v="9"/>
    <s v="Q4"/>
    <x v="3"/>
  </r>
  <r>
    <s v="O100314"/>
    <x v="278"/>
    <x v="10"/>
    <x v="3"/>
    <x v="0"/>
    <x v="2"/>
    <n v="1"/>
    <n v="241356"/>
    <d v="2025-01-20T00:00:00"/>
    <n v="1"/>
    <n v="20"/>
    <n v="2025"/>
    <x v="6"/>
    <s v="Q1"/>
    <x v="0"/>
  </r>
  <r>
    <s v="O110744"/>
    <x v="309"/>
    <x v="8"/>
    <x v="6"/>
    <x v="3"/>
    <x v="1"/>
    <n v="8"/>
    <n v="241041"/>
    <d v="2026-10-15T00:00:00"/>
    <n v="10"/>
    <n v="15"/>
    <n v="2026"/>
    <x v="9"/>
    <m/>
    <x v="3"/>
  </r>
  <r>
    <s v="O108800"/>
    <x v="177"/>
    <x v="1"/>
    <x v="6"/>
    <x v="2"/>
    <x v="2"/>
    <n v="9"/>
    <n v="240947"/>
    <d v="2026-06-19T00:00:00"/>
    <n v="6"/>
    <n v="19"/>
    <n v="2026"/>
    <x v="2"/>
    <s v="Q2"/>
    <x v="2"/>
  </r>
  <r>
    <s v="O105069"/>
    <x v="423"/>
    <x v="4"/>
    <x v="3"/>
    <x v="1"/>
    <x v="2"/>
    <n v="1"/>
    <n v="240938"/>
    <d v="2025-04-11T00:00:00"/>
    <n v="4"/>
    <n v="11"/>
    <n v="2025"/>
    <x v="11"/>
    <s v="Q2"/>
    <x v="1"/>
  </r>
  <r>
    <s v="O107226"/>
    <x v="722"/>
    <x v="3"/>
    <x v="3"/>
    <x v="0"/>
    <x v="0"/>
    <n v="1"/>
    <n v="240920"/>
    <d v="2026-03-15T00:00:00"/>
    <n v="3"/>
    <n v="15"/>
    <n v="2026"/>
    <x v="5"/>
    <s v="Q1"/>
    <x v="0"/>
  </r>
  <r>
    <s v="O105722"/>
    <x v="530"/>
    <x v="2"/>
    <x v="6"/>
    <x v="1"/>
    <x v="3"/>
    <n v="9"/>
    <n v="240718"/>
    <d v="2025-12-14T00:00:00"/>
    <n v="12"/>
    <n v="14"/>
    <n v="2025"/>
    <x v="7"/>
    <s v="Q4"/>
    <x v="1"/>
  </r>
  <r>
    <s v="O103733"/>
    <x v="257"/>
    <x v="1"/>
    <x v="6"/>
    <x v="4"/>
    <x v="3"/>
    <n v="9"/>
    <n v="240248"/>
    <d v="2025-08-15T00:00:00"/>
    <n v="8"/>
    <n v="15"/>
    <n v="2025"/>
    <x v="8"/>
    <s v="Q3"/>
    <x v="4"/>
  </r>
  <r>
    <s v="O108670"/>
    <x v="442"/>
    <x v="3"/>
    <x v="5"/>
    <x v="2"/>
    <x v="3"/>
    <n v="2"/>
    <n v="240225"/>
    <d v="2026-11-06T00:00:00"/>
    <n v="11"/>
    <n v="6"/>
    <n v="2026"/>
    <x v="0"/>
    <s v="Q4"/>
    <x v="2"/>
  </r>
  <r>
    <s v="O102246"/>
    <x v="699"/>
    <x v="3"/>
    <x v="6"/>
    <x v="1"/>
    <x v="3"/>
    <n v="8"/>
    <n v="240130"/>
    <d v="2025-05-17T00:00:00"/>
    <n v="5"/>
    <n v="17"/>
    <n v="2025"/>
    <x v="3"/>
    <s v="Q2"/>
    <x v="1"/>
  </r>
  <r>
    <s v="O101238"/>
    <x v="133"/>
    <x v="10"/>
    <x v="6"/>
    <x v="3"/>
    <x v="2"/>
    <n v="8"/>
    <n v="239887"/>
    <d v="2025-03-17T00:00:00"/>
    <n v="3"/>
    <n v="17"/>
    <n v="2025"/>
    <x v="5"/>
    <s v="Q1"/>
    <x v="3"/>
  </r>
  <r>
    <s v="O108935"/>
    <x v="658"/>
    <x v="0"/>
    <x v="2"/>
    <x v="1"/>
    <x v="0"/>
    <n v="1"/>
    <n v="239849"/>
    <d v="2026-06-27T00:00:00"/>
    <n v="6"/>
    <n v="27"/>
    <n v="2026"/>
    <x v="2"/>
    <s v="Q2"/>
    <x v="1"/>
  </r>
  <r>
    <s v="O109429"/>
    <x v="121"/>
    <x v="9"/>
    <x v="6"/>
    <x v="1"/>
    <x v="0"/>
    <n v="10"/>
    <n v="239807"/>
    <d v="2026-07-27T00:00:00"/>
    <n v="7"/>
    <n v="27"/>
    <n v="2026"/>
    <x v="10"/>
    <s v="Q3"/>
    <x v="1"/>
  </r>
  <r>
    <s v="O102140"/>
    <x v="166"/>
    <x v="4"/>
    <x v="5"/>
    <x v="2"/>
    <x v="0"/>
    <n v="2"/>
    <n v="239767"/>
    <d v="2025-10-05T00:00:00"/>
    <n v="10"/>
    <n v="5"/>
    <n v="2025"/>
    <x v="9"/>
    <s v="Q4"/>
    <x v="2"/>
  </r>
  <r>
    <s v="O103455"/>
    <x v="169"/>
    <x v="6"/>
    <x v="3"/>
    <x v="0"/>
    <x v="0"/>
    <n v="1"/>
    <n v="239721"/>
    <d v="2025-07-29T00:00:00"/>
    <n v="7"/>
    <n v="29"/>
    <n v="2025"/>
    <x v="10"/>
    <m/>
    <x v="0"/>
  </r>
  <r>
    <s v="O109904"/>
    <x v="494"/>
    <x v="5"/>
    <x v="6"/>
    <x v="0"/>
    <x v="0"/>
    <n v="10"/>
    <n v="239522"/>
    <d v="2026-08-25T00:00:00"/>
    <n v="8"/>
    <n v="25"/>
    <n v="2026"/>
    <x v="8"/>
    <s v="Q3"/>
    <x v="0"/>
  </r>
  <r>
    <s v="O110643"/>
    <x v="119"/>
    <x v="0"/>
    <x v="6"/>
    <x v="2"/>
    <x v="3"/>
    <n v="10"/>
    <n v="239157"/>
    <d v="2026-09-10T00:00:00"/>
    <n v="9"/>
    <n v="10"/>
    <n v="2026"/>
    <x v="1"/>
    <s v="Q3"/>
    <x v="2"/>
  </r>
  <r>
    <s v="O107451"/>
    <x v="249"/>
    <x v="4"/>
    <x v="6"/>
    <x v="2"/>
    <x v="1"/>
    <n v="10"/>
    <n v="238959"/>
    <d v="2026-03-29T00:00:00"/>
    <n v="3"/>
    <n v="29"/>
    <n v="2026"/>
    <x v="5"/>
    <s v="Q1"/>
    <x v="2"/>
  </r>
  <r>
    <s v="O103885"/>
    <x v="537"/>
    <x v="2"/>
    <x v="5"/>
    <x v="3"/>
    <x v="3"/>
    <n v="2"/>
    <n v="238946"/>
    <d v="2025-08-24T00:00:00"/>
    <n v="8"/>
    <n v="24"/>
    <n v="2025"/>
    <x v="8"/>
    <s v="Q3"/>
    <x v="3"/>
  </r>
  <r>
    <s v="O108838"/>
    <x v="389"/>
    <x v="1"/>
    <x v="2"/>
    <x v="1"/>
    <x v="3"/>
    <n v="1"/>
    <n v="238873"/>
    <d v="2026-06-21T00:00:00"/>
    <n v="6"/>
    <n v="21"/>
    <n v="2026"/>
    <x v="2"/>
    <s v="Q2"/>
    <x v="1"/>
  </r>
  <r>
    <s v="O104765"/>
    <x v="420"/>
    <x v="9"/>
    <x v="6"/>
    <x v="3"/>
    <x v="3"/>
    <n v="10"/>
    <n v="238679"/>
    <d v="2025-10-17T00:00:00"/>
    <n v="10"/>
    <n v="17"/>
    <n v="2025"/>
    <x v="9"/>
    <s v="Q4"/>
    <x v="3"/>
  </r>
  <r>
    <s v="O108298"/>
    <x v="560"/>
    <x v="3"/>
    <x v="2"/>
    <x v="4"/>
    <x v="2"/>
    <n v="1"/>
    <n v="238167"/>
    <d v="2026-05-20T00:00:00"/>
    <n v="5"/>
    <n v="20"/>
    <n v="2026"/>
    <x v="3"/>
    <s v="Q2"/>
    <x v="4"/>
  </r>
  <r>
    <s v="O106477"/>
    <x v="521"/>
    <x v="4"/>
    <x v="6"/>
    <x v="2"/>
    <x v="1"/>
    <n v="10"/>
    <n v="238059"/>
    <d v="2026-01-29T00:00:00"/>
    <n v="1"/>
    <n v="29"/>
    <n v="2026"/>
    <x v="6"/>
    <s v="Q1"/>
    <x v="2"/>
  </r>
  <r>
    <s v="O108533"/>
    <x v="448"/>
    <x v="8"/>
    <x v="6"/>
    <x v="2"/>
    <x v="0"/>
    <n v="10"/>
    <n v="237799"/>
    <d v="2026-03-06T00:00:00"/>
    <n v="3"/>
    <n v="6"/>
    <n v="2026"/>
    <x v="5"/>
    <s v="Q1"/>
    <x v="2"/>
  </r>
  <r>
    <s v="O105468"/>
    <x v="2"/>
    <x v="3"/>
    <x v="5"/>
    <x v="1"/>
    <x v="2"/>
    <n v="2"/>
    <n v="237720"/>
    <d v="2025-11-29T00:00:00"/>
    <n v="11"/>
    <n v="29"/>
    <n v="2025"/>
    <x v="0"/>
    <s v="Q4"/>
    <x v="1"/>
  </r>
  <r>
    <s v="O109733"/>
    <x v="637"/>
    <x v="5"/>
    <x v="6"/>
    <x v="3"/>
    <x v="2"/>
    <n v="10"/>
    <n v="237211"/>
    <d v="2026-08-15T00:00:00"/>
    <n v="8"/>
    <n v="15"/>
    <n v="2026"/>
    <x v="8"/>
    <s v="Q3"/>
    <x v="3"/>
  </r>
  <r>
    <s v="O104970"/>
    <x v="480"/>
    <x v="0"/>
    <x v="6"/>
    <x v="3"/>
    <x v="1"/>
    <n v="10"/>
    <n v="236926"/>
    <d v="2025-10-29T00:00:00"/>
    <n v="10"/>
    <n v="29"/>
    <n v="2025"/>
    <x v="9"/>
    <s v="Q4"/>
    <x v="3"/>
  </r>
  <r>
    <s v="O107323"/>
    <x v="139"/>
    <x v="0"/>
    <x v="6"/>
    <x v="0"/>
    <x v="3"/>
    <n v="9"/>
    <n v="236814"/>
    <d v="2026-03-21T00:00:00"/>
    <n v="3"/>
    <n v="21"/>
    <n v="2026"/>
    <x v="5"/>
    <s v="Q1"/>
    <x v="0"/>
  </r>
  <r>
    <s v="O111735"/>
    <x v="152"/>
    <x v="9"/>
    <x v="6"/>
    <x v="0"/>
    <x v="2"/>
    <n v="10"/>
    <n v="236766"/>
    <d v="2026-12-14T00:00:00"/>
    <n v="12"/>
    <n v="14"/>
    <n v="2026"/>
    <x v="7"/>
    <s v="Q4"/>
    <x v="0"/>
  </r>
  <r>
    <s v="O110585"/>
    <x v="496"/>
    <x v="6"/>
    <x v="6"/>
    <x v="0"/>
    <x v="0"/>
    <n v="9"/>
    <n v="236271"/>
    <d v="2026-06-10T00:00:00"/>
    <n v="6"/>
    <n v="10"/>
    <n v="2026"/>
    <x v="2"/>
    <s v="Q2"/>
    <x v="0"/>
  </r>
  <r>
    <s v="O109605"/>
    <x v="504"/>
    <x v="9"/>
    <x v="2"/>
    <x v="6"/>
    <x v="0"/>
    <n v="1"/>
    <n v="236207"/>
    <d v="2026-07-08T00:00:00"/>
    <n v="7"/>
    <n v="8"/>
    <n v="2026"/>
    <x v="10"/>
    <s v="Q3"/>
    <x v="4"/>
  </r>
  <r>
    <s v="O100794"/>
    <x v="128"/>
    <x v="10"/>
    <x v="2"/>
    <x v="0"/>
    <x v="2"/>
    <n v="1"/>
    <n v="235908"/>
    <d v="2025-02-18T00:00:00"/>
    <n v="2"/>
    <n v="18"/>
    <n v="2025"/>
    <x v="4"/>
    <s v="Q1"/>
    <x v="0"/>
  </r>
  <r>
    <s v="O106800"/>
    <x v="620"/>
    <x v="10"/>
    <x v="6"/>
    <x v="4"/>
    <x v="2"/>
    <n v="9"/>
    <n v="235738"/>
    <d v="2026-02-18T00:00:00"/>
    <n v="2"/>
    <n v="18"/>
    <n v="2026"/>
    <x v="4"/>
    <s v="Q1"/>
    <x v="4"/>
  </r>
  <r>
    <s v="O108310"/>
    <x v="514"/>
    <x v="9"/>
    <x v="6"/>
    <x v="4"/>
    <x v="1"/>
    <n v="10"/>
    <n v="235709"/>
    <d v="2026-05-20T00:00:00"/>
    <n v="5"/>
    <n v="20"/>
    <n v="2026"/>
    <x v="3"/>
    <m/>
    <x v="4"/>
  </r>
  <r>
    <s v="O109805"/>
    <x v="566"/>
    <x v="10"/>
    <x v="6"/>
    <x v="4"/>
    <x v="3"/>
    <n v="8"/>
    <n v="235699"/>
    <d v="2026-08-19T00:00:00"/>
    <n v="8"/>
    <n v="19"/>
    <n v="2026"/>
    <x v="8"/>
    <s v="Q3"/>
    <x v="4"/>
  </r>
  <r>
    <s v="O104241"/>
    <x v="398"/>
    <x v="9"/>
    <x v="2"/>
    <x v="5"/>
    <x v="2"/>
    <n v="1"/>
    <n v="235627"/>
    <d v="2025-09-15T00:00:00"/>
    <n v="9"/>
    <n v="15"/>
    <n v="2025"/>
    <x v="1"/>
    <s v="Q3"/>
    <x v="5"/>
  </r>
  <r>
    <s v="O103302"/>
    <x v="195"/>
    <x v="5"/>
    <x v="3"/>
    <x v="1"/>
    <x v="0"/>
    <n v="1"/>
    <n v="235625"/>
    <d v="2025-07-20T00:00:00"/>
    <n v="7"/>
    <n v="20"/>
    <n v="2025"/>
    <x v="10"/>
    <s v="Q3"/>
    <x v="1"/>
  </r>
  <r>
    <s v="O106082"/>
    <x v="6"/>
    <x v="3"/>
    <x v="3"/>
    <x v="2"/>
    <x v="2"/>
    <n v="1"/>
    <n v="235580"/>
    <d v="2026-05-01T00:00:00"/>
    <n v="5"/>
    <n v="1"/>
    <n v="2026"/>
    <x v="3"/>
    <s v="Q2"/>
    <x v="2"/>
  </r>
  <r>
    <s v="O105734"/>
    <x v="216"/>
    <x v="1"/>
    <x v="6"/>
    <x v="4"/>
    <x v="1"/>
    <n v="9"/>
    <n v="235340"/>
    <d v="2025-12-15T00:00:00"/>
    <n v="12"/>
    <n v="15"/>
    <n v="2025"/>
    <x v="7"/>
    <s v="Q4"/>
    <x v="4"/>
  </r>
  <r>
    <s v="O106778"/>
    <x v="240"/>
    <x v="3"/>
    <x v="6"/>
    <x v="4"/>
    <x v="2"/>
    <n v="10"/>
    <n v="235277"/>
    <d v="2026-02-16T00:00:00"/>
    <n v="2"/>
    <n v="16"/>
    <n v="2026"/>
    <x v="4"/>
    <s v="Q1"/>
    <x v="4"/>
  </r>
  <r>
    <s v="O106895"/>
    <x v="723"/>
    <x v="9"/>
    <x v="6"/>
    <x v="3"/>
    <x v="2"/>
    <n v="9"/>
    <n v="234689"/>
    <d v="2026-02-23T00:00:00"/>
    <n v="2"/>
    <n v="23"/>
    <n v="2026"/>
    <x v="4"/>
    <s v="Q1"/>
    <x v="3"/>
  </r>
  <r>
    <s v="O111796"/>
    <x v="669"/>
    <x v="9"/>
    <x v="5"/>
    <x v="1"/>
    <x v="3"/>
    <n v="2"/>
    <n v="234626"/>
    <d v="2026-12-18T00:00:00"/>
    <n v="12"/>
    <n v="18"/>
    <n v="2026"/>
    <x v="7"/>
    <s v="Q4"/>
    <x v="1"/>
  </r>
  <r>
    <s v="O102817"/>
    <x v="177"/>
    <x v="1"/>
    <x v="6"/>
    <x v="2"/>
    <x v="1"/>
    <n v="10"/>
    <n v="234615"/>
    <d v="2025-06-21T00:00:00"/>
    <n v="6"/>
    <n v="21"/>
    <n v="2025"/>
    <x v="2"/>
    <s v="Q2"/>
    <x v="2"/>
  </r>
  <r>
    <s v="O103881"/>
    <x v="639"/>
    <x v="8"/>
    <x v="6"/>
    <x v="0"/>
    <x v="3"/>
    <n v="8"/>
    <n v="234549"/>
    <d v="2025-08-24T00:00:00"/>
    <n v="8"/>
    <n v="24"/>
    <n v="2025"/>
    <x v="8"/>
    <s v="Q3"/>
    <x v="0"/>
  </r>
  <r>
    <s v="O105987"/>
    <x v="454"/>
    <x v="2"/>
    <x v="2"/>
    <x v="4"/>
    <x v="2"/>
    <n v="1"/>
    <n v="234447"/>
    <d v="2025-12-30T00:00:00"/>
    <n v="12"/>
    <n v="30"/>
    <n v="2025"/>
    <x v="7"/>
    <s v="Q4"/>
    <x v="4"/>
  </r>
  <r>
    <s v="O102877"/>
    <x v="603"/>
    <x v="10"/>
    <x v="6"/>
    <x v="1"/>
    <x v="2"/>
    <n v="9"/>
    <n v="234391"/>
    <d v="2025-06-24T00:00:00"/>
    <n v="6"/>
    <n v="24"/>
    <n v="2025"/>
    <x v="2"/>
    <s v="Q2"/>
    <x v="1"/>
  </r>
  <r>
    <s v="O100307"/>
    <x v="353"/>
    <x v="9"/>
    <x v="6"/>
    <x v="4"/>
    <x v="0"/>
    <n v="9"/>
    <n v="234387"/>
    <d v="2025-01-19T00:00:00"/>
    <n v="1"/>
    <n v="19"/>
    <n v="2025"/>
    <x v="6"/>
    <s v="Q1"/>
    <x v="4"/>
  </r>
  <r>
    <s v="O109091"/>
    <x v="10"/>
    <x v="0"/>
    <x v="6"/>
    <x v="3"/>
    <x v="2"/>
    <n v="8"/>
    <n v="234342"/>
    <d v="2026-07-07T00:00:00"/>
    <n v="7"/>
    <n v="7"/>
    <n v="2026"/>
    <x v="10"/>
    <s v="Q3"/>
    <x v="3"/>
  </r>
  <r>
    <s v="O107710"/>
    <x v="773"/>
    <x v="9"/>
    <x v="5"/>
    <x v="4"/>
    <x v="1"/>
    <n v="2"/>
    <n v="234223"/>
    <d v="2026-04-14T00:00:00"/>
    <n v="4"/>
    <n v="14"/>
    <n v="2026"/>
    <x v="11"/>
    <s v="Q2"/>
    <x v="4"/>
  </r>
  <r>
    <s v="O100858"/>
    <x v="778"/>
    <x v="6"/>
    <x v="6"/>
    <x v="1"/>
    <x v="0"/>
    <n v="9"/>
    <n v="234127"/>
    <d v="2025-02-22T00:00:00"/>
    <n v="2"/>
    <n v="22"/>
    <n v="2025"/>
    <x v="4"/>
    <s v="Q1"/>
    <x v="1"/>
  </r>
  <r>
    <s v="O100398"/>
    <x v="127"/>
    <x v="9"/>
    <x v="6"/>
    <x v="4"/>
    <x v="2"/>
    <n v="8"/>
    <n v="233858"/>
    <d v="2025-01-25T00:00:00"/>
    <n v="1"/>
    <n v="25"/>
    <n v="2025"/>
    <x v="6"/>
    <s v="Q1"/>
    <x v="4"/>
  </r>
  <r>
    <s v="O107370"/>
    <x v="474"/>
    <x v="3"/>
    <x v="5"/>
    <x v="3"/>
    <x v="0"/>
    <n v="2"/>
    <n v="233818"/>
    <d v="2026-03-24T00:00:00"/>
    <n v="3"/>
    <n v="24"/>
    <n v="2026"/>
    <x v="5"/>
    <s v="Q1"/>
    <x v="3"/>
  </r>
  <r>
    <s v="O111199"/>
    <x v="135"/>
    <x v="0"/>
    <x v="6"/>
    <x v="3"/>
    <x v="2"/>
    <n v="10"/>
    <n v="233778"/>
    <d v="2026-12-11T00:00:00"/>
    <n v="12"/>
    <n v="11"/>
    <n v="2026"/>
    <x v="7"/>
    <s v="Q4"/>
    <x v="3"/>
  </r>
  <r>
    <s v="O101705"/>
    <x v="554"/>
    <x v="6"/>
    <x v="6"/>
    <x v="3"/>
    <x v="1"/>
    <n v="9"/>
    <n v="233608"/>
    <d v="2025-04-14T00:00:00"/>
    <n v="4"/>
    <n v="14"/>
    <n v="2025"/>
    <x v="11"/>
    <s v="Q2"/>
    <x v="3"/>
  </r>
  <r>
    <s v="O103643"/>
    <x v="613"/>
    <x v="9"/>
    <x v="6"/>
    <x v="0"/>
    <x v="0"/>
    <n v="10"/>
    <n v="233424"/>
    <d v="2025-10-08T00:00:00"/>
    <n v="10"/>
    <n v="8"/>
    <n v="2025"/>
    <x v="9"/>
    <s v="Q4"/>
    <x v="0"/>
  </r>
  <r>
    <s v="O103197"/>
    <x v="400"/>
    <x v="6"/>
    <x v="3"/>
    <x v="4"/>
    <x v="3"/>
    <n v="1"/>
    <n v="233214"/>
    <d v="2025-07-14T00:00:00"/>
    <n v="7"/>
    <n v="14"/>
    <n v="2025"/>
    <x v="10"/>
    <s v="Q3"/>
    <x v="4"/>
  </r>
  <r>
    <s v="O110173"/>
    <x v="161"/>
    <x v="1"/>
    <x v="6"/>
    <x v="0"/>
    <x v="3"/>
    <n v="10"/>
    <n v="233158"/>
    <d v="2026-09-11T00:00:00"/>
    <n v="9"/>
    <n v="11"/>
    <n v="2026"/>
    <x v="1"/>
    <s v="Q3"/>
    <x v="0"/>
  </r>
  <r>
    <s v="O107836"/>
    <x v="270"/>
    <x v="1"/>
    <x v="6"/>
    <x v="0"/>
    <x v="3"/>
    <n v="9"/>
    <n v="233150"/>
    <d v="2026-04-22T00:00:00"/>
    <n v="4"/>
    <n v="22"/>
    <n v="2026"/>
    <x v="11"/>
    <s v="Q2"/>
    <x v="0"/>
  </r>
  <r>
    <s v="O102346"/>
    <x v="388"/>
    <x v="0"/>
    <x v="2"/>
    <x v="2"/>
    <x v="2"/>
    <n v="1"/>
    <n v="233017"/>
    <d v="2025-05-23T00:00:00"/>
    <n v="5"/>
    <n v="23"/>
    <n v="2025"/>
    <x v="3"/>
    <s v="Q2"/>
    <x v="2"/>
  </r>
  <r>
    <s v="O103598"/>
    <x v="591"/>
    <x v="5"/>
    <x v="6"/>
    <x v="0"/>
    <x v="2"/>
    <n v="9"/>
    <n v="232673"/>
    <d v="2025-07-08T00:00:00"/>
    <n v="7"/>
    <n v="8"/>
    <n v="2025"/>
    <x v="10"/>
    <s v="Q3"/>
    <x v="0"/>
  </r>
  <r>
    <s v="O100164"/>
    <x v="713"/>
    <x v="8"/>
    <x v="6"/>
    <x v="1"/>
    <x v="2"/>
    <n v="9"/>
    <n v="232493"/>
    <d v="2025-10-01T00:00:00"/>
    <n v="10"/>
    <n v="1"/>
    <n v="2025"/>
    <x v="9"/>
    <s v="Q4"/>
    <x v="1"/>
  </r>
  <r>
    <s v="O101826"/>
    <x v="762"/>
    <x v="9"/>
    <x v="6"/>
    <x v="4"/>
    <x v="3"/>
    <n v="9"/>
    <n v="232469"/>
    <d v="2025-04-21T00:00:00"/>
    <n v="4"/>
    <n v="21"/>
    <n v="2025"/>
    <x v="11"/>
    <s v="Q2"/>
    <x v="4"/>
  </r>
  <r>
    <s v="O105822"/>
    <x v="219"/>
    <x v="1"/>
    <x v="6"/>
    <x v="1"/>
    <x v="0"/>
    <n v="10"/>
    <n v="232267"/>
    <d v="2025-12-20T00:00:00"/>
    <n v="12"/>
    <n v="20"/>
    <n v="2025"/>
    <x v="7"/>
    <s v="Q4"/>
    <x v="1"/>
  </r>
  <r>
    <s v="O103705"/>
    <x v="550"/>
    <x v="3"/>
    <x v="3"/>
    <x v="2"/>
    <x v="1"/>
    <n v="1"/>
    <n v="232054"/>
    <d v="2025-08-14T00:00:00"/>
    <n v="8"/>
    <n v="14"/>
    <n v="2025"/>
    <x v="8"/>
    <s v="Q3"/>
    <x v="2"/>
  </r>
  <r>
    <s v="O110877"/>
    <x v="504"/>
    <x v="6"/>
    <x v="6"/>
    <x v="0"/>
    <x v="3"/>
    <n v="8"/>
    <n v="231874"/>
    <d v="2026-10-23T00:00:00"/>
    <n v="10"/>
    <n v="23"/>
    <n v="2026"/>
    <x v="9"/>
    <s v="Q4"/>
    <x v="0"/>
  </r>
  <r>
    <s v="O100744"/>
    <x v="42"/>
    <x v="10"/>
    <x v="6"/>
    <x v="4"/>
    <x v="0"/>
    <n v="9"/>
    <n v="231662"/>
    <d v="2025-02-15T00:00:00"/>
    <n v="2"/>
    <n v="15"/>
    <n v="2025"/>
    <x v="4"/>
    <s v="Q1"/>
    <x v="4"/>
  </r>
  <r>
    <s v="O110730"/>
    <x v="438"/>
    <x v="4"/>
    <x v="2"/>
    <x v="4"/>
    <x v="1"/>
    <n v="1"/>
    <n v="231609"/>
    <d v="2026-10-14T00:00:00"/>
    <n v="10"/>
    <n v="14"/>
    <n v="2026"/>
    <x v="9"/>
    <s v="Q4"/>
    <x v="4"/>
  </r>
  <r>
    <s v="O101932"/>
    <x v="421"/>
    <x v="3"/>
    <x v="2"/>
    <x v="2"/>
    <x v="1"/>
    <n v="1"/>
    <n v="231597"/>
    <d v="2025-04-28T00:00:00"/>
    <n v="4"/>
    <n v="28"/>
    <n v="2025"/>
    <x v="11"/>
    <s v="Q2"/>
    <x v="2"/>
  </r>
  <r>
    <s v="O104967"/>
    <x v="119"/>
    <x v="8"/>
    <x v="3"/>
    <x v="4"/>
    <x v="0"/>
    <n v="1"/>
    <n v="231595"/>
    <d v="2025-10-29T00:00:00"/>
    <n v="10"/>
    <n v="29"/>
    <n v="2025"/>
    <x v="9"/>
    <s v="Q4"/>
    <x v="4"/>
  </r>
  <r>
    <s v="O103978"/>
    <x v="738"/>
    <x v="3"/>
    <x v="6"/>
    <x v="2"/>
    <x v="0"/>
    <n v="10"/>
    <n v="231435"/>
    <d v="2025-08-30T00:00:00"/>
    <n v="8"/>
    <n v="30"/>
    <n v="2025"/>
    <x v="8"/>
    <s v="Q3"/>
    <x v="2"/>
  </r>
  <r>
    <s v="O111230"/>
    <x v="315"/>
    <x v="10"/>
    <x v="6"/>
    <x v="3"/>
    <x v="0"/>
    <n v="10"/>
    <n v="231274"/>
    <d v="2026-11-14T00:00:00"/>
    <n v="11"/>
    <n v="14"/>
    <n v="2026"/>
    <x v="0"/>
    <s v="Q4"/>
    <x v="3"/>
  </r>
  <r>
    <s v="O101895"/>
    <x v="457"/>
    <x v="8"/>
    <x v="6"/>
    <x v="4"/>
    <x v="2"/>
    <n v="10"/>
    <n v="231236"/>
    <d v="2025-04-26T00:00:00"/>
    <n v="4"/>
    <n v="26"/>
    <n v="2025"/>
    <x v="11"/>
    <s v="Q2"/>
    <x v="4"/>
  </r>
  <r>
    <s v="O104285"/>
    <x v="229"/>
    <x v="1"/>
    <x v="6"/>
    <x v="2"/>
    <x v="3"/>
    <n v="9"/>
    <n v="231210"/>
    <d v="2025-09-18T00:00:00"/>
    <n v="9"/>
    <n v="18"/>
    <n v="2025"/>
    <x v="1"/>
    <s v="Q3"/>
    <x v="2"/>
  </r>
  <r>
    <s v="O111378"/>
    <x v="193"/>
    <x v="10"/>
    <x v="6"/>
    <x v="3"/>
    <x v="1"/>
    <n v="10"/>
    <n v="231160"/>
    <d v="2026-11-23T00:00:00"/>
    <n v="11"/>
    <n v="23"/>
    <n v="2026"/>
    <x v="0"/>
    <s v="Q4"/>
    <x v="3"/>
  </r>
  <r>
    <s v="O111756"/>
    <x v="273"/>
    <x v="4"/>
    <x v="6"/>
    <x v="3"/>
    <x v="2"/>
    <n v="8"/>
    <n v="230913"/>
    <d v="2026-12-16T00:00:00"/>
    <n v="12"/>
    <n v="16"/>
    <n v="2026"/>
    <x v="7"/>
    <s v="Q4"/>
    <x v="3"/>
  </r>
  <r>
    <s v="O109052"/>
    <x v="649"/>
    <x v="2"/>
    <x v="6"/>
    <x v="2"/>
    <x v="1"/>
    <n v="10"/>
    <n v="230734"/>
    <d v="2026-04-07T00:00:00"/>
    <n v="4"/>
    <n v="7"/>
    <n v="2026"/>
    <x v="11"/>
    <s v="Q2"/>
    <x v="2"/>
  </r>
  <r>
    <s v="O105386"/>
    <x v="472"/>
    <x v="0"/>
    <x v="6"/>
    <x v="4"/>
    <x v="2"/>
    <n v="10"/>
    <n v="230539"/>
    <d v="2025-11-24T00:00:00"/>
    <n v="11"/>
    <n v="24"/>
    <n v="2025"/>
    <x v="0"/>
    <s v="Q4"/>
    <x v="4"/>
  </r>
  <r>
    <s v="O109278"/>
    <x v="488"/>
    <x v="3"/>
    <x v="6"/>
    <x v="3"/>
    <x v="2"/>
    <n v="8"/>
    <n v="230390"/>
    <d v="2026-07-18T00:00:00"/>
    <n v="7"/>
    <n v="18"/>
    <n v="2026"/>
    <x v="10"/>
    <s v="Q3"/>
    <x v="3"/>
  </r>
  <r>
    <s v="O104375"/>
    <x v="136"/>
    <x v="9"/>
    <x v="6"/>
    <x v="4"/>
    <x v="2"/>
    <n v="8"/>
    <n v="230328"/>
    <d v="2025-09-23T00:00:00"/>
    <n v="9"/>
    <n v="23"/>
    <n v="2025"/>
    <x v="1"/>
    <s v="Q3"/>
    <x v="4"/>
  </r>
  <r>
    <s v="O104216"/>
    <x v="167"/>
    <x v="8"/>
    <x v="5"/>
    <x v="0"/>
    <x v="1"/>
    <n v="2"/>
    <n v="230250"/>
    <d v="2025-09-14T00:00:00"/>
    <n v="9"/>
    <n v="14"/>
    <n v="2025"/>
    <x v="1"/>
    <s v="Q3"/>
    <x v="0"/>
  </r>
  <r>
    <s v="O104955"/>
    <x v="794"/>
    <x v="5"/>
    <x v="6"/>
    <x v="3"/>
    <x v="3"/>
    <n v="8"/>
    <n v="230111"/>
    <d v="2025-10-28T00:00:00"/>
    <n v="10"/>
    <n v="28"/>
    <n v="2025"/>
    <x v="9"/>
    <s v="Q4"/>
    <x v="3"/>
  </r>
  <r>
    <s v="O106211"/>
    <x v="294"/>
    <x v="2"/>
    <x v="6"/>
    <x v="1"/>
    <x v="0"/>
    <n v="9"/>
    <n v="230103"/>
    <d v="2026-01-13T00:00:00"/>
    <n v="1"/>
    <n v="13"/>
    <n v="2026"/>
    <x v="6"/>
    <s v="Q1"/>
    <x v="1"/>
  </r>
  <r>
    <s v="O102359"/>
    <x v="420"/>
    <x v="10"/>
    <x v="6"/>
    <x v="3"/>
    <x v="3"/>
    <n v="8"/>
    <n v="230068"/>
    <d v="2025-05-24T00:00:00"/>
    <n v="5"/>
    <n v="24"/>
    <n v="2025"/>
    <x v="3"/>
    <s v="Q2"/>
    <x v="3"/>
  </r>
  <r>
    <s v="O102278"/>
    <x v="517"/>
    <x v="9"/>
    <x v="6"/>
    <x v="2"/>
    <x v="3"/>
    <n v="8"/>
    <n v="230043"/>
    <d v="2025-05-19T00:00:00"/>
    <n v="5"/>
    <n v="19"/>
    <n v="2025"/>
    <x v="3"/>
    <s v="Q2"/>
    <x v="2"/>
  </r>
  <r>
    <s v="O109030"/>
    <x v="638"/>
    <x v="9"/>
    <x v="6"/>
    <x v="4"/>
    <x v="2"/>
    <n v="9"/>
    <n v="229909"/>
    <d v="2026-03-07T00:00:00"/>
    <n v="3"/>
    <n v="7"/>
    <n v="2026"/>
    <x v="5"/>
    <s v="Q1"/>
    <x v="4"/>
  </r>
  <r>
    <s v="O102283"/>
    <x v="480"/>
    <x v="1"/>
    <x v="6"/>
    <x v="3"/>
    <x v="1"/>
    <n v="10"/>
    <n v="229863"/>
    <d v="2025-05-19T00:00:00"/>
    <n v="5"/>
    <n v="19"/>
    <n v="2025"/>
    <x v="3"/>
    <s v="Q2"/>
    <x v="3"/>
  </r>
  <r>
    <s v="O110512"/>
    <x v="279"/>
    <x v="6"/>
    <x v="6"/>
    <x v="2"/>
    <x v="1"/>
    <n v="10"/>
    <n v="229760"/>
    <d v="2026-01-10T00:00:00"/>
    <n v="1"/>
    <n v="10"/>
    <n v="2026"/>
    <x v="6"/>
    <s v="Q1"/>
    <x v="2"/>
  </r>
  <r>
    <s v="O111908"/>
    <x v="351"/>
    <x v="5"/>
    <x v="6"/>
    <x v="3"/>
    <x v="0"/>
    <n v="10"/>
    <n v="229691"/>
    <d v="2026-12-25T00:00:00"/>
    <n v="12"/>
    <n v="25"/>
    <n v="2026"/>
    <x v="7"/>
    <s v="Q4"/>
    <x v="3"/>
  </r>
  <r>
    <s v="O104096"/>
    <x v="528"/>
    <x v="3"/>
    <x v="6"/>
    <x v="3"/>
    <x v="2"/>
    <n v="8"/>
    <n v="229644"/>
    <d v="2025-06-09T00:00:00"/>
    <n v="6"/>
    <n v="9"/>
    <n v="2025"/>
    <x v="2"/>
    <s v="Q2"/>
    <x v="3"/>
  </r>
  <r>
    <s v="O102072"/>
    <x v="441"/>
    <x v="1"/>
    <x v="6"/>
    <x v="0"/>
    <x v="2"/>
    <n v="8"/>
    <n v="229608"/>
    <d v="2025-06-05T00:00:00"/>
    <n v="6"/>
    <n v="5"/>
    <n v="2025"/>
    <x v="2"/>
    <s v="Q2"/>
    <x v="0"/>
  </r>
  <r>
    <s v="O100098"/>
    <x v="141"/>
    <x v="8"/>
    <x v="6"/>
    <x v="4"/>
    <x v="1"/>
    <n v="10"/>
    <n v="229485"/>
    <d v="2025-06-01T00:00:00"/>
    <n v="6"/>
    <n v="1"/>
    <n v="2025"/>
    <x v="2"/>
    <s v="Q2"/>
    <x v="4"/>
  </r>
  <r>
    <s v="O106420"/>
    <x v="327"/>
    <x v="4"/>
    <x v="6"/>
    <x v="2"/>
    <x v="3"/>
    <n v="9"/>
    <n v="229244"/>
    <d v="2026-01-25T00:00:00"/>
    <n v="1"/>
    <n v="25"/>
    <n v="2026"/>
    <x v="6"/>
    <s v="Q1"/>
    <x v="2"/>
  </r>
  <r>
    <s v="O103666"/>
    <x v="191"/>
    <x v="10"/>
    <x v="6"/>
    <x v="4"/>
    <x v="0"/>
    <n v="8"/>
    <n v="228884"/>
    <d v="2025-11-08T00:00:00"/>
    <n v="11"/>
    <n v="8"/>
    <n v="2025"/>
    <x v="0"/>
    <s v="Q4"/>
    <x v="4"/>
  </r>
  <r>
    <s v="O102557"/>
    <x v="58"/>
    <x v="8"/>
    <x v="6"/>
    <x v="3"/>
    <x v="1"/>
    <n v="8"/>
    <n v="228875"/>
    <d v="2025-05-06T00:00:00"/>
    <n v="5"/>
    <n v="6"/>
    <n v="2025"/>
    <x v="3"/>
    <s v="Q2"/>
    <x v="3"/>
  </r>
  <r>
    <s v="O106147"/>
    <x v="395"/>
    <x v="4"/>
    <x v="6"/>
    <x v="2"/>
    <x v="3"/>
    <n v="8"/>
    <n v="228165"/>
    <d v="2026-09-01T00:00:00"/>
    <n v="9"/>
    <n v="1"/>
    <n v="2026"/>
    <x v="1"/>
    <s v="Q3"/>
    <x v="2"/>
  </r>
  <r>
    <s v="O108613"/>
    <x v="78"/>
    <x v="10"/>
    <x v="3"/>
    <x v="2"/>
    <x v="0"/>
    <n v="1"/>
    <n v="228115"/>
    <d v="2026-08-06T00:00:00"/>
    <n v="8"/>
    <n v="6"/>
    <n v="2026"/>
    <x v="8"/>
    <s v="Q3"/>
    <x v="2"/>
  </r>
  <r>
    <s v="O100173"/>
    <x v="65"/>
    <x v="5"/>
    <x v="6"/>
    <x v="3"/>
    <x v="1"/>
    <n v="9"/>
    <n v="228013"/>
    <d v="2025-11-01T00:00:00"/>
    <n v="11"/>
    <n v="1"/>
    <n v="2025"/>
    <x v="0"/>
    <s v="Q4"/>
    <x v="3"/>
  </r>
  <r>
    <s v="O103995"/>
    <x v="552"/>
    <x v="8"/>
    <x v="6"/>
    <x v="3"/>
    <x v="2"/>
    <n v="8"/>
    <n v="227953"/>
    <d v="2025-08-31T00:00:00"/>
    <n v="8"/>
    <n v="31"/>
    <n v="2025"/>
    <x v="8"/>
    <s v="Q3"/>
    <x v="3"/>
  </r>
  <r>
    <s v="O107937"/>
    <x v="91"/>
    <x v="0"/>
    <x v="6"/>
    <x v="1"/>
    <x v="0"/>
    <n v="10"/>
    <n v="227906"/>
    <d v="2026-04-28T00:00:00"/>
    <n v="4"/>
    <n v="28"/>
    <n v="2026"/>
    <x v="11"/>
    <s v="Q2"/>
    <x v="1"/>
  </r>
  <r>
    <s v="O109272"/>
    <x v="434"/>
    <x v="3"/>
    <x v="6"/>
    <x v="4"/>
    <x v="2"/>
    <n v="10"/>
    <n v="227884"/>
    <d v="2026-07-18T00:00:00"/>
    <n v="7"/>
    <n v="18"/>
    <n v="2026"/>
    <x v="10"/>
    <s v="Q3"/>
    <x v="4"/>
  </r>
  <r>
    <s v="O107050"/>
    <x v="472"/>
    <x v="2"/>
    <x v="6"/>
    <x v="9"/>
    <x v="1"/>
    <n v="10"/>
    <n v="227799"/>
    <d v="2026-05-03T00:00:00"/>
    <n v="5"/>
    <n v="3"/>
    <n v="2026"/>
    <x v="3"/>
    <s v="Q2"/>
    <x v="0"/>
  </r>
  <r>
    <s v="O105057"/>
    <x v="53"/>
    <x v="9"/>
    <x v="6"/>
    <x v="1"/>
    <x v="1"/>
    <n v="10"/>
    <n v="227755"/>
    <d v="2025-04-11T00:00:00"/>
    <n v="4"/>
    <n v="11"/>
    <n v="2025"/>
    <x v="11"/>
    <s v="Q2"/>
    <x v="1"/>
  </r>
  <r>
    <s v="O106548"/>
    <x v="194"/>
    <x v="3"/>
    <x v="6"/>
    <x v="0"/>
    <x v="4"/>
    <n v="10"/>
    <n v="227736"/>
    <d v="2026-02-02T00:00:00"/>
    <n v="2"/>
    <n v="2"/>
    <n v="2026"/>
    <x v="4"/>
    <s v="Q1"/>
    <x v="0"/>
  </r>
  <r>
    <s v="O111758"/>
    <x v="485"/>
    <x v="0"/>
    <x v="5"/>
    <x v="4"/>
    <x v="2"/>
    <n v="2"/>
    <n v="227699"/>
    <d v="2026-12-16T00:00:00"/>
    <n v="12"/>
    <n v="16"/>
    <n v="2026"/>
    <x v="7"/>
    <s v="Q4"/>
    <x v="4"/>
  </r>
  <r>
    <s v="O108596"/>
    <x v="119"/>
    <x v="6"/>
    <x v="6"/>
    <x v="3"/>
    <x v="1"/>
    <n v="8"/>
    <n v="227683"/>
    <d v="2026-07-06T00:00:00"/>
    <n v="7"/>
    <n v="6"/>
    <n v="2026"/>
    <x v="10"/>
    <s v="Q3"/>
    <x v="3"/>
  </r>
  <r>
    <s v="O100624"/>
    <x v="473"/>
    <x v="5"/>
    <x v="6"/>
    <x v="2"/>
    <x v="0"/>
    <n v="10"/>
    <n v="227674"/>
    <d v="2025-07-02T00:00:00"/>
    <n v="7"/>
    <n v="2"/>
    <n v="2025"/>
    <x v="10"/>
    <s v="Q3"/>
    <x v="2"/>
  </r>
  <r>
    <s v="O101224"/>
    <x v="271"/>
    <x v="1"/>
    <x v="3"/>
    <x v="3"/>
    <x v="3"/>
    <n v="1"/>
    <n v="227464"/>
    <d v="2025-03-16T00:00:00"/>
    <n v="3"/>
    <n v="16"/>
    <n v="2025"/>
    <x v="5"/>
    <s v="Q1"/>
    <x v="3"/>
  </r>
  <r>
    <s v="O102993"/>
    <x v="18"/>
    <x v="9"/>
    <x v="6"/>
    <x v="0"/>
    <x v="3"/>
    <n v="8"/>
    <n v="227335"/>
    <d v="2025-01-07T00:00:00"/>
    <n v="1"/>
    <n v="7"/>
    <n v="2025"/>
    <x v="6"/>
    <s v="Q1"/>
    <x v="0"/>
  </r>
  <r>
    <s v="O108859"/>
    <x v="625"/>
    <x v="4"/>
    <x v="2"/>
    <x v="3"/>
    <x v="2"/>
    <n v="1"/>
    <n v="227304"/>
    <d v="2026-06-23T00:00:00"/>
    <n v="6"/>
    <n v="23"/>
    <n v="2026"/>
    <x v="2"/>
    <s v="Q2"/>
    <x v="3"/>
  </r>
  <r>
    <s v="O102186"/>
    <x v="53"/>
    <x v="8"/>
    <x v="3"/>
    <x v="4"/>
    <x v="3"/>
    <n v="1"/>
    <n v="227046"/>
    <d v="2025-05-13T00:00:00"/>
    <n v="5"/>
    <n v="13"/>
    <n v="2025"/>
    <x v="3"/>
    <s v="Q2"/>
    <x v="4"/>
  </r>
  <r>
    <s v="O107158"/>
    <x v="443"/>
    <x v="6"/>
    <x v="6"/>
    <x v="0"/>
    <x v="1"/>
    <n v="10"/>
    <n v="226942"/>
    <d v="2026-11-03T00:00:00"/>
    <n v="11"/>
    <n v="3"/>
    <n v="2026"/>
    <x v="0"/>
    <m/>
    <x v="0"/>
  </r>
  <r>
    <s v="O101121"/>
    <x v="104"/>
    <x v="8"/>
    <x v="5"/>
    <x v="0"/>
    <x v="2"/>
    <n v="2"/>
    <n v="226744"/>
    <d v="2025-10-03T00:00:00"/>
    <n v="10"/>
    <n v="3"/>
    <n v="2025"/>
    <x v="9"/>
    <s v="Q4"/>
    <x v="0"/>
  </r>
  <r>
    <s v="O109972"/>
    <x v="30"/>
    <x v="2"/>
    <x v="3"/>
    <x v="1"/>
    <x v="0"/>
    <n v="1"/>
    <n v="226717"/>
    <d v="2026-08-29T00:00:00"/>
    <n v="8"/>
    <n v="29"/>
    <n v="2026"/>
    <x v="8"/>
    <s v="Q3"/>
    <x v="1"/>
  </r>
  <r>
    <s v="O107895"/>
    <x v="592"/>
    <x v="6"/>
    <x v="6"/>
    <x v="1"/>
    <x v="2"/>
    <n v="9"/>
    <n v="226634"/>
    <d v="2026-04-25T00:00:00"/>
    <n v="4"/>
    <n v="25"/>
    <n v="2026"/>
    <x v="11"/>
    <s v="Q2"/>
    <x v="1"/>
  </r>
  <r>
    <s v="O105683"/>
    <x v="341"/>
    <x v="1"/>
    <x v="3"/>
    <x v="4"/>
    <x v="3"/>
    <n v="1"/>
    <n v="226508"/>
    <d v="2025-12-12T00:00:00"/>
    <n v="12"/>
    <n v="12"/>
    <n v="2025"/>
    <x v="7"/>
    <m/>
    <x v="4"/>
  </r>
  <r>
    <s v="O108952"/>
    <x v="402"/>
    <x v="3"/>
    <x v="5"/>
    <x v="3"/>
    <x v="2"/>
    <n v="2"/>
    <n v="226502"/>
    <d v="2026-06-28T00:00:00"/>
    <n v="6"/>
    <n v="28"/>
    <n v="2026"/>
    <x v="2"/>
    <s v="Q2"/>
    <x v="3"/>
  </r>
  <r>
    <s v="O107876"/>
    <x v="542"/>
    <x v="1"/>
    <x v="6"/>
    <x v="4"/>
    <x v="3"/>
    <n v="9"/>
    <n v="226353"/>
    <d v="2026-04-24T00:00:00"/>
    <n v="4"/>
    <n v="24"/>
    <n v="2026"/>
    <x v="11"/>
    <s v="Q2"/>
    <x v="4"/>
  </r>
  <r>
    <s v="O107066"/>
    <x v="673"/>
    <x v="5"/>
    <x v="2"/>
    <x v="2"/>
    <x v="2"/>
    <n v="1"/>
    <n v="226174"/>
    <d v="2026-06-03T00:00:00"/>
    <n v="6"/>
    <n v="3"/>
    <n v="2026"/>
    <x v="2"/>
    <s v="Q2"/>
    <x v="2"/>
  </r>
  <r>
    <s v="O100358"/>
    <x v="463"/>
    <x v="4"/>
    <x v="2"/>
    <x v="0"/>
    <x v="3"/>
    <n v="1"/>
    <n v="226160"/>
    <d v="2025-01-22T00:00:00"/>
    <n v="1"/>
    <n v="22"/>
    <n v="2025"/>
    <x v="6"/>
    <s v="Q1"/>
    <x v="0"/>
  </r>
  <r>
    <s v="O111619"/>
    <x v="94"/>
    <x v="10"/>
    <x v="3"/>
    <x v="3"/>
    <x v="3"/>
    <n v="1"/>
    <n v="225982"/>
    <d v="2026-07-12T00:00:00"/>
    <n v="7"/>
    <n v="12"/>
    <n v="2026"/>
    <x v="10"/>
    <s v="Q3"/>
    <x v="3"/>
  </r>
  <r>
    <s v="O106731"/>
    <x v="182"/>
    <x v="2"/>
    <x v="6"/>
    <x v="3"/>
    <x v="3"/>
    <n v="10"/>
    <n v="225919"/>
    <d v="2026-02-13T00:00:00"/>
    <n v="2"/>
    <n v="13"/>
    <n v="2026"/>
    <x v="4"/>
    <s v="Q1"/>
    <x v="3"/>
  </r>
  <r>
    <s v="O105539"/>
    <x v="410"/>
    <x v="1"/>
    <x v="6"/>
    <x v="3"/>
    <x v="1"/>
    <n v="8"/>
    <n v="225803"/>
    <d v="2025-03-12T00:00:00"/>
    <n v="3"/>
    <n v="12"/>
    <n v="2025"/>
    <x v="5"/>
    <s v="Q1"/>
    <x v="3"/>
  </r>
  <r>
    <s v="O101878"/>
    <x v="631"/>
    <x v="5"/>
    <x v="6"/>
    <x v="3"/>
    <x v="1"/>
    <n v="9"/>
    <n v="225713"/>
    <d v="2025-04-25T00:00:00"/>
    <n v="4"/>
    <n v="25"/>
    <n v="2025"/>
    <x v="11"/>
    <s v="Q2"/>
    <x v="3"/>
  </r>
  <r>
    <s v="O104810"/>
    <x v="507"/>
    <x v="2"/>
    <x v="5"/>
    <x v="4"/>
    <x v="0"/>
    <n v="2"/>
    <n v="225677"/>
    <d v="2025-10-20T00:00:00"/>
    <n v="10"/>
    <n v="20"/>
    <n v="2025"/>
    <x v="9"/>
    <s v="Q4"/>
    <x v="4"/>
  </r>
  <r>
    <s v="O106306"/>
    <x v="611"/>
    <x v="1"/>
    <x v="6"/>
    <x v="2"/>
    <x v="2"/>
    <n v="10"/>
    <n v="225429"/>
    <d v="2026-01-19T00:00:00"/>
    <n v="1"/>
    <n v="19"/>
    <n v="2026"/>
    <x v="6"/>
    <s v="Q1"/>
    <x v="2"/>
  </r>
  <r>
    <s v="O106580"/>
    <x v="553"/>
    <x v="2"/>
    <x v="2"/>
    <x v="2"/>
    <x v="2"/>
    <n v="1"/>
    <n v="225321"/>
    <d v="2026-04-02T00:00:00"/>
    <n v="4"/>
    <n v="2"/>
    <n v="2026"/>
    <x v="11"/>
    <s v="Q2"/>
    <x v="2"/>
  </r>
  <r>
    <s v="O105900"/>
    <x v="251"/>
    <x v="3"/>
    <x v="6"/>
    <x v="4"/>
    <x v="2"/>
    <n v="9"/>
    <n v="224484"/>
    <d v="2025-12-25T00:00:00"/>
    <n v="12"/>
    <n v="25"/>
    <n v="2025"/>
    <x v="7"/>
    <s v="Q4"/>
    <x v="4"/>
  </r>
  <r>
    <s v="O101055"/>
    <x v="640"/>
    <x v="6"/>
    <x v="3"/>
    <x v="1"/>
    <x v="1"/>
    <n v="1"/>
    <n v="224400"/>
    <d v="2025-06-03T00:00:00"/>
    <n v="6"/>
    <n v="3"/>
    <n v="2025"/>
    <x v="2"/>
    <s v="Q2"/>
    <x v="1"/>
  </r>
  <r>
    <s v="O109244"/>
    <x v="715"/>
    <x v="1"/>
    <x v="4"/>
    <x v="2"/>
    <x v="3"/>
    <n v="1"/>
    <n v="224349"/>
    <d v="2026-07-16T00:00:00"/>
    <n v="7"/>
    <n v="16"/>
    <n v="2026"/>
    <x v="10"/>
    <s v="Q3"/>
    <x v="2"/>
  </r>
  <r>
    <s v="O108763"/>
    <x v="382"/>
    <x v="6"/>
    <x v="6"/>
    <x v="0"/>
    <x v="2"/>
    <n v="8"/>
    <n v="224158"/>
    <d v="2026-06-17T00:00:00"/>
    <n v="6"/>
    <n v="17"/>
    <n v="2026"/>
    <x v="2"/>
    <s v="Q2"/>
    <x v="0"/>
  </r>
  <r>
    <s v="O110691"/>
    <x v="35"/>
    <x v="10"/>
    <x v="4"/>
    <x v="2"/>
    <x v="2"/>
    <n v="1"/>
    <n v="224001"/>
    <d v="2026-12-10T00:00:00"/>
    <n v="12"/>
    <n v="10"/>
    <n v="2026"/>
    <x v="7"/>
    <s v="Q4"/>
    <x v="2"/>
  </r>
  <r>
    <s v="O110392"/>
    <x v="151"/>
    <x v="0"/>
    <x v="6"/>
    <x v="3"/>
    <x v="1"/>
    <n v="9"/>
    <n v="223838"/>
    <d v="2026-09-24T00:00:00"/>
    <n v="9"/>
    <n v="24"/>
    <n v="2026"/>
    <x v="1"/>
    <s v="Q3"/>
    <x v="3"/>
  </r>
  <r>
    <s v="O107157"/>
    <x v="278"/>
    <x v="4"/>
    <x v="6"/>
    <x v="0"/>
    <x v="0"/>
    <n v="10"/>
    <n v="223812"/>
    <d v="2026-11-03T00:00:00"/>
    <n v="11"/>
    <n v="3"/>
    <n v="2026"/>
    <x v="0"/>
    <s v="Q4"/>
    <x v="0"/>
  </r>
  <r>
    <s v="O110642"/>
    <x v="560"/>
    <x v="10"/>
    <x v="5"/>
    <x v="4"/>
    <x v="0"/>
    <n v="2"/>
    <n v="223779"/>
    <d v="2026-09-10T00:00:00"/>
    <n v="9"/>
    <n v="10"/>
    <n v="2026"/>
    <x v="1"/>
    <s v="Q3"/>
    <x v="4"/>
  </r>
  <r>
    <s v="O104715"/>
    <x v="181"/>
    <x v="1"/>
    <x v="6"/>
    <x v="0"/>
    <x v="2"/>
    <n v="8"/>
    <n v="223770"/>
    <d v="2025-10-14T00:00:00"/>
    <n v="10"/>
    <n v="14"/>
    <n v="2025"/>
    <x v="9"/>
    <s v="Q4"/>
    <x v="0"/>
  </r>
  <r>
    <s v="O109093"/>
    <x v="321"/>
    <x v="0"/>
    <x v="6"/>
    <x v="0"/>
    <x v="1"/>
    <n v="8"/>
    <n v="223690"/>
    <d v="2026-07-07T00:00:00"/>
    <n v="7"/>
    <n v="7"/>
    <n v="2026"/>
    <x v="10"/>
    <s v="Q3"/>
    <x v="0"/>
  </r>
  <r>
    <s v="O105697"/>
    <x v="578"/>
    <x v="1"/>
    <x v="6"/>
    <x v="4"/>
    <x v="0"/>
    <n v="9"/>
    <n v="223666"/>
    <d v="2025-12-13T00:00:00"/>
    <n v="12"/>
    <n v="13"/>
    <n v="2025"/>
    <x v="7"/>
    <s v="Q4"/>
    <x v="4"/>
  </r>
  <r>
    <s v="O106745"/>
    <x v="228"/>
    <x v="9"/>
    <x v="6"/>
    <x v="4"/>
    <x v="3"/>
    <n v="10"/>
    <n v="223596"/>
    <d v="2026-02-14T00:00:00"/>
    <n v="2"/>
    <n v="14"/>
    <n v="2026"/>
    <x v="4"/>
    <s v="Q1"/>
    <x v="4"/>
  </r>
  <r>
    <s v="O105208"/>
    <x v="352"/>
    <x v="5"/>
    <x v="6"/>
    <x v="1"/>
    <x v="3"/>
    <n v="9"/>
    <n v="223217"/>
    <d v="2025-11-13T00:00:00"/>
    <n v="11"/>
    <n v="13"/>
    <n v="2025"/>
    <x v="0"/>
    <s v="Q4"/>
    <x v="1"/>
  </r>
  <r>
    <s v="O111121"/>
    <x v="584"/>
    <x v="0"/>
    <x v="4"/>
    <x v="3"/>
    <x v="1"/>
    <n v="1"/>
    <n v="223215"/>
    <d v="2026-07-11T00:00:00"/>
    <n v="7"/>
    <n v="11"/>
    <n v="2026"/>
    <x v="10"/>
    <s v="Q3"/>
    <x v="3"/>
  </r>
  <r>
    <s v="O111016"/>
    <x v="19"/>
    <x v="1"/>
    <x v="3"/>
    <x v="3"/>
    <x v="1"/>
    <n v="1"/>
    <n v="222951"/>
    <d v="2026-01-11T00:00:00"/>
    <n v="1"/>
    <n v="11"/>
    <n v="2026"/>
    <x v="6"/>
    <s v="Q1"/>
    <x v="3"/>
  </r>
  <r>
    <s v="O108804"/>
    <x v="795"/>
    <x v="6"/>
    <x v="3"/>
    <x v="0"/>
    <x v="3"/>
    <n v="1"/>
    <n v="222820"/>
    <d v="2026-06-19T00:00:00"/>
    <n v="6"/>
    <n v="19"/>
    <n v="2026"/>
    <x v="2"/>
    <s v="Q2"/>
    <x v="0"/>
  </r>
  <r>
    <s v="O111560"/>
    <x v="506"/>
    <x v="3"/>
    <x v="5"/>
    <x v="1"/>
    <x v="3"/>
    <n v="2"/>
    <n v="222783"/>
    <d v="2026-04-12T00:00:00"/>
    <n v="4"/>
    <n v="12"/>
    <n v="2026"/>
    <x v="11"/>
    <s v="Q2"/>
    <x v="1"/>
  </r>
  <r>
    <s v="O110711"/>
    <x v="368"/>
    <x v="8"/>
    <x v="6"/>
    <x v="4"/>
    <x v="0"/>
    <n v="9"/>
    <n v="222723"/>
    <d v="2026-10-13T00:00:00"/>
    <n v="10"/>
    <n v="13"/>
    <n v="2026"/>
    <x v="9"/>
    <s v="Q4"/>
    <x v="4"/>
  </r>
  <r>
    <s v="O102472"/>
    <x v="771"/>
    <x v="3"/>
    <x v="3"/>
    <x v="2"/>
    <x v="2"/>
    <n v="1"/>
    <n v="222598"/>
    <d v="2025-05-31T00:00:00"/>
    <n v="5"/>
    <n v="31"/>
    <n v="2025"/>
    <x v="3"/>
    <s v="Q2"/>
    <x v="2"/>
  </r>
  <r>
    <s v="O102062"/>
    <x v="199"/>
    <x v="1"/>
    <x v="6"/>
    <x v="1"/>
    <x v="2"/>
    <n v="10"/>
    <n v="222546"/>
    <d v="2025-06-05T00:00:00"/>
    <n v="6"/>
    <n v="5"/>
    <n v="2025"/>
    <x v="2"/>
    <s v="Q2"/>
    <x v="1"/>
  </r>
  <r>
    <s v="O100409"/>
    <x v="189"/>
    <x v="4"/>
    <x v="5"/>
    <x v="4"/>
    <x v="0"/>
    <n v="2"/>
    <n v="222442"/>
    <d v="2025-01-25T00:00:00"/>
    <n v="1"/>
    <n v="25"/>
    <n v="2025"/>
    <x v="6"/>
    <s v="Q1"/>
    <x v="4"/>
  </r>
  <r>
    <s v="O104882"/>
    <x v="404"/>
    <x v="8"/>
    <x v="6"/>
    <x v="1"/>
    <x v="0"/>
    <n v="9"/>
    <n v="222442"/>
    <d v="2025-10-24T00:00:00"/>
    <n v="10"/>
    <n v="24"/>
    <n v="2025"/>
    <x v="9"/>
    <s v="Q4"/>
    <x v="1"/>
  </r>
  <r>
    <s v="O109828"/>
    <x v="200"/>
    <x v="5"/>
    <x v="6"/>
    <x v="2"/>
    <x v="0"/>
    <n v="8"/>
    <n v="222074"/>
    <d v="2026-08-21T00:00:00"/>
    <n v="8"/>
    <n v="21"/>
    <n v="2026"/>
    <x v="8"/>
    <s v="Q3"/>
    <x v="2"/>
  </r>
  <r>
    <s v="O101432"/>
    <x v="242"/>
    <x v="2"/>
    <x v="6"/>
    <x v="1"/>
    <x v="2"/>
    <n v="9"/>
    <n v="222006"/>
    <d v="2025-03-28T00:00:00"/>
    <n v="3"/>
    <n v="28"/>
    <n v="2025"/>
    <x v="5"/>
    <s v="Q1"/>
    <x v="1"/>
  </r>
  <r>
    <s v="O108364"/>
    <x v="107"/>
    <x v="10"/>
    <x v="6"/>
    <x v="4"/>
    <x v="3"/>
    <n v="10"/>
    <n v="221891"/>
    <d v="2026-05-24T00:00:00"/>
    <n v="5"/>
    <n v="24"/>
    <n v="2026"/>
    <x v="3"/>
    <s v="Q2"/>
    <x v="4"/>
  </r>
  <r>
    <s v="O111664"/>
    <x v="391"/>
    <x v="9"/>
    <x v="4"/>
    <x v="4"/>
    <x v="3"/>
    <n v="1"/>
    <n v="221848"/>
    <d v="2026-10-12T00:00:00"/>
    <n v="10"/>
    <n v="12"/>
    <n v="2026"/>
    <x v="9"/>
    <s v="Q4"/>
    <x v="4"/>
  </r>
  <r>
    <s v="O107709"/>
    <x v="355"/>
    <x v="4"/>
    <x v="6"/>
    <x v="0"/>
    <x v="0"/>
    <n v="8"/>
    <n v="221816"/>
    <d v="2026-04-14T00:00:00"/>
    <n v="4"/>
    <n v="14"/>
    <n v="2026"/>
    <x v="11"/>
    <s v="Q2"/>
    <x v="0"/>
  </r>
  <r>
    <s v="O108220"/>
    <x v="166"/>
    <x v="2"/>
    <x v="4"/>
    <x v="4"/>
    <x v="0"/>
    <n v="1"/>
    <n v="221696"/>
    <d v="2026-05-15T00:00:00"/>
    <n v="5"/>
    <n v="15"/>
    <n v="2026"/>
    <x v="3"/>
    <s v="Q2"/>
    <x v="4"/>
  </r>
  <r>
    <s v="O109806"/>
    <x v="739"/>
    <x v="4"/>
    <x v="4"/>
    <x v="2"/>
    <x v="1"/>
    <n v="1"/>
    <n v="221440"/>
    <d v="2026-08-19T00:00:00"/>
    <n v="8"/>
    <n v="19"/>
    <n v="2026"/>
    <x v="8"/>
    <s v="Q3"/>
    <x v="2"/>
  </r>
  <r>
    <s v="O110243"/>
    <x v="334"/>
    <x v="2"/>
    <x v="6"/>
    <x v="1"/>
    <x v="2"/>
    <n v="9"/>
    <n v="221362"/>
    <d v="2026-09-15T00:00:00"/>
    <n v="9"/>
    <n v="15"/>
    <n v="2026"/>
    <x v="1"/>
    <s v="Q3"/>
    <x v="1"/>
  </r>
  <r>
    <s v="O108067"/>
    <x v="609"/>
    <x v="10"/>
    <x v="6"/>
    <x v="0"/>
    <x v="1"/>
    <n v="10"/>
    <n v="221137"/>
    <d v="2026-06-05T00:00:00"/>
    <n v="6"/>
    <n v="5"/>
    <n v="2026"/>
    <x v="2"/>
    <s v="Q2"/>
    <x v="0"/>
  </r>
  <r>
    <s v="O107932"/>
    <x v="614"/>
    <x v="10"/>
    <x v="4"/>
    <x v="2"/>
    <x v="1"/>
    <n v="1"/>
    <n v="220801"/>
    <d v="2026-04-27T00:00:00"/>
    <n v="4"/>
    <n v="27"/>
    <n v="2026"/>
    <x v="11"/>
    <s v="Q2"/>
    <x v="2"/>
  </r>
  <r>
    <s v="O107780"/>
    <x v="400"/>
    <x v="0"/>
    <x v="6"/>
    <x v="3"/>
    <x v="0"/>
    <n v="8"/>
    <n v="220526"/>
    <d v="2026-04-18T00:00:00"/>
    <n v="4"/>
    <n v="18"/>
    <n v="2026"/>
    <x v="11"/>
    <s v="Q2"/>
    <x v="3"/>
  </r>
  <r>
    <s v="O106239"/>
    <x v="701"/>
    <x v="1"/>
    <x v="5"/>
    <x v="0"/>
    <x v="1"/>
    <n v="2"/>
    <n v="220197"/>
    <d v="2026-01-14T00:00:00"/>
    <n v="1"/>
    <n v="14"/>
    <n v="2026"/>
    <x v="6"/>
    <s v="Q1"/>
    <x v="0"/>
  </r>
  <r>
    <s v="O106038"/>
    <x v="4"/>
    <x v="10"/>
    <x v="5"/>
    <x v="4"/>
    <x v="3"/>
    <n v="2"/>
    <n v="220172"/>
    <d v="2026-02-01T00:00:00"/>
    <n v="2"/>
    <n v="1"/>
    <n v="2026"/>
    <x v="4"/>
    <s v="Q1"/>
    <x v="4"/>
  </r>
  <r>
    <s v="O105407"/>
    <x v="444"/>
    <x v="6"/>
    <x v="3"/>
    <x v="4"/>
    <x v="1"/>
    <n v="1"/>
    <n v="220171"/>
    <d v="2025-11-25T00:00:00"/>
    <n v="11"/>
    <n v="25"/>
    <n v="2025"/>
    <x v="0"/>
    <s v="Q4"/>
    <x v="4"/>
  </r>
  <r>
    <s v="O101353"/>
    <x v="320"/>
    <x v="4"/>
    <x v="6"/>
    <x v="4"/>
    <x v="2"/>
    <n v="10"/>
    <n v="219803"/>
    <d v="2025-03-24T00:00:00"/>
    <n v="3"/>
    <n v="24"/>
    <n v="2025"/>
    <x v="5"/>
    <s v="Q1"/>
    <x v="4"/>
  </r>
  <r>
    <s v="O105281"/>
    <x v="394"/>
    <x v="8"/>
    <x v="3"/>
    <x v="3"/>
    <x v="1"/>
    <n v="1"/>
    <n v="219374"/>
    <d v="2025-11-17T00:00:00"/>
    <n v="11"/>
    <n v="17"/>
    <n v="2025"/>
    <x v="0"/>
    <s v="Q4"/>
    <x v="3"/>
  </r>
  <r>
    <s v="O106150"/>
    <x v="253"/>
    <x v="1"/>
    <x v="3"/>
    <x v="2"/>
    <x v="3"/>
    <n v="1"/>
    <n v="219107"/>
    <d v="2026-09-01T00:00:00"/>
    <n v="9"/>
    <n v="1"/>
    <n v="2026"/>
    <x v="1"/>
    <s v="Q3"/>
    <x v="2"/>
  </r>
  <r>
    <s v="O111404"/>
    <x v="421"/>
    <x v="10"/>
    <x v="6"/>
    <x v="0"/>
    <x v="1"/>
    <n v="9"/>
    <n v="219097"/>
    <d v="2026-11-24T00:00:00"/>
    <n v="11"/>
    <n v="24"/>
    <n v="2026"/>
    <x v="0"/>
    <s v="Q4"/>
    <x v="0"/>
  </r>
  <r>
    <s v="O109139"/>
    <x v="513"/>
    <x v="8"/>
    <x v="6"/>
    <x v="4"/>
    <x v="0"/>
    <n v="9"/>
    <n v="219009"/>
    <d v="2026-10-07T00:00:00"/>
    <n v="10"/>
    <n v="7"/>
    <n v="2026"/>
    <x v="9"/>
    <s v="Q4"/>
    <x v="4"/>
  </r>
  <r>
    <s v="O100793"/>
    <x v="361"/>
    <x v="10"/>
    <x v="6"/>
    <x v="4"/>
    <x v="3"/>
    <n v="8"/>
    <n v="218957"/>
    <d v="2025-02-18T00:00:00"/>
    <n v="2"/>
    <n v="18"/>
    <n v="2025"/>
    <x v="4"/>
    <s v="Q1"/>
    <x v="4"/>
  </r>
  <r>
    <s v="O106756"/>
    <x v="629"/>
    <x v="2"/>
    <x v="6"/>
    <x v="2"/>
    <x v="3"/>
    <n v="8"/>
    <n v="218814"/>
    <d v="2026-02-15T00:00:00"/>
    <n v="2"/>
    <n v="15"/>
    <n v="2026"/>
    <x v="4"/>
    <s v="Q1"/>
    <x v="2"/>
  </r>
  <r>
    <s v="O106952"/>
    <x v="511"/>
    <x v="2"/>
    <x v="6"/>
    <x v="2"/>
    <x v="2"/>
    <n v="8"/>
    <n v="218791"/>
    <d v="2026-02-27T00:00:00"/>
    <n v="2"/>
    <n v="27"/>
    <n v="2026"/>
    <x v="4"/>
    <s v="Q1"/>
    <x v="2"/>
  </r>
  <r>
    <s v="O109204"/>
    <x v="433"/>
    <x v="8"/>
    <x v="6"/>
    <x v="4"/>
    <x v="2"/>
    <n v="9"/>
    <n v="218685"/>
    <d v="2026-07-14T00:00:00"/>
    <n v="7"/>
    <n v="14"/>
    <n v="2026"/>
    <x v="10"/>
    <s v="Q3"/>
    <x v="4"/>
  </r>
  <r>
    <s v="O110903"/>
    <x v="490"/>
    <x v="5"/>
    <x v="4"/>
    <x v="2"/>
    <x v="2"/>
    <n v="1"/>
    <n v="218563"/>
    <d v="2026-10-25T00:00:00"/>
    <n v="10"/>
    <n v="25"/>
    <n v="2026"/>
    <x v="9"/>
    <s v="Q4"/>
    <x v="2"/>
  </r>
  <r>
    <s v="O109202"/>
    <x v="279"/>
    <x v="10"/>
    <x v="6"/>
    <x v="4"/>
    <x v="3"/>
    <n v="7"/>
    <n v="218479"/>
    <d v="2026-07-14T00:00:00"/>
    <n v="7"/>
    <n v="14"/>
    <n v="2026"/>
    <x v="10"/>
    <s v="Q3"/>
    <x v="4"/>
  </r>
  <r>
    <s v="O107307"/>
    <x v="42"/>
    <x v="6"/>
    <x v="5"/>
    <x v="0"/>
    <x v="0"/>
    <n v="2"/>
    <n v="218457"/>
    <d v="2026-03-20T00:00:00"/>
    <n v="3"/>
    <n v="20"/>
    <n v="2026"/>
    <x v="5"/>
    <s v="Q1"/>
    <x v="0"/>
  </r>
  <r>
    <s v="O110994"/>
    <x v="234"/>
    <x v="5"/>
    <x v="6"/>
    <x v="1"/>
    <x v="3"/>
    <n v="7"/>
    <n v="218252"/>
    <d v="2026-10-30T00:00:00"/>
    <n v="10"/>
    <n v="30"/>
    <n v="2026"/>
    <x v="9"/>
    <s v="Q4"/>
    <x v="1"/>
  </r>
  <r>
    <s v="O105266"/>
    <x v="253"/>
    <x v="3"/>
    <x v="6"/>
    <x v="2"/>
    <x v="3"/>
    <n v="8"/>
    <n v="218059"/>
    <d v="2025-11-16T00:00:00"/>
    <n v="11"/>
    <n v="16"/>
    <n v="2025"/>
    <x v="0"/>
    <s v="Q4"/>
    <x v="2"/>
  </r>
  <r>
    <s v="O107312"/>
    <x v="0"/>
    <x v="6"/>
    <x v="6"/>
    <x v="0"/>
    <x v="0"/>
    <n v="10"/>
    <n v="217951"/>
    <d v="2026-03-21T00:00:00"/>
    <n v="3"/>
    <n v="21"/>
    <n v="2026"/>
    <x v="5"/>
    <s v="Q1"/>
    <x v="0"/>
  </r>
  <r>
    <s v="O103124"/>
    <x v="530"/>
    <x v="10"/>
    <x v="6"/>
    <x v="4"/>
    <x v="1"/>
    <n v="8"/>
    <n v="217794"/>
    <d v="2025-09-07T00:00:00"/>
    <n v="9"/>
    <n v="7"/>
    <n v="2025"/>
    <x v="1"/>
    <s v="Q3"/>
    <x v="4"/>
  </r>
  <r>
    <s v="O106604"/>
    <x v="494"/>
    <x v="6"/>
    <x v="4"/>
    <x v="0"/>
    <x v="0"/>
    <n v="1"/>
    <n v="217752"/>
    <d v="2026-06-02T00:00:00"/>
    <n v="6"/>
    <n v="2"/>
    <n v="2026"/>
    <x v="2"/>
    <s v="Q2"/>
    <x v="0"/>
  </r>
  <r>
    <s v="O100035"/>
    <x v="255"/>
    <x v="4"/>
    <x v="3"/>
    <x v="2"/>
    <x v="2"/>
    <n v="1"/>
    <n v="217671"/>
    <d v="2025-03-01T00:00:00"/>
    <n v="3"/>
    <n v="1"/>
    <n v="2025"/>
    <x v="5"/>
    <s v="Q1"/>
    <x v="2"/>
  </r>
  <r>
    <s v="O111028"/>
    <x v="24"/>
    <x v="8"/>
    <x v="6"/>
    <x v="1"/>
    <x v="1"/>
    <n v="8"/>
    <n v="217619"/>
    <d v="2026-01-11T00:00:00"/>
    <n v="1"/>
    <n v="11"/>
    <n v="2026"/>
    <x v="6"/>
    <s v="Q1"/>
    <x v="1"/>
  </r>
  <r>
    <s v="O109302"/>
    <x v="440"/>
    <x v="4"/>
    <x v="6"/>
    <x v="3"/>
    <x v="3"/>
    <n v="9"/>
    <n v="217557"/>
    <d v="2026-07-20T00:00:00"/>
    <n v="7"/>
    <n v="20"/>
    <n v="2026"/>
    <x v="10"/>
    <s v="Q3"/>
    <x v="3"/>
  </r>
  <r>
    <s v="O105675"/>
    <x v="661"/>
    <x v="1"/>
    <x v="3"/>
    <x v="4"/>
    <x v="1"/>
    <n v="1"/>
    <n v="217399"/>
    <d v="2025-11-12T00:00:00"/>
    <n v="11"/>
    <n v="12"/>
    <n v="2025"/>
    <x v="0"/>
    <s v="Q4"/>
    <x v="4"/>
  </r>
  <r>
    <s v="O102776"/>
    <x v="367"/>
    <x v="3"/>
    <x v="6"/>
    <x v="2"/>
    <x v="1"/>
    <n v="8"/>
    <n v="217005"/>
    <d v="2025-06-18T00:00:00"/>
    <n v="6"/>
    <n v="18"/>
    <n v="2025"/>
    <x v="2"/>
    <s v="Q2"/>
    <x v="2"/>
  </r>
  <r>
    <s v="O104752"/>
    <x v="103"/>
    <x v="5"/>
    <x v="6"/>
    <x v="4"/>
    <x v="1"/>
    <n v="8"/>
    <n v="216998"/>
    <d v="2025-10-16T00:00:00"/>
    <n v="10"/>
    <n v="16"/>
    <n v="2025"/>
    <x v="9"/>
    <s v="Q4"/>
    <x v="4"/>
  </r>
  <r>
    <s v="O108080"/>
    <x v="334"/>
    <x v="6"/>
    <x v="6"/>
    <x v="0"/>
    <x v="0"/>
    <n v="7"/>
    <n v="216987"/>
    <d v="2026-06-05T00:00:00"/>
    <n v="6"/>
    <n v="5"/>
    <n v="2026"/>
    <x v="2"/>
    <s v="Q2"/>
    <x v="0"/>
  </r>
  <r>
    <s v="O106362"/>
    <x v="363"/>
    <x v="10"/>
    <x v="6"/>
    <x v="4"/>
    <x v="1"/>
    <n v="10"/>
    <n v="216664"/>
    <d v="2026-01-22T00:00:00"/>
    <n v="1"/>
    <n v="22"/>
    <n v="2026"/>
    <x v="6"/>
    <s v="Q1"/>
    <x v="4"/>
  </r>
  <r>
    <s v="O106365"/>
    <x v="264"/>
    <x v="0"/>
    <x v="6"/>
    <x v="0"/>
    <x v="3"/>
    <n v="9"/>
    <n v="216526"/>
    <d v="2026-01-22T00:00:00"/>
    <n v="1"/>
    <n v="22"/>
    <n v="2026"/>
    <x v="6"/>
    <s v="Q1"/>
    <x v="0"/>
  </r>
  <r>
    <s v="O109304"/>
    <x v="748"/>
    <x v="6"/>
    <x v="6"/>
    <x v="3"/>
    <x v="2"/>
    <n v="9"/>
    <n v="216466"/>
    <d v="2026-07-20T00:00:00"/>
    <n v="7"/>
    <n v="20"/>
    <n v="2026"/>
    <x v="10"/>
    <s v="Q3"/>
    <x v="3"/>
  </r>
  <r>
    <s v="O110329"/>
    <x v="388"/>
    <x v="3"/>
    <x v="6"/>
    <x v="2"/>
    <x v="3"/>
    <n v="7"/>
    <n v="216393"/>
    <d v="2026-09-20T00:00:00"/>
    <n v="9"/>
    <n v="20"/>
    <n v="2026"/>
    <x v="1"/>
    <s v="Q3"/>
    <x v="2"/>
  </r>
  <r>
    <s v="O104476"/>
    <x v="478"/>
    <x v="0"/>
    <x v="6"/>
    <x v="0"/>
    <x v="1"/>
    <n v="7"/>
    <n v="216375"/>
    <d v="2025-09-29T00:00:00"/>
    <n v="9"/>
    <n v="29"/>
    <n v="2025"/>
    <x v="1"/>
    <s v="Q3"/>
    <x v="0"/>
  </r>
  <r>
    <s v="O103288"/>
    <x v="580"/>
    <x v="5"/>
    <x v="4"/>
    <x v="3"/>
    <x v="0"/>
    <n v="1"/>
    <n v="216356"/>
    <d v="2025-07-19T00:00:00"/>
    <n v="7"/>
    <n v="19"/>
    <n v="2025"/>
    <x v="10"/>
    <s v="Q3"/>
    <x v="3"/>
  </r>
  <r>
    <s v="O105158"/>
    <x v="209"/>
    <x v="5"/>
    <x v="4"/>
    <x v="1"/>
    <x v="3"/>
    <n v="1"/>
    <n v="216296"/>
    <d v="2025-10-11T00:00:00"/>
    <n v="10"/>
    <n v="11"/>
    <n v="2025"/>
    <x v="9"/>
    <s v="Q4"/>
    <x v="1"/>
  </r>
  <r>
    <s v="O106322"/>
    <x v="634"/>
    <x v="10"/>
    <x v="6"/>
    <x v="1"/>
    <x v="1"/>
    <n v="7"/>
    <n v="216252"/>
    <d v="2026-01-20T00:00:00"/>
    <n v="1"/>
    <n v="20"/>
    <n v="2026"/>
    <x v="6"/>
    <s v="Q1"/>
    <x v="1"/>
  </r>
  <r>
    <s v="O109471"/>
    <x v="383"/>
    <x v="9"/>
    <x v="6"/>
    <x v="0"/>
    <x v="3"/>
    <n v="9"/>
    <n v="216195"/>
    <d v="2026-07-30T00:00:00"/>
    <n v="7"/>
    <n v="30"/>
    <n v="2026"/>
    <x v="10"/>
    <s v="Q3"/>
    <x v="0"/>
  </r>
  <r>
    <s v="O105534"/>
    <x v="45"/>
    <x v="0"/>
    <x v="4"/>
    <x v="2"/>
    <x v="1"/>
    <n v="1"/>
    <n v="216191"/>
    <d v="2025-03-12T00:00:00"/>
    <n v="3"/>
    <n v="12"/>
    <n v="2025"/>
    <x v="5"/>
    <s v="Q1"/>
    <x v="2"/>
  </r>
  <r>
    <s v="O106833"/>
    <x v="123"/>
    <x v="5"/>
    <x v="6"/>
    <x v="4"/>
    <x v="2"/>
    <n v="7"/>
    <n v="216105"/>
    <d v="2026-02-20T00:00:00"/>
    <n v="2"/>
    <n v="20"/>
    <n v="2026"/>
    <x v="4"/>
    <s v="Q1"/>
    <x v="4"/>
  </r>
  <r>
    <s v="O106634"/>
    <x v="259"/>
    <x v="2"/>
    <x v="6"/>
    <x v="3"/>
    <x v="1"/>
    <n v="8"/>
    <n v="215781"/>
    <d v="2026-07-02T00:00:00"/>
    <n v="7"/>
    <n v="2"/>
    <n v="2026"/>
    <x v="10"/>
    <s v="Q3"/>
    <x v="3"/>
  </r>
  <r>
    <s v="O106587"/>
    <x v="431"/>
    <x v="0"/>
    <x v="6"/>
    <x v="3"/>
    <x v="0"/>
    <n v="9"/>
    <n v="215552"/>
    <d v="2026-05-02T00:00:00"/>
    <n v="5"/>
    <n v="2"/>
    <n v="2026"/>
    <x v="3"/>
    <s v="Q2"/>
    <x v="3"/>
  </r>
  <r>
    <s v="O105479"/>
    <x v="386"/>
    <x v="5"/>
    <x v="4"/>
    <x v="0"/>
    <x v="3"/>
    <n v="1"/>
    <n v="215513"/>
    <d v="2025-11-29T00:00:00"/>
    <n v="11"/>
    <n v="29"/>
    <n v="2025"/>
    <x v="0"/>
    <s v="Q4"/>
    <x v="0"/>
  </r>
  <r>
    <s v="O101928"/>
    <x v="244"/>
    <x v="0"/>
    <x v="6"/>
    <x v="2"/>
    <x v="2"/>
    <n v="7"/>
    <n v="215370"/>
    <d v="2025-04-28T00:00:00"/>
    <n v="4"/>
    <n v="28"/>
    <n v="2025"/>
    <x v="11"/>
    <s v="Q2"/>
    <x v="2"/>
  </r>
  <r>
    <s v="O100979"/>
    <x v="148"/>
    <x v="9"/>
    <x v="6"/>
    <x v="0"/>
    <x v="2"/>
    <n v="8"/>
    <n v="215288"/>
    <d v="2025-01-03T00:00:00"/>
    <n v="1"/>
    <n v="3"/>
    <n v="2025"/>
    <x v="6"/>
    <s v="Q1"/>
    <x v="0"/>
  </r>
  <r>
    <s v="O108417"/>
    <x v="82"/>
    <x v="3"/>
    <x v="4"/>
    <x v="0"/>
    <x v="0"/>
    <n v="1"/>
    <n v="215235"/>
    <d v="2026-05-27T00:00:00"/>
    <n v="5"/>
    <n v="27"/>
    <n v="2026"/>
    <x v="3"/>
    <s v="Q2"/>
    <x v="0"/>
  </r>
  <r>
    <s v="O108372"/>
    <x v="711"/>
    <x v="2"/>
    <x v="6"/>
    <x v="2"/>
    <x v="3"/>
    <n v="9"/>
    <n v="215209"/>
    <d v="2026-05-24T00:00:00"/>
    <n v="5"/>
    <n v="24"/>
    <n v="2026"/>
    <x v="3"/>
    <s v="Q2"/>
    <x v="2"/>
  </r>
  <r>
    <s v="O102033"/>
    <x v="762"/>
    <x v="2"/>
    <x v="6"/>
    <x v="0"/>
    <x v="0"/>
    <n v="8"/>
    <n v="215102"/>
    <d v="2025-04-05T00:00:00"/>
    <n v="4"/>
    <n v="5"/>
    <n v="2025"/>
    <x v="11"/>
    <s v="Q2"/>
    <x v="0"/>
  </r>
  <r>
    <s v="O101915"/>
    <x v="362"/>
    <x v="2"/>
    <x v="6"/>
    <x v="2"/>
    <x v="1"/>
    <n v="7"/>
    <n v="214999"/>
    <d v="2025-04-27T00:00:00"/>
    <n v="4"/>
    <n v="27"/>
    <n v="2025"/>
    <x v="11"/>
    <s v="Q2"/>
    <x v="2"/>
  </r>
  <r>
    <s v="O108519"/>
    <x v="357"/>
    <x v="5"/>
    <x v="6"/>
    <x v="3"/>
    <x v="1"/>
    <n v="8"/>
    <n v="214718"/>
    <d v="2026-02-06T00:00:00"/>
    <n v="2"/>
    <n v="6"/>
    <n v="2026"/>
    <x v="4"/>
    <s v="Q1"/>
    <x v="3"/>
  </r>
  <r>
    <s v="O106490"/>
    <x v="339"/>
    <x v="9"/>
    <x v="4"/>
    <x v="2"/>
    <x v="3"/>
    <n v="1"/>
    <n v="214603"/>
    <d v="2026-01-30T00:00:00"/>
    <n v="1"/>
    <n v="30"/>
    <n v="2026"/>
    <x v="6"/>
    <s v="Q1"/>
    <x v="2"/>
  </r>
  <r>
    <s v="O103275"/>
    <x v="289"/>
    <x v="0"/>
    <x v="5"/>
    <x v="3"/>
    <x v="0"/>
    <n v="2"/>
    <n v="214566"/>
    <d v="2025-07-18T00:00:00"/>
    <n v="7"/>
    <n v="18"/>
    <n v="2025"/>
    <x v="10"/>
    <s v="Q3"/>
    <x v="3"/>
  </r>
  <r>
    <s v="O111500"/>
    <x v="282"/>
    <x v="8"/>
    <x v="3"/>
    <x v="0"/>
    <x v="3"/>
    <n v="1"/>
    <n v="214564"/>
    <d v="2026-11-30T00:00:00"/>
    <n v="11"/>
    <n v="30"/>
    <n v="2026"/>
    <x v="0"/>
    <s v="Q4"/>
    <x v="0"/>
  </r>
  <r>
    <s v="O108525"/>
    <x v="144"/>
    <x v="6"/>
    <x v="6"/>
    <x v="0"/>
    <x v="1"/>
    <n v="7"/>
    <n v="214251"/>
    <d v="2026-02-06T00:00:00"/>
    <n v="2"/>
    <n v="6"/>
    <n v="2026"/>
    <x v="4"/>
    <s v="Q1"/>
    <x v="0"/>
  </r>
  <r>
    <s v="O100606"/>
    <x v="567"/>
    <x v="4"/>
    <x v="6"/>
    <x v="3"/>
    <x v="1"/>
    <n v="7"/>
    <n v="213737"/>
    <d v="2025-06-02T00:00:00"/>
    <n v="6"/>
    <n v="2"/>
    <n v="2025"/>
    <x v="2"/>
    <s v="Q2"/>
    <x v="3"/>
  </r>
  <r>
    <s v="O105880"/>
    <x v="121"/>
    <x v="6"/>
    <x v="6"/>
    <x v="0"/>
    <x v="0"/>
    <n v="9"/>
    <n v="213195"/>
    <d v="2025-12-24T00:00:00"/>
    <n v="12"/>
    <n v="24"/>
    <n v="2025"/>
    <x v="7"/>
    <s v="Q4"/>
    <x v="0"/>
  </r>
  <r>
    <s v="O108238"/>
    <x v="186"/>
    <x v="8"/>
    <x v="4"/>
    <x v="1"/>
    <x v="1"/>
    <n v="1"/>
    <n v="213084"/>
    <d v="2026-05-16T00:00:00"/>
    <n v="5"/>
    <n v="16"/>
    <n v="2026"/>
    <x v="3"/>
    <s v="Q2"/>
    <x v="1"/>
  </r>
  <r>
    <s v="O105529"/>
    <x v="497"/>
    <x v="0"/>
    <x v="6"/>
    <x v="1"/>
    <x v="2"/>
    <n v="7"/>
    <n v="212971"/>
    <d v="2025-02-12T00:00:00"/>
    <n v="2"/>
    <n v="12"/>
    <n v="2025"/>
    <x v="4"/>
    <s v="Q1"/>
    <x v="1"/>
  </r>
  <r>
    <s v="O102739"/>
    <x v="260"/>
    <x v="10"/>
    <x v="3"/>
    <x v="0"/>
    <x v="3"/>
    <n v="1"/>
    <n v="212863"/>
    <d v="2025-06-16T00:00:00"/>
    <n v="6"/>
    <n v="16"/>
    <n v="2025"/>
    <x v="2"/>
    <s v="Q2"/>
    <x v="0"/>
  </r>
  <r>
    <s v="O101025"/>
    <x v="321"/>
    <x v="9"/>
    <x v="3"/>
    <x v="1"/>
    <x v="2"/>
    <n v="1"/>
    <n v="212791"/>
    <d v="2025-04-03T00:00:00"/>
    <n v="4"/>
    <n v="3"/>
    <n v="2025"/>
    <x v="11"/>
    <s v="Q2"/>
    <x v="1"/>
  </r>
  <r>
    <s v="O106452"/>
    <x v="642"/>
    <x v="3"/>
    <x v="3"/>
    <x v="1"/>
    <x v="0"/>
    <n v="1"/>
    <n v="212734"/>
    <d v="2026-01-27T00:00:00"/>
    <n v="1"/>
    <n v="27"/>
    <n v="2026"/>
    <x v="6"/>
    <s v="Q1"/>
    <x v="1"/>
  </r>
  <r>
    <s v="O105596"/>
    <x v="140"/>
    <x v="2"/>
    <x v="6"/>
    <x v="0"/>
    <x v="0"/>
    <n v="8"/>
    <n v="212725"/>
    <d v="2025-06-12T00:00:00"/>
    <n v="6"/>
    <n v="12"/>
    <n v="2025"/>
    <x v="2"/>
    <s v="Q2"/>
    <x v="0"/>
  </r>
  <r>
    <s v="O107814"/>
    <x v="145"/>
    <x v="0"/>
    <x v="6"/>
    <x v="4"/>
    <x v="0"/>
    <n v="-2"/>
    <n v="212685"/>
    <d v="2026-04-20T00:00:00"/>
    <n v="4"/>
    <n v="20"/>
    <n v="2026"/>
    <x v="11"/>
    <m/>
    <x v="4"/>
  </r>
  <r>
    <s v="O104103"/>
    <x v="664"/>
    <x v="5"/>
    <x v="6"/>
    <x v="3"/>
    <x v="2"/>
    <n v="8"/>
    <n v="212139"/>
    <d v="2025-07-09T00:00:00"/>
    <n v="7"/>
    <n v="9"/>
    <n v="2025"/>
    <x v="10"/>
    <s v="Q3"/>
    <x v="3"/>
  </r>
  <r>
    <s v="O101190"/>
    <x v="141"/>
    <x v="4"/>
    <x v="4"/>
    <x v="1"/>
    <x v="1"/>
    <n v="1"/>
    <n v="212105"/>
    <d v="2025-03-14T00:00:00"/>
    <n v="3"/>
    <n v="14"/>
    <n v="2025"/>
    <x v="5"/>
    <s v="Q1"/>
    <x v="1"/>
  </r>
  <r>
    <s v="O111857"/>
    <x v="650"/>
    <x v="0"/>
    <x v="6"/>
    <x v="8"/>
    <x v="2"/>
    <n v="10"/>
    <n v="212080"/>
    <d v="2026-12-22T00:00:00"/>
    <n v="12"/>
    <n v="22"/>
    <n v="2026"/>
    <x v="7"/>
    <s v="Q4"/>
    <x v="2"/>
  </r>
  <r>
    <s v="O110470"/>
    <x v="69"/>
    <x v="2"/>
    <x v="6"/>
    <x v="1"/>
    <x v="2"/>
    <n v="7"/>
    <n v="212023"/>
    <d v="2026-09-29T00:00:00"/>
    <n v="9"/>
    <n v="29"/>
    <n v="2026"/>
    <x v="1"/>
    <s v="Q3"/>
    <x v="1"/>
  </r>
  <r>
    <s v="O103313"/>
    <x v="131"/>
    <x v="10"/>
    <x v="4"/>
    <x v="1"/>
    <x v="3"/>
    <n v="1"/>
    <n v="212010"/>
    <d v="2025-07-21T00:00:00"/>
    <n v="7"/>
    <n v="21"/>
    <n v="2025"/>
    <x v="10"/>
    <s v="Q3"/>
    <x v="1"/>
  </r>
  <r>
    <s v="O103899"/>
    <x v="333"/>
    <x v="3"/>
    <x v="6"/>
    <x v="3"/>
    <x v="1"/>
    <n v="9"/>
    <n v="211752"/>
    <d v="2025-08-25T00:00:00"/>
    <n v="8"/>
    <n v="25"/>
    <n v="2025"/>
    <x v="8"/>
    <s v="Q3"/>
    <x v="3"/>
  </r>
  <r>
    <s v="O106356"/>
    <x v="81"/>
    <x v="9"/>
    <x v="3"/>
    <x v="1"/>
    <x v="0"/>
    <n v="1"/>
    <n v="211505"/>
    <d v="2026-01-22T00:00:00"/>
    <n v="1"/>
    <n v="22"/>
    <n v="2026"/>
    <x v="6"/>
    <s v="Q1"/>
    <x v="1"/>
  </r>
  <r>
    <s v="O108994"/>
    <x v="658"/>
    <x v="3"/>
    <x v="6"/>
    <x v="1"/>
    <x v="3"/>
    <n v="8"/>
    <n v="211452"/>
    <d v="2026-01-07T00:00:00"/>
    <n v="1"/>
    <n v="7"/>
    <n v="2026"/>
    <x v="6"/>
    <s v="Q1"/>
    <x v="1"/>
  </r>
  <r>
    <s v="O101223"/>
    <x v="546"/>
    <x v="3"/>
    <x v="6"/>
    <x v="2"/>
    <x v="0"/>
    <n v="10"/>
    <n v="211116"/>
    <d v="2025-03-16T00:00:00"/>
    <n v="3"/>
    <n v="16"/>
    <n v="2025"/>
    <x v="5"/>
    <s v="Q1"/>
    <x v="2"/>
  </r>
  <r>
    <s v="O100821"/>
    <x v="131"/>
    <x v="2"/>
    <x v="4"/>
    <x v="2"/>
    <x v="0"/>
    <n v="1"/>
    <n v="211113"/>
    <d v="2025-02-19T00:00:00"/>
    <n v="2"/>
    <n v="19"/>
    <n v="2025"/>
    <x v="4"/>
    <s v="Q1"/>
    <x v="2"/>
  </r>
  <r>
    <s v="O110659"/>
    <x v="100"/>
    <x v="8"/>
    <x v="6"/>
    <x v="0"/>
    <x v="0"/>
    <n v="8"/>
    <n v="210969"/>
    <d v="2026-10-10T00:00:00"/>
    <n v="10"/>
    <n v="10"/>
    <n v="2026"/>
    <x v="9"/>
    <s v="Q4"/>
    <x v="0"/>
  </r>
  <r>
    <s v="O105926"/>
    <x v="528"/>
    <x v="5"/>
    <x v="4"/>
    <x v="0"/>
    <x v="0"/>
    <n v="1"/>
    <n v="210864"/>
    <d v="2025-12-26T00:00:00"/>
    <n v="12"/>
    <n v="26"/>
    <n v="2025"/>
    <x v="7"/>
    <s v="Q4"/>
    <x v="0"/>
  </r>
  <r>
    <s v="O111089"/>
    <x v="257"/>
    <x v="1"/>
    <x v="6"/>
    <x v="0"/>
    <x v="0"/>
    <n v="8"/>
    <n v="210779"/>
    <d v="2026-05-11T00:00:00"/>
    <n v="5"/>
    <n v="11"/>
    <n v="2026"/>
    <x v="3"/>
    <s v="Q2"/>
    <x v="0"/>
  </r>
  <r>
    <s v="O110438"/>
    <x v="387"/>
    <x v="9"/>
    <x v="6"/>
    <x v="3"/>
    <x v="0"/>
    <n v="10"/>
    <n v="210636"/>
    <d v="2026-09-27T00:00:00"/>
    <n v="9"/>
    <n v="27"/>
    <n v="2026"/>
    <x v="1"/>
    <s v="Q3"/>
    <x v="3"/>
  </r>
  <r>
    <s v="O106358"/>
    <x v="78"/>
    <x v="1"/>
    <x v="6"/>
    <x v="4"/>
    <x v="0"/>
    <n v="10"/>
    <n v="210556"/>
    <d v="2026-01-22T00:00:00"/>
    <n v="1"/>
    <n v="22"/>
    <n v="2026"/>
    <x v="6"/>
    <s v="Q1"/>
    <x v="4"/>
  </r>
  <r>
    <s v="O104262"/>
    <x v="264"/>
    <x v="6"/>
    <x v="5"/>
    <x v="3"/>
    <x v="3"/>
    <n v="2"/>
    <n v="210518"/>
    <d v="2025-09-16T00:00:00"/>
    <n v="9"/>
    <n v="16"/>
    <n v="2025"/>
    <x v="1"/>
    <s v="Q3"/>
    <x v="3"/>
  </r>
  <r>
    <s v="O100830"/>
    <x v="564"/>
    <x v="5"/>
    <x v="6"/>
    <x v="1"/>
    <x v="0"/>
    <n v="8"/>
    <n v="210391"/>
    <d v="2025-02-20T00:00:00"/>
    <n v="2"/>
    <n v="20"/>
    <n v="2025"/>
    <x v="4"/>
    <s v="Q1"/>
    <x v="1"/>
  </r>
  <r>
    <s v="O103820"/>
    <x v="577"/>
    <x v="4"/>
    <x v="6"/>
    <x v="2"/>
    <x v="0"/>
    <n v="9"/>
    <n v="210273"/>
    <d v="2025-08-21T00:00:00"/>
    <n v="8"/>
    <n v="21"/>
    <n v="2025"/>
    <x v="8"/>
    <s v="Q3"/>
    <x v="2"/>
  </r>
  <r>
    <s v="O109696"/>
    <x v="662"/>
    <x v="6"/>
    <x v="6"/>
    <x v="0"/>
    <x v="0"/>
    <n v="9"/>
    <n v="209987"/>
    <d v="2026-08-13T00:00:00"/>
    <n v="8"/>
    <n v="13"/>
    <n v="2026"/>
    <x v="8"/>
    <s v="Q3"/>
    <x v="0"/>
  </r>
  <r>
    <s v="O104354"/>
    <x v="744"/>
    <x v="4"/>
    <x v="3"/>
    <x v="3"/>
    <x v="0"/>
    <n v="1"/>
    <n v="209897"/>
    <d v="2025-09-22T00:00:00"/>
    <n v="9"/>
    <n v="22"/>
    <n v="2025"/>
    <x v="1"/>
    <m/>
    <x v="3"/>
  </r>
  <r>
    <s v="O110270"/>
    <x v="208"/>
    <x v="9"/>
    <x v="6"/>
    <x v="8"/>
    <x v="1"/>
    <n v="7"/>
    <n v="209890"/>
    <d v="2026-09-16T00:00:00"/>
    <n v="9"/>
    <n v="16"/>
    <n v="2026"/>
    <x v="1"/>
    <s v="Q3"/>
    <x v="2"/>
  </r>
  <r>
    <s v="O103617"/>
    <x v="769"/>
    <x v="9"/>
    <x v="6"/>
    <x v="4"/>
    <x v="3"/>
    <n v="9"/>
    <n v="209719"/>
    <d v="2025-08-08T00:00:00"/>
    <n v="8"/>
    <n v="8"/>
    <n v="2025"/>
    <x v="8"/>
    <s v="Q3"/>
    <x v="4"/>
  </r>
  <r>
    <s v="O105207"/>
    <x v="761"/>
    <x v="8"/>
    <x v="4"/>
    <x v="3"/>
    <x v="0"/>
    <n v="1"/>
    <n v="209595"/>
    <d v="2025-11-13T00:00:00"/>
    <n v="11"/>
    <n v="13"/>
    <n v="2025"/>
    <x v="0"/>
    <s v="Q4"/>
    <x v="3"/>
  </r>
  <r>
    <s v="O110976"/>
    <x v="283"/>
    <x v="9"/>
    <x v="6"/>
    <x v="0"/>
    <x v="1"/>
    <n v="8"/>
    <n v="209585"/>
    <d v="2026-10-29T00:00:00"/>
    <n v="10"/>
    <n v="29"/>
    <n v="2026"/>
    <x v="9"/>
    <s v="Q4"/>
    <x v="0"/>
  </r>
  <r>
    <s v="O107772"/>
    <x v="668"/>
    <x v="4"/>
    <x v="4"/>
    <x v="4"/>
    <x v="2"/>
    <n v="1"/>
    <n v="209573"/>
    <d v="2026-04-18T00:00:00"/>
    <n v="4"/>
    <n v="18"/>
    <n v="2026"/>
    <x v="11"/>
    <s v="Q2"/>
    <x v="4"/>
  </r>
  <r>
    <s v="O103280"/>
    <x v="162"/>
    <x v="6"/>
    <x v="4"/>
    <x v="1"/>
    <x v="1"/>
    <n v="1"/>
    <n v="209492"/>
    <d v="2025-07-19T00:00:00"/>
    <n v="7"/>
    <n v="19"/>
    <n v="2025"/>
    <x v="10"/>
    <s v="Q3"/>
    <x v="1"/>
  </r>
  <r>
    <s v="O111070"/>
    <x v="752"/>
    <x v="3"/>
    <x v="6"/>
    <x v="2"/>
    <x v="1"/>
    <n v="7"/>
    <n v="209405"/>
    <d v="2026-04-11T00:00:00"/>
    <n v="4"/>
    <n v="11"/>
    <n v="2026"/>
    <x v="11"/>
    <s v="Q2"/>
    <x v="2"/>
  </r>
  <r>
    <s v="O101176"/>
    <x v="307"/>
    <x v="2"/>
    <x v="6"/>
    <x v="1"/>
    <x v="2"/>
    <n v="7"/>
    <n v="209202"/>
    <d v="2025-03-13T00:00:00"/>
    <n v="3"/>
    <n v="13"/>
    <n v="2025"/>
    <x v="5"/>
    <s v="Q1"/>
    <x v="1"/>
  </r>
  <r>
    <s v="O110131"/>
    <x v="52"/>
    <x v="3"/>
    <x v="3"/>
    <x v="3"/>
    <x v="3"/>
    <n v="1"/>
    <n v="209128"/>
    <d v="2026-08-09T00:00:00"/>
    <n v="8"/>
    <n v="9"/>
    <n v="2026"/>
    <x v="8"/>
    <s v="Q3"/>
    <x v="3"/>
  </r>
  <r>
    <s v="O104832"/>
    <x v="497"/>
    <x v="0"/>
    <x v="4"/>
    <x v="0"/>
    <x v="1"/>
    <n v="1"/>
    <n v="208923"/>
    <d v="2025-10-21T00:00:00"/>
    <n v="10"/>
    <n v="21"/>
    <n v="2025"/>
    <x v="9"/>
    <s v="Q4"/>
    <x v="0"/>
  </r>
  <r>
    <s v="O106160"/>
    <x v="288"/>
    <x v="9"/>
    <x v="5"/>
    <x v="3"/>
    <x v="1"/>
    <n v="2"/>
    <n v="208799"/>
    <d v="2026-10-01T00:00:00"/>
    <n v="10"/>
    <n v="1"/>
    <n v="2026"/>
    <x v="9"/>
    <s v="Q4"/>
    <x v="3"/>
  </r>
  <r>
    <s v="O103317"/>
    <x v="782"/>
    <x v="9"/>
    <x v="6"/>
    <x v="2"/>
    <x v="2"/>
    <n v="7"/>
    <n v="208597"/>
    <d v="2025-07-21T00:00:00"/>
    <n v="7"/>
    <n v="21"/>
    <n v="2025"/>
    <x v="10"/>
    <s v="Q3"/>
    <x v="2"/>
  </r>
  <r>
    <s v="O102596"/>
    <x v="1"/>
    <x v="6"/>
    <x v="4"/>
    <x v="4"/>
    <x v="3"/>
    <n v="1"/>
    <n v="208564"/>
    <d v="2025-07-06T00:00:00"/>
    <n v="7"/>
    <n v="6"/>
    <n v="2025"/>
    <x v="10"/>
    <s v="Q3"/>
    <x v="4"/>
  </r>
  <r>
    <s v="O103196"/>
    <x v="498"/>
    <x v="10"/>
    <x v="6"/>
    <x v="3"/>
    <x v="2"/>
    <n v="9"/>
    <n v="208523"/>
    <d v="2025-07-14T00:00:00"/>
    <n v="7"/>
    <n v="14"/>
    <n v="2025"/>
    <x v="10"/>
    <s v="Q3"/>
    <x v="3"/>
  </r>
  <r>
    <s v="O105073"/>
    <x v="245"/>
    <x v="9"/>
    <x v="6"/>
    <x v="1"/>
    <x v="1"/>
    <n v="8"/>
    <n v="208468"/>
    <d v="2025-05-11T00:00:00"/>
    <n v="5"/>
    <n v="11"/>
    <n v="2025"/>
    <x v="3"/>
    <s v="Q2"/>
    <x v="1"/>
  </r>
  <r>
    <s v="O100923"/>
    <x v="532"/>
    <x v="4"/>
    <x v="5"/>
    <x v="4"/>
    <x v="1"/>
    <n v="2"/>
    <n v="208437"/>
    <d v="2025-02-26T00:00:00"/>
    <n v="2"/>
    <n v="26"/>
    <n v="2025"/>
    <x v="4"/>
    <s v="Q1"/>
    <x v="4"/>
  </r>
  <r>
    <s v="O106831"/>
    <x v="692"/>
    <x v="2"/>
    <x v="3"/>
    <x v="0"/>
    <x v="0"/>
    <n v="1"/>
    <n v="208336"/>
    <d v="2026-02-19T00:00:00"/>
    <n v="2"/>
    <n v="19"/>
    <n v="2026"/>
    <x v="4"/>
    <s v="Q1"/>
    <x v="0"/>
  </r>
  <r>
    <s v="O110201"/>
    <x v="94"/>
    <x v="4"/>
    <x v="6"/>
    <x v="3"/>
    <x v="3"/>
    <n v="10"/>
    <n v="208299"/>
    <d v="2026-12-09T00:00:00"/>
    <n v="12"/>
    <n v="9"/>
    <n v="2026"/>
    <x v="7"/>
    <s v="Q4"/>
    <x v="3"/>
  </r>
  <r>
    <s v="O109993"/>
    <x v="20"/>
    <x v="9"/>
    <x v="6"/>
    <x v="4"/>
    <x v="3"/>
    <n v="8"/>
    <n v="207970"/>
    <d v="2026-08-31T00:00:00"/>
    <n v="8"/>
    <n v="31"/>
    <n v="2026"/>
    <x v="8"/>
    <s v="Q3"/>
    <x v="4"/>
  </r>
  <r>
    <s v="O107193"/>
    <x v="76"/>
    <x v="3"/>
    <x v="6"/>
    <x v="3"/>
    <x v="1"/>
    <n v="8"/>
    <n v="207880"/>
    <d v="2026-03-13T00:00:00"/>
    <n v="3"/>
    <n v="13"/>
    <n v="2026"/>
    <x v="5"/>
    <s v="Q1"/>
    <x v="3"/>
  </r>
  <r>
    <s v="O105856"/>
    <x v="741"/>
    <x v="5"/>
    <x v="4"/>
    <x v="2"/>
    <x v="2"/>
    <n v="1"/>
    <n v="207667"/>
    <d v="2025-12-22T00:00:00"/>
    <n v="12"/>
    <n v="22"/>
    <n v="2025"/>
    <x v="7"/>
    <s v="Q4"/>
    <x v="2"/>
  </r>
  <r>
    <s v="O110460"/>
    <x v="403"/>
    <x v="3"/>
    <x v="6"/>
    <x v="1"/>
    <x v="2"/>
    <n v="7"/>
    <n v="207575"/>
    <d v="2026-09-28T00:00:00"/>
    <n v="9"/>
    <n v="28"/>
    <n v="2026"/>
    <x v="1"/>
    <s v="Q3"/>
    <x v="1"/>
  </r>
  <r>
    <s v="O102502"/>
    <x v="215"/>
    <x v="8"/>
    <x v="4"/>
    <x v="3"/>
    <x v="2"/>
    <n v="1"/>
    <n v="207551"/>
    <d v="2025-01-06T00:00:00"/>
    <n v="1"/>
    <n v="6"/>
    <n v="2025"/>
    <x v="6"/>
    <s v="Q1"/>
    <x v="3"/>
  </r>
  <r>
    <s v="O104274"/>
    <x v="217"/>
    <x v="6"/>
    <x v="6"/>
    <x v="1"/>
    <x v="1"/>
    <n v="9"/>
    <n v="207430"/>
    <d v="2025-09-17T00:00:00"/>
    <n v="9"/>
    <n v="17"/>
    <n v="2025"/>
    <x v="1"/>
    <s v="Q3"/>
    <x v="1"/>
  </r>
  <r>
    <s v="O107616"/>
    <x v="53"/>
    <x v="4"/>
    <x v="6"/>
    <x v="0"/>
    <x v="1"/>
    <n v="9"/>
    <n v="207341"/>
    <d v="2026-08-04T00:00:00"/>
    <n v="8"/>
    <n v="4"/>
    <n v="2026"/>
    <x v="8"/>
    <s v="Q3"/>
    <x v="0"/>
  </r>
  <r>
    <s v="O107083"/>
    <x v="551"/>
    <x v="1"/>
    <x v="6"/>
    <x v="3"/>
    <x v="3"/>
    <n v="9"/>
    <n v="207327"/>
    <d v="2026-07-03T00:00:00"/>
    <n v="7"/>
    <n v="3"/>
    <n v="2026"/>
    <x v="10"/>
    <s v="Q3"/>
    <x v="3"/>
  </r>
  <r>
    <s v="O108965"/>
    <x v="592"/>
    <x v="3"/>
    <x v="6"/>
    <x v="0"/>
    <x v="2"/>
    <n v="7"/>
    <n v="207257"/>
    <d v="2026-06-29T00:00:00"/>
    <n v="6"/>
    <n v="29"/>
    <n v="2026"/>
    <x v="2"/>
    <s v="Q2"/>
    <x v="0"/>
  </r>
  <r>
    <s v="O102469"/>
    <x v="421"/>
    <x v="6"/>
    <x v="6"/>
    <x v="2"/>
    <x v="0"/>
    <n v="10"/>
    <n v="207154"/>
    <d v="2025-05-30T00:00:00"/>
    <n v="5"/>
    <n v="30"/>
    <n v="2025"/>
    <x v="3"/>
    <s v="Q2"/>
    <x v="2"/>
  </r>
  <r>
    <s v="O108912"/>
    <x v="204"/>
    <x v="1"/>
    <x v="4"/>
    <x v="4"/>
    <x v="3"/>
    <n v="1"/>
    <n v="207086"/>
    <d v="2026-06-26T00:00:00"/>
    <n v="6"/>
    <n v="26"/>
    <n v="2026"/>
    <x v="2"/>
    <s v="Q2"/>
    <x v="4"/>
  </r>
  <r>
    <s v="O100364"/>
    <x v="375"/>
    <x v="6"/>
    <x v="6"/>
    <x v="4"/>
    <x v="3"/>
    <n v="8"/>
    <n v="207071"/>
    <d v="2025-01-23T00:00:00"/>
    <n v="1"/>
    <n v="23"/>
    <n v="2025"/>
    <x v="6"/>
    <s v="Q1"/>
    <x v="4"/>
  </r>
  <r>
    <s v="O102749"/>
    <x v="446"/>
    <x v="1"/>
    <x v="5"/>
    <x v="2"/>
    <x v="2"/>
    <n v="2"/>
    <n v="206971"/>
    <d v="2025-06-16T00:00:00"/>
    <n v="6"/>
    <n v="16"/>
    <n v="2025"/>
    <x v="2"/>
    <s v="Q2"/>
    <x v="2"/>
  </r>
  <r>
    <s v="O111043"/>
    <x v="728"/>
    <x v="8"/>
    <x v="3"/>
    <x v="0"/>
    <x v="1"/>
    <n v="1"/>
    <n v="206945"/>
    <d v="2026-02-11T00:00:00"/>
    <n v="2"/>
    <n v="11"/>
    <n v="2026"/>
    <x v="4"/>
    <s v="Q1"/>
    <x v="0"/>
  </r>
  <r>
    <s v="O102736"/>
    <x v="537"/>
    <x v="9"/>
    <x v="4"/>
    <x v="1"/>
    <x v="3"/>
    <n v="1"/>
    <n v="206727"/>
    <d v="2025-06-16T00:00:00"/>
    <n v="6"/>
    <n v="16"/>
    <n v="2025"/>
    <x v="2"/>
    <s v="Q2"/>
    <x v="1"/>
  </r>
  <r>
    <s v="O111959"/>
    <x v="55"/>
    <x v="6"/>
    <x v="6"/>
    <x v="4"/>
    <x v="0"/>
    <n v="7"/>
    <n v="206597"/>
    <d v="2026-12-28T00:00:00"/>
    <n v="12"/>
    <n v="28"/>
    <n v="2026"/>
    <x v="7"/>
    <s v="Q4"/>
    <x v="4"/>
  </r>
  <r>
    <s v="O101397"/>
    <x v="640"/>
    <x v="2"/>
    <x v="6"/>
    <x v="0"/>
    <x v="1"/>
    <n v="9"/>
    <n v="206435"/>
    <d v="2025-03-26T00:00:00"/>
    <n v="3"/>
    <n v="26"/>
    <n v="2025"/>
    <x v="5"/>
    <s v="Q1"/>
    <x v="0"/>
  </r>
  <r>
    <s v="O103052"/>
    <x v="352"/>
    <x v="0"/>
    <x v="6"/>
    <x v="0"/>
    <x v="4"/>
    <n v="8"/>
    <n v="206258"/>
    <d v="2025-05-07T00:00:00"/>
    <n v="5"/>
    <n v="7"/>
    <n v="2025"/>
    <x v="3"/>
    <s v="Q2"/>
    <x v="0"/>
  </r>
  <r>
    <s v="O105250"/>
    <x v="414"/>
    <x v="6"/>
    <x v="6"/>
    <x v="0"/>
    <x v="0"/>
    <n v="7"/>
    <n v="206237"/>
    <d v="2025-11-15T00:00:00"/>
    <n v="11"/>
    <n v="15"/>
    <n v="2025"/>
    <x v="0"/>
    <s v="Q4"/>
    <x v="0"/>
  </r>
  <r>
    <s v="O103262"/>
    <x v="771"/>
    <x v="4"/>
    <x v="6"/>
    <x v="0"/>
    <x v="1"/>
    <n v="7"/>
    <n v="206200"/>
    <d v="2025-07-18T00:00:00"/>
    <n v="7"/>
    <n v="18"/>
    <n v="2025"/>
    <x v="10"/>
    <s v="Q3"/>
    <x v="0"/>
  </r>
  <r>
    <s v="O104973"/>
    <x v="281"/>
    <x v="6"/>
    <x v="6"/>
    <x v="3"/>
    <x v="2"/>
    <n v="7"/>
    <n v="206191"/>
    <d v="2025-10-30T00:00:00"/>
    <n v="10"/>
    <n v="30"/>
    <n v="2025"/>
    <x v="9"/>
    <s v="Q4"/>
    <x v="3"/>
  </r>
  <r>
    <s v="O102146"/>
    <x v="189"/>
    <x v="4"/>
    <x v="5"/>
    <x v="2"/>
    <x v="1"/>
    <n v="2"/>
    <n v="206182"/>
    <d v="2025-11-05T00:00:00"/>
    <n v="11"/>
    <n v="5"/>
    <n v="2025"/>
    <x v="0"/>
    <s v="Q4"/>
    <x v="2"/>
  </r>
  <r>
    <s v="O107244"/>
    <x v="610"/>
    <x v="1"/>
    <x v="6"/>
    <x v="4"/>
    <x v="3"/>
    <n v="9"/>
    <n v="206155"/>
    <d v="2026-03-17T00:00:00"/>
    <n v="3"/>
    <n v="17"/>
    <n v="2026"/>
    <x v="5"/>
    <s v="Q1"/>
    <x v="4"/>
  </r>
  <r>
    <s v="O107165"/>
    <x v="467"/>
    <x v="6"/>
    <x v="4"/>
    <x v="3"/>
    <x v="2"/>
    <n v="1"/>
    <n v="206120"/>
    <d v="2026-12-03T00:00:00"/>
    <n v="12"/>
    <n v="3"/>
    <n v="2026"/>
    <x v="7"/>
    <m/>
    <x v="3"/>
  </r>
  <r>
    <s v="O101634"/>
    <x v="737"/>
    <x v="10"/>
    <x v="4"/>
    <x v="0"/>
    <x v="3"/>
    <n v="1"/>
    <n v="206103"/>
    <d v="2025-10-04T00:00:00"/>
    <n v="10"/>
    <n v="4"/>
    <n v="2025"/>
    <x v="9"/>
    <s v="Q4"/>
    <x v="0"/>
  </r>
  <r>
    <s v="O102896"/>
    <x v="482"/>
    <x v="9"/>
    <x v="5"/>
    <x v="4"/>
    <x v="0"/>
    <n v="2"/>
    <n v="205966"/>
    <d v="2025-06-25T00:00:00"/>
    <n v="6"/>
    <n v="25"/>
    <n v="2025"/>
    <x v="2"/>
    <s v="Q2"/>
    <x v="4"/>
  </r>
  <r>
    <s v="O111445"/>
    <x v="332"/>
    <x v="3"/>
    <x v="6"/>
    <x v="1"/>
    <x v="0"/>
    <n v="7"/>
    <n v="205927"/>
    <d v="2026-11-27T00:00:00"/>
    <n v="11"/>
    <n v="27"/>
    <n v="2026"/>
    <x v="0"/>
    <s v="Q4"/>
    <x v="1"/>
  </r>
  <r>
    <s v="O111753"/>
    <x v="110"/>
    <x v="10"/>
    <x v="4"/>
    <x v="4"/>
    <x v="1"/>
    <n v="1"/>
    <n v="205766"/>
    <d v="2026-12-15T00:00:00"/>
    <n v="12"/>
    <n v="15"/>
    <n v="2026"/>
    <x v="7"/>
    <s v="Q4"/>
    <x v="4"/>
  </r>
  <r>
    <s v="O109856"/>
    <x v="693"/>
    <x v="1"/>
    <x v="6"/>
    <x v="3"/>
    <x v="3"/>
    <n v="9"/>
    <n v="205741"/>
    <d v="2026-08-22T00:00:00"/>
    <n v="8"/>
    <n v="22"/>
    <n v="2026"/>
    <x v="8"/>
    <s v="Q3"/>
    <x v="3"/>
  </r>
  <r>
    <s v="O107473"/>
    <x v="648"/>
    <x v="3"/>
    <x v="5"/>
    <x v="1"/>
    <x v="0"/>
    <n v="2"/>
    <n v="205725"/>
    <d v="2026-03-30T00:00:00"/>
    <n v="3"/>
    <n v="30"/>
    <n v="2026"/>
    <x v="5"/>
    <s v="Q1"/>
    <x v="1"/>
  </r>
  <r>
    <s v="O102122"/>
    <x v="427"/>
    <x v="0"/>
    <x v="6"/>
    <x v="2"/>
    <x v="0"/>
    <n v="7"/>
    <n v="205677"/>
    <d v="2025-09-05T00:00:00"/>
    <n v="9"/>
    <n v="5"/>
    <n v="2025"/>
    <x v="1"/>
    <s v="Q3"/>
    <x v="2"/>
  </r>
  <r>
    <s v="O104451"/>
    <x v="364"/>
    <x v="1"/>
    <x v="6"/>
    <x v="2"/>
    <x v="3"/>
    <n v="10"/>
    <n v="205625"/>
    <d v="2025-09-28T00:00:00"/>
    <n v="9"/>
    <n v="28"/>
    <n v="2025"/>
    <x v="1"/>
    <s v="Q3"/>
    <x v="2"/>
  </r>
  <r>
    <s v="O109248"/>
    <x v="424"/>
    <x v="2"/>
    <x v="6"/>
    <x v="4"/>
    <x v="0"/>
    <n v="10"/>
    <n v="205555"/>
    <d v="2026-07-16T00:00:00"/>
    <n v="7"/>
    <n v="16"/>
    <n v="2026"/>
    <x v="10"/>
    <s v="Q3"/>
    <x v="4"/>
  </r>
  <r>
    <s v="O100416"/>
    <x v="204"/>
    <x v="10"/>
    <x v="6"/>
    <x v="4"/>
    <x v="2"/>
    <n v="10"/>
    <n v="205554"/>
    <d v="2025-01-26T00:00:00"/>
    <n v="1"/>
    <n v="26"/>
    <n v="2025"/>
    <x v="6"/>
    <s v="Q1"/>
    <x v="4"/>
  </r>
  <r>
    <s v="O108697"/>
    <x v="635"/>
    <x v="6"/>
    <x v="3"/>
    <x v="2"/>
    <x v="0"/>
    <n v="1"/>
    <n v="205439"/>
    <d v="2026-06-13T00:00:00"/>
    <n v="6"/>
    <n v="13"/>
    <n v="2026"/>
    <x v="2"/>
    <s v="Q2"/>
    <x v="2"/>
  </r>
  <r>
    <s v="O106865"/>
    <x v="203"/>
    <x v="4"/>
    <x v="6"/>
    <x v="3"/>
    <x v="2"/>
    <n v="9"/>
    <n v="205403"/>
    <d v="2026-02-22T00:00:00"/>
    <n v="2"/>
    <n v="22"/>
    <n v="2026"/>
    <x v="4"/>
    <s v="Q1"/>
    <x v="3"/>
  </r>
  <r>
    <s v="O103150"/>
    <x v="611"/>
    <x v="3"/>
    <x v="6"/>
    <x v="2"/>
    <x v="0"/>
    <n v="7"/>
    <n v="205354"/>
    <d v="2025-11-07T00:00:00"/>
    <n v="11"/>
    <n v="7"/>
    <n v="2025"/>
    <x v="0"/>
    <s v="Q4"/>
    <x v="2"/>
  </r>
  <r>
    <s v="O109815"/>
    <x v="785"/>
    <x v="1"/>
    <x v="3"/>
    <x v="2"/>
    <x v="2"/>
    <n v="1"/>
    <n v="205320"/>
    <d v="2026-08-20T00:00:00"/>
    <n v="8"/>
    <n v="20"/>
    <n v="2026"/>
    <x v="8"/>
    <s v="Q3"/>
    <x v="2"/>
  </r>
  <r>
    <s v="O111929"/>
    <x v="111"/>
    <x v="5"/>
    <x v="6"/>
    <x v="2"/>
    <x v="0"/>
    <n v="10"/>
    <n v="205088"/>
    <d v="2026-12-26T00:00:00"/>
    <n v="12"/>
    <n v="26"/>
    <n v="2026"/>
    <x v="7"/>
    <s v="Q4"/>
    <x v="2"/>
  </r>
  <r>
    <s v="O108861"/>
    <x v="457"/>
    <x v="0"/>
    <x v="6"/>
    <x v="4"/>
    <x v="2"/>
    <n v="9"/>
    <n v="205005"/>
    <d v="2026-06-23T00:00:00"/>
    <n v="6"/>
    <n v="23"/>
    <n v="2026"/>
    <x v="2"/>
    <s v="Q2"/>
    <x v="4"/>
  </r>
  <r>
    <s v="O102176"/>
    <x v="84"/>
    <x v="1"/>
    <x v="5"/>
    <x v="4"/>
    <x v="2"/>
    <n v="2"/>
    <n v="204813"/>
    <d v="2025-05-13T00:00:00"/>
    <n v="5"/>
    <n v="13"/>
    <n v="2025"/>
    <x v="3"/>
    <s v="Q2"/>
    <x v="4"/>
  </r>
  <r>
    <s v="O106815"/>
    <x v="760"/>
    <x v="1"/>
    <x v="6"/>
    <x v="0"/>
    <x v="0"/>
    <n v="9"/>
    <n v="204799"/>
    <d v="2026-02-18T00:00:00"/>
    <n v="2"/>
    <n v="18"/>
    <n v="2026"/>
    <x v="4"/>
    <s v="Q1"/>
    <x v="0"/>
  </r>
  <r>
    <s v="O110399"/>
    <x v="92"/>
    <x v="6"/>
    <x v="6"/>
    <x v="3"/>
    <x v="2"/>
    <n v="10"/>
    <n v="204786"/>
    <d v="2026-09-24T00:00:00"/>
    <n v="9"/>
    <n v="24"/>
    <n v="2026"/>
    <x v="1"/>
    <s v="Q3"/>
    <x v="3"/>
  </r>
  <r>
    <s v="O100066"/>
    <x v="582"/>
    <x v="8"/>
    <x v="6"/>
    <x v="1"/>
    <x v="3"/>
    <n v="7"/>
    <n v="204771"/>
    <d v="2025-04-01T00:00:00"/>
    <n v="4"/>
    <n v="1"/>
    <n v="2025"/>
    <x v="11"/>
    <s v="Q2"/>
    <x v="1"/>
  </r>
  <r>
    <s v="O111832"/>
    <x v="176"/>
    <x v="9"/>
    <x v="4"/>
    <x v="0"/>
    <x v="2"/>
    <n v="1"/>
    <n v="204704"/>
    <d v="2026-12-20T00:00:00"/>
    <n v="12"/>
    <n v="20"/>
    <n v="2026"/>
    <x v="7"/>
    <s v="Q4"/>
    <x v="0"/>
  </r>
  <r>
    <s v="O100458"/>
    <x v="184"/>
    <x v="6"/>
    <x v="6"/>
    <x v="1"/>
    <x v="0"/>
    <n v="10"/>
    <n v="204663"/>
    <d v="2025-01-28T00:00:00"/>
    <n v="1"/>
    <n v="28"/>
    <n v="2025"/>
    <x v="6"/>
    <s v="Q1"/>
    <x v="1"/>
  </r>
  <r>
    <s v="O103249"/>
    <x v="57"/>
    <x v="5"/>
    <x v="5"/>
    <x v="0"/>
    <x v="0"/>
    <n v="2"/>
    <n v="204613"/>
    <d v="2025-07-17T00:00:00"/>
    <n v="7"/>
    <n v="17"/>
    <n v="2025"/>
    <x v="10"/>
    <s v="Q3"/>
    <x v="0"/>
  </r>
  <r>
    <s v="O103558"/>
    <x v="756"/>
    <x v="4"/>
    <x v="6"/>
    <x v="0"/>
    <x v="3"/>
    <n v="7"/>
    <n v="204602"/>
    <d v="2025-05-08T00:00:00"/>
    <n v="5"/>
    <n v="8"/>
    <n v="2025"/>
    <x v="3"/>
    <s v="Q2"/>
    <x v="0"/>
  </r>
  <r>
    <s v="O110171"/>
    <x v="618"/>
    <x v="9"/>
    <x v="6"/>
    <x v="4"/>
    <x v="1"/>
    <n v="8"/>
    <n v="204597"/>
    <d v="2026-10-09T00:00:00"/>
    <n v="10"/>
    <n v="9"/>
    <n v="2026"/>
    <x v="9"/>
    <s v="Q4"/>
    <x v="4"/>
  </r>
  <r>
    <s v="O102969"/>
    <x v="428"/>
    <x v="0"/>
    <x v="3"/>
    <x v="0"/>
    <x v="0"/>
    <n v="1"/>
    <n v="204571"/>
    <d v="2025-06-30T00:00:00"/>
    <n v="6"/>
    <n v="30"/>
    <n v="2025"/>
    <x v="2"/>
    <s v="Q2"/>
    <x v="0"/>
  </r>
  <r>
    <s v="O109025"/>
    <x v="642"/>
    <x v="2"/>
    <x v="6"/>
    <x v="4"/>
    <x v="0"/>
    <n v="9"/>
    <n v="204489"/>
    <d v="2026-03-07T00:00:00"/>
    <n v="3"/>
    <n v="7"/>
    <n v="2026"/>
    <x v="5"/>
    <s v="Q1"/>
    <x v="4"/>
  </r>
  <r>
    <s v="O101643"/>
    <x v="443"/>
    <x v="0"/>
    <x v="6"/>
    <x v="0"/>
    <x v="2"/>
    <n v="8"/>
    <n v="204489"/>
    <d v="2025-10-04T00:00:00"/>
    <n v="10"/>
    <n v="4"/>
    <n v="2025"/>
    <x v="9"/>
    <m/>
    <x v="0"/>
  </r>
  <r>
    <s v="O103490"/>
    <x v="588"/>
    <x v="9"/>
    <x v="6"/>
    <x v="3"/>
    <x v="0"/>
    <n v="7"/>
    <n v="204450"/>
    <d v="2025-07-31T00:00:00"/>
    <n v="7"/>
    <n v="31"/>
    <n v="2025"/>
    <x v="10"/>
    <s v="Q3"/>
    <x v="3"/>
  </r>
  <r>
    <s v="O107007"/>
    <x v="104"/>
    <x v="4"/>
    <x v="6"/>
    <x v="3"/>
    <x v="2"/>
    <n v="9"/>
    <n v="204272"/>
    <d v="2026-02-03T00:00:00"/>
    <n v="2"/>
    <n v="3"/>
    <n v="2026"/>
    <x v="4"/>
    <s v="Q1"/>
    <x v="3"/>
  </r>
  <r>
    <s v="O108157"/>
    <x v="13"/>
    <x v="1"/>
    <x v="4"/>
    <x v="1"/>
    <x v="3"/>
    <n v="1"/>
    <n v="204198"/>
    <d v="2026-11-05T00:00:00"/>
    <n v="11"/>
    <n v="5"/>
    <n v="2026"/>
    <x v="0"/>
    <s v="Q4"/>
    <x v="1"/>
  </r>
  <r>
    <s v="O111440"/>
    <x v="165"/>
    <x v="4"/>
    <x v="4"/>
    <x v="4"/>
    <x v="1"/>
    <n v="1"/>
    <n v="204037"/>
    <d v="2026-11-26T00:00:00"/>
    <n v="11"/>
    <n v="26"/>
    <n v="2026"/>
    <x v="0"/>
    <s v="Q4"/>
    <x v="4"/>
  </r>
  <r>
    <s v="O106116"/>
    <x v="702"/>
    <x v="5"/>
    <x v="4"/>
    <x v="0"/>
    <x v="2"/>
    <n v="1"/>
    <n v="203938"/>
    <d v="2026-07-01T00:00:00"/>
    <n v="7"/>
    <n v="1"/>
    <n v="2026"/>
    <x v="10"/>
    <s v="Q3"/>
    <x v="0"/>
  </r>
  <r>
    <s v="O107362"/>
    <x v="478"/>
    <x v="3"/>
    <x v="6"/>
    <x v="1"/>
    <x v="1"/>
    <n v="7"/>
    <n v="203724"/>
    <d v="2026-03-24T00:00:00"/>
    <n v="3"/>
    <n v="24"/>
    <n v="2026"/>
    <x v="5"/>
    <s v="Q1"/>
    <x v="1"/>
  </r>
  <r>
    <s v="O103451"/>
    <x v="732"/>
    <x v="3"/>
    <x v="6"/>
    <x v="3"/>
    <x v="0"/>
    <n v="9"/>
    <n v="203557"/>
    <d v="2025-07-29T00:00:00"/>
    <n v="7"/>
    <n v="29"/>
    <n v="2025"/>
    <x v="10"/>
    <s v="Q3"/>
    <x v="3"/>
  </r>
  <r>
    <s v="O108347"/>
    <x v="424"/>
    <x v="6"/>
    <x v="5"/>
    <x v="3"/>
    <x v="0"/>
    <n v="2"/>
    <n v="203377"/>
    <d v="2026-05-23T00:00:00"/>
    <n v="5"/>
    <n v="23"/>
    <n v="2026"/>
    <x v="3"/>
    <s v="Q2"/>
    <x v="3"/>
  </r>
  <r>
    <s v="O107874"/>
    <x v="270"/>
    <x v="2"/>
    <x v="5"/>
    <x v="0"/>
    <x v="3"/>
    <n v="2"/>
    <n v="203249"/>
    <d v="2026-04-24T00:00:00"/>
    <n v="4"/>
    <n v="24"/>
    <n v="2026"/>
    <x v="11"/>
    <s v="Q2"/>
    <x v="0"/>
  </r>
  <r>
    <s v="O106582"/>
    <x v="90"/>
    <x v="8"/>
    <x v="3"/>
    <x v="3"/>
    <x v="2"/>
    <n v="1"/>
    <n v="203226"/>
    <d v="2026-04-02T00:00:00"/>
    <n v="4"/>
    <n v="2"/>
    <n v="2026"/>
    <x v="11"/>
    <s v="Q2"/>
    <x v="3"/>
  </r>
  <r>
    <s v="O104961"/>
    <x v="341"/>
    <x v="0"/>
    <x v="6"/>
    <x v="2"/>
    <x v="0"/>
    <n v="10"/>
    <n v="203130"/>
    <d v="2025-10-29T00:00:00"/>
    <n v="10"/>
    <n v="29"/>
    <n v="2025"/>
    <x v="9"/>
    <m/>
    <x v="2"/>
  </r>
  <r>
    <s v="O107151"/>
    <x v="73"/>
    <x v="8"/>
    <x v="4"/>
    <x v="1"/>
    <x v="3"/>
    <n v="1"/>
    <n v="203125"/>
    <d v="2026-11-03T00:00:00"/>
    <n v="11"/>
    <n v="3"/>
    <n v="2026"/>
    <x v="0"/>
    <s v="Q4"/>
    <x v="1"/>
  </r>
  <r>
    <s v="O106890"/>
    <x v="54"/>
    <x v="0"/>
    <x v="6"/>
    <x v="4"/>
    <x v="1"/>
    <n v="10"/>
    <n v="202994"/>
    <d v="2026-02-23T00:00:00"/>
    <n v="2"/>
    <n v="23"/>
    <n v="2026"/>
    <x v="4"/>
    <s v="Q1"/>
    <x v="4"/>
  </r>
  <r>
    <s v="O103858"/>
    <x v="16"/>
    <x v="0"/>
    <x v="6"/>
    <x v="1"/>
    <x v="0"/>
    <n v="7"/>
    <n v="202820"/>
    <d v="2025-08-23T00:00:00"/>
    <n v="8"/>
    <n v="23"/>
    <n v="2025"/>
    <x v="8"/>
    <s v="Q3"/>
    <x v="1"/>
  </r>
  <r>
    <s v="O111386"/>
    <x v="482"/>
    <x v="0"/>
    <x v="6"/>
    <x v="1"/>
    <x v="1"/>
    <n v="7"/>
    <n v="202819"/>
    <d v="2026-11-23T00:00:00"/>
    <n v="11"/>
    <n v="23"/>
    <n v="2026"/>
    <x v="0"/>
    <s v="Q4"/>
    <x v="1"/>
  </r>
  <r>
    <s v="O106665"/>
    <x v="708"/>
    <x v="8"/>
    <x v="5"/>
    <x v="4"/>
    <x v="1"/>
    <n v="2"/>
    <n v="202704"/>
    <d v="2026-09-02T00:00:00"/>
    <n v="9"/>
    <n v="2"/>
    <n v="2026"/>
    <x v="1"/>
    <s v="Q3"/>
    <x v="4"/>
  </r>
  <r>
    <s v="O104416"/>
    <x v="105"/>
    <x v="5"/>
    <x v="6"/>
    <x v="4"/>
    <x v="0"/>
    <n v="7"/>
    <n v="202670"/>
    <d v="2025-09-26T00:00:00"/>
    <n v="9"/>
    <n v="26"/>
    <n v="2025"/>
    <x v="1"/>
    <s v="Q3"/>
    <x v="4"/>
  </r>
  <r>
    <s v="O101939"/>
    <x v="215"/>
    <x v="9"/>
    <x v="6"/>
    <x v="0"/>
    <x v="2"/>
    <n v="8"/>
    <n v="202642"/>
    <d v="2025-04-28T00:00:00"/>
    <n v="4"/>
    <n v="28"/>
    <n v="2025"/>
    <x v="11"/>
    <s v="Q2"/>
    <x v="0"/>
  </r>
  <r>
    <s v="O104470"/>
    <x v="105"/>
    <x v="4"/>
    <x v="5"/>
    <x v="1"/>
    <x v="1"/>
    <n v="2"/>
    <n v="202570"/>
    <d v="2025-09-29T00:00:00"/>
    <n v="9"/>
    <n v="29"/>
    <n v="2025"/>
    <x v="1"/>
    <s v="Q3"/>
    <x v="1"/>
  </r>
  <r>
    <s v="O100650"/>
    <x v="141"/>
    <x v="1"/>
    <x v="6"/>
    <x v="0"/>
    <x v="2"/>
    <n v="8"/>
    <n v="202466"/>
    <d v="2025-09-02T00:00:00"/>
    <n v="9"/>
    <n v="2"/>
    <n v="2025"/>
    <x v="1"/>
    <s v="Q3"/>
    <x v="0"/>
  </r>
  <r>
    <s v="O106775"/>
    <x v="512"/>
    <x v="0"/>
    <x v="6"/>
    <x v="1"/>
    <x v="3"/>
    <n v="7"/>
    <n v="202423"/>
    <d v="2026-02-16T00:00:00"/>
    <n v="2"/>
    <n v="16"/>
    <n v="2026"/>
    <x v="4"/>
    <s v="Q1"/>
    <x v="1"/>
  </r>
  <r>
    <s v="O106608"/>
    <x v="181"/>
    <x v="2"/>
    <x v="6"/>
    <x v="4"/>
    <x v="1"/>
    <n v="7"/>
    <n v="202339"/>
    <d v="2026-06-02T00:00:00"/>
    <n v="6"/>
    <n v="2"/>
    <n v="2026"/>
    <x v="2"/>
    <s v="Q2"/>
    <x v="4"/>
  </r>
  <r>
    <s v="O100837"/>
    <x v="241"/>
    <x v="8"/>
    <x v="3"/>
    <x v="0"/>
    <x v="2"/>
    <n v="1"/>
    <n v="202148"/>
    <d v="2025-02-20T00:00:00"/>
    <n v="2"/>
    <n v="20"/>
    <n v="2025"/>
    <x v="4"/>
    <s v="Q1"/>
    <x v="0"/>
  </r>
  <r>
    <s v="O109399"/>
    <x v="633"/>
    <x v="3"/>
    <x v="6"/>
    <x v="0"/>
    <x v="0"/>
    <n v="9"/>
    <n v="202023"/>
    <d v="2026-07-25T00:00:00"/>
    <n v="7"/>
    <n v="25"/>
    <n v="2026"/>
    <x v="10"/>
    <s v="Q3"/>
    <x v="0"/>
  </r>
  <r>
    <s v="O106317"/>
    <x v="593"/>
    <x v="1"/>
    <x v="4"/>
    <x v="3"/>
    <x v="1"/>
    <n v="1"/>
    <n v="201988"/>
    <d v="2026-01-19T00:00:00"/>
    <n v="1"/>
    <n v="19"/>
    <n v="2026"/>
    <x v="6"/>
    <s v="Q1"/>
    <x v="3"/>
  </r>
  <r>
    <s v="O108300"/>
    <x v="660"/>
    <x v="1"/>
    <x v="5"/>
    <x v="1"/>
    <x v="2"/>
    <n v="2"/>
    <n v="201878"/>
    <d v="2026-05-20T00:00:00"/>
    <n v="5"/>
    <n v="20"/>
    <n v="2026"/>
    <x v="3"/>
    <m/>
    <x v="1"/>
  </r>
  <r>
    <s v="O104378"/>
    <x v="564"/>
    <x v="10"/>
    <x v="5"/>
    <x v="1"/>
    <x v="3"/>
    <n v="2"/>
    <n v="201870"/>
    <d v="2025-09-23T00:00:00"/>
    <n v="9"/>
    <n v="23"/>
    <n v="2025"/>
    <x v="1"/>
    <s v="Q3"/>
    <x v="1"/>
  </r>
  <r>
    <s v="O108671"/>
    <x v="606"/>
    <x v="3"/>
    <x v="3"/>
    <x v="1"/>
    <x v="2"/>
    <n v="1"/>
    <n v="201857"/>
    <d v="2026-11-06T00:00:00"/>
    <n v="11"/>
    <n v="6"/>
    <n v="2026"/>
    <x v="0"/>
    <s v="Q4"/>
    <x v="1"/>
  </r>
  <r>
    <s v="O103751"/>
    <x v="172"/>
    <x v="1"/>
    <x v="5"/>
    <x v="2"/>
    <x v="1"/>
    <n v="2"/>
    <n v="201701"/>
    <d v="2025-08-16T00:00:00"/>
    <n v="8"/>
    <n v="16"/>
    <n v="2025"/>
    <x v="8"/>
    <s v="Q3"/>
    <x v="2"/>
  </r>
  <r>
    <s v="O111909"/>
    <x v="784"/>
    <x v="1"/>
    <x v="6"/>
    <x v="3"/>
    <x v="3"/>
    <n v="9"/>
    <n v="201692"/>
    <d v="2026-12-25T00:00:00"/>
    <n v="12"/>
    <n v="25"/>
    <n v="2026"/>
    <x v="7"/>
    <s v="Q4"/>
    <x v="3"/>
  </r>
  <r>
    <s v="O109498"/>
    <x v="652"/>
    <x v="5"/>
    <x v="6"/>
    <x v="0"/>
    <x v="0"/>
    <n v="7"/>
    <n v="201674"/>
    <d v="2026-07-31T00:00:00"/>
    <n v="7"/>
    <n v="31"/>
    <n v="2026"/>
    <x v="10"/>
    <s v="Q3"/>
    <x v="0"/>
  </r>
  <r>
    <s v="O105330"/>
    <x v="592"/>
    <x v="2"/>
    <x v="6"/>
    <x v="0"/>
    <x v="0"/>
    <n v="7"/>
    <n v="201591"/>
    <d v="2025-11-20T00:00:00"/>
    <n v="11"/>
    <n v="20"/>
    <n v="2025"/>
    <x v="0"/>
    <s v="Q4"/>
    <x v="0"/>
  </r>
  <r>
    <s v="O105819"/>
    <x v="27"/>
    <x v="3"/>
    <x v="3"/>
    <x v="2"/>
    <x v="1"/>
    <n v="1"/>
    <n v="201514"/>
    <d v="2025-12-20T00:00:00"/>
    <n v="12"/>
    <n v="20"/>
    <n v="2025"/>
    <x v="7"/>
    <s v="Q4"/>
    <x v="2"/>
  </r>
  <r>
    <s v="O104561"/>
    <x v="172"/>
    <x v="8"/>
    <x v="4"/>
    <x v="3"/>
    <x v="2"/>
    <n v="1"/>
    <n v="201300"/>
    <d v="2025-05-10T00:00:00"/>
    <n v="5"/>
    <n v="10"/>
    <n v="2025"/>
    <x v="3"/>
    <s v="Q2"/>
    <x v="3"/>
  </r>
  <r>
    <s v="O110682"/>
    <x v="765"/>
    <x v="6"/>
    <x v="3"/>
    <x v="1"/>
    <x v="2"/>
    <n v="1"/>
    <n v="201194"/>
    <d v="2026-11-10T00:00:00"/>
    <n v="11"/>
    <n v="10"/>
    <n v="2026"/>
    <x v="0"/>
    <s v="Q4"/>
    <x v="1"/>
  </r>
  <r>
    <s v="O105997"/>
    <x v="707"/>
    <x v="6"/>
    <x v="6"/>
    <x v="0"/>
    <x v="3"/>
    <n v="9"/>
    <n v="201130"/>
    <d v="2025-12-31T00:00:00"/>
    <n v="12"/>
    <n v="31"/>
    <n v="2025"/>
    <x v="7"/>
    <s v="Q4"/>
    <x v="0"/>
  </r>
  <r>
    <s v="O106364"/>
    <x v="387"/>
    <x v="1"/>
    <x v="6"/>
    <x v="0"/>
    <x v="1"/>
    <n v="9"/>
    <n v="200959"/>
    <d v="2026-01-22T00:00:00"/>
    <n v="1"/>
    <n v="22"/>
    <n v="2026"/>
    <x v="6"/>
    <s v="Q1"/>
    <x v="0"/>
  </r>
  <r>
    <s v="O105249"/>
    <x v="483"/>
    <x v="10"/>
    <x v="6"/>
    <x v="0"/>
    <x v="0"/>
    <n v="7"/>
    <n v="200865"/>
    <d v="2025-11-15T00:00:00"/>
    <n v="11"/>
    <n v="15"/>
    <n v="2025"/>
    <x v="0"/>
    <s v="Q4"/>
    <x v="0"/>
  </r>
  <r>
    <s v="O105010"/>
    <x v="790"/>
    <x v="4"/>
    <x v="6"/>
    <x v="4"/>
    <x v="3"/>
    <n v="7"/>
    <n v="200806"/>
    <d v="2025-01-11T00:00:00"/>
    <n v="1"/>
    <n v="11"/>
    <n v="2025"/>
    <x v="6"/>
    <s v="Q1"/>
    <x v="4"/>
  </r>
  <r>
    <s v="O107487"/>
    <x v="14"/>
    <x v="1"/>
    <x v="6"/>
    <x v="1"/>
    <x v="0"/>
    <n v="7"/>
    <n v="200786"/>
    <d v="2026-03-31T00:00:00"/>
    <n v="3"/>
    <n v="31"/>
    <n v="2026"/>
    <x v="5"/>
    <s v="Q1"/>
    <x v="1"/>
  </r>
  <r>
    <s v="O103247"/>
    <x v="56"/>
    <x v="8"/>
    <x v="6"/>
    <x v="4"/>
    <x v="1"/>
    <n v="7"/>
    <n v="200775"/>
    <d v="2025-07-17T00:00:00"/>
    <n v="7"/>
    <n v="17"/>
    <n v="2025"/>
    <x v="10"/>
    <s v="Q3"/>
    <x v="4"/>
  </r>
  <r>
    <s v="O105934"/>
    <x v="151"/>
    <x v="5"/>
    <x v="3"/>
    <x v="0"/>
    <x v="3"/>
    <n v="1"/>
    <n v="200754"/>
    <d v="2025-12-27T00:00:00"/>
    <n v="12"/>
    <n v="27"/>
    <n v="2025"/>
    <x v="7"/>
    <s v="Q4"/>
    <x v="0"/>
  </r>
  <r>
    <s v="O111439"/>
    <x v="407"/>
    <x v="3"/>
    <x v="5"/>
    <x v="2"/>
    <x v="1"/>
    <n v="2"/>
    <n v="200713"/>
    <d v="2026-11-26T00:00:00"/>
    <n v="11"/>
    <n v="26"/>
    <n v="2026"/>
    <x v="0"/>
    <s v="Q4"/>
    <x v="2"/>
  </r>
  <r>
    <s v="O106370"/>
    <x v="364"/>
    <x v="3"/>
    <x v="5"/>
    <x v="1"/>
    <x v="3"/>
    <n v="2"/>
    <n v="200546"/>
    <d v="2026-01-22T00:00:00"/>
    <n v="1"/>
    <n v="22"/>
    <n v="2026"/>
    <x v="6"/>
    <s v="Q1"/>
    <x v="1"/>
  </r>
  <r>
    <s v="O110350"/>
    <x v="323"/>
    <x v="1"/>
    <x v="6"/>
    <x v="1"/>
    <x v="1"/>
    <n v="8"/>
    <n v="200443"/>
    <d v="2026-09-21T00:00:00"/>
    <n v="9"/>
    <n v="21"/>
    <n v="2026"/>
    <x v="1"/>
    <s v="Q3"/>
    <x v="1"/>
  </r>
  <r>
    <s v="O108342"/>
    <x v="500"/>
    <x v="10"/>
    <x v="6"/>
    <x v="0"/>
    <x v="2"/>
    <n v="9"/>
    <n v="200305"/>
    <d v="2026-05-22T00:00:00"/>
    <n v="5"/>
    <n v="22"/>
    <n v="2026"/>
    <x v="3"/>
    <s v="Q2"/>
    <x v="0"/>
  </r>
  <r>
    <s v="O100090"/>
    <x v="699"/>
    <x v="9"/>
    <x v="6"/>
    <x v="4"/>
    <x v="1"/>
    <n v="7"/>
    <n v="200226"/>
    <d v="2025-06-01T00:00:00"/>
    <n v="6"/>
    <n v="1"/>
    <n v="2025"/>
    <x v="2"/>
    <s v="Q2"/>
    <x v="4"/>
  </r>
  <r>
    <s v="O107394"/>
    <x v="431"/>
    <x v="3"/>
    <x v="6"/>
    <x v="1"/>
    <x v="3"/>
    <n v="10"/>
    <n v="200076"/>
    <d v="2026-03-26T00:00:00"/>
    <n v="3"/>
    <n v="26"/>
    <n v="2026"/>
    <x v="5"/>
    <s v="Q1"/>
    <x v="1"/>
  </r>
  <r>
    <s v="O101480"/>
    <x v="21"/>
    <x v="0"/>
    <x v="6"/>
    <x v="0"/>
    <x v="2"/>
    <n v="7"/>
    <n v="199966"/>
    <d v="2025-03-31T00:00:00"/>
    <n v="3"/>
    <n v="31"/>
    <n v="2025"/>
    <x v="5"/>
    <s v="Q1"/>
    <x v="0"/>
  </r>
  <r>
    <s v="O101621"/>
    <x v="145"/>
    <x v="10"/>
    <x v="6"/>
    <x v="2"/>
    <x v="0"/>
    <n v="7"/>
    <n v="199827"/>
    <d v="2025-09-04T00:00:00"/>
    <n v="9"/>
    <n v="4"/>
    <n v="2025"/>
    <x v="1"/>
    <m/>
    <x v="2"/>
  </r>
  <r>
    <s v="O105184"/>
    <x v="401"/>
    <x v="6"/>
    <x v="3"/>
    <x v="4"/>
    <x v="0"/>
    <n v="1"/>
    <n v="199796"/>
    <d v="2025-11-11T00:00:00"/>
    <n v="11"/>
    <n v="11"/>
    <n v="2025"/>
    <x v="0"/>
    <s v="Q4"/>
    <x v="4"/>
  </r>
  <r>
    <s v="O103691"/>
    <x v="440"/>
    <x v="2"/>
    <x v="5"/>
    <x v="2"/>
    <x v="2"/>
    <n v="2"/>
    <n v="199704"/>
    <d v="2025-08-13T00:00:00"/>
    <n v="8"/>
    <n v="13"/>
    <n v="2025"/>
    <x v="8"/>
    <s v="Q3"/>
    <x v="2"/>
  </r>
  <r>
    <s v="O107414"/>
    <x v="366"/>
    <x v="3"/>
    <x v="5"/>
    <x v="2"/>
    <x v="1"/>
    <n v="2"/>
    <n v="199677"/>
    <d v="2026-03-27T00:00:00"/>
    <n v="3"/>
    <n v="27"/>
    <n v="2026"/>
    <x v="5"/>
    <s v="Q1"/>
    <x v="2"/>
  </r>
  <r>
    <s v="O109112"/>
    <x v="298"/>
    <x v="4"/>
    <x v="6"/>
    <x v="4"/>
    <x v="0"/>
    <n v="9"/>
    <n v="199496"/>
    <d v="2026-08-07T00:00:00"/>
    <n v="8"/>
    <n v="7"/>
    <n v="2026"/>
    <x v="8"/>
    <s v="Q3"/>
    <x v="4"/>
  </r>
  <r>
    <s v="O106824"/>
    <x v="326"/>
    <x v="2"/>
    <x v="3"/>
    <x v="3"/>
    <x v="3"/>
    <n v="1"/>
    <n v="199388"/>
    <d v="2026-02-19T00:00:00"/>
    <n v="2"/>
    <n v="19"/>
    <n v="2026"/>
    <x v="4"/>
    <s v="Q1"/>
    <x v="3"/>
  </r>
  <r>
    <s v="O102887"/>
    <x v="209"/>
    <x v="4"/>
    <x v="6"/>
    <x v="2"/>
    <x v="1"/>
    <n v="7"/>
    <n v="199380"/>
    <d v="2025-06-25T00:00:00"/>
    <n v="6"/>
    <n v="25"/>
    <n v="2025"/>
    <x v="2"/>
    <s v="Q2"/>
    <x v="2"/>
  </r>
  <r>
    <s v="O101156"/>
    <x v="715"/>
    <x v="8"/>
    <x v="4"/>
    <x v="1"/>
    <x v="0"/>
    <n v="1"/>
    <n v="199366"/>
    <d v="2025-12-03T00:00:00"/>
    <n v="12"/>
    <n v="3"/>
    <n v="2025"/>
    <x v="7"/>
    <s v="Q4"/>
    <x v="1"/>
  </r>
  <r>
    <s v="O107913"/>
    <x v="761"/>
    <x v="0"/>
    <x v="6"/>
    <x v="3"/>
    <x v="2"/>
    <n v="8"/>
    <n v="199267"/>
    <d v="2026-04-26T00:00:00"/>
    <n v="4"/>
    <n v="26"/>
    <n v="2026"/>
    <x v="11"/>
    <s v="Q2"/>
    <x v="3"/>
  </r>
  <r>
    <s v="O102543"/>
    <x v="147"/>
    <x v="4"/>
    <x v="5"/>
    <x v="1"/>
    <x v="1"/>
    <n v="2"/>
    <n v="199223"/>
    <d v="2025-04-06T00:00:00"/>
    <n v="4"/>
    <n v="6"/>
    <n v="2025"/>
    <x v="11"/>
    <s v="Q2"/>
    <x v="1"/>
  </r>
  <r>
    <s v="O101433"/>
    <x v="281"/>
    <x v="5"/>
    <x v="6"/>
    <x v="3"/>
    <x v="0"/>
    <n v="8"/>
    <n v="199175"/>
    <d v="2025-03-29T00:00:00"/>
    <n v="3"/>
    <n v="29"/>
    <n v="2025"/>
    <x v="5"/>
    <s v="Q1"/>
    <x v="3"/>
  </r>
  <r>
    <s v="O102149"/>
    <x v="14"/>
    <x v="3"/>
    <x v="6"/>
    <x v="3"/>
    <x v="3"/>
    <n v="8"/>
    <n v="199006"/>
    <d v="2025-11-05T00:00:00"/>
    <n v="11"/>
    <n v="5"/>
    <n v="2025"/>
    <x v="0"/>
    <s v="Q4"/>
    <x v="3"/>
  </r>
  <r>
    <s v="O103192"/>
    <x v="654"/>
    <x v="2"/>
    <x v="3"/>
    <x v="2"/>
    <x v="1"/>
    <n v="1"/>
    <n v="198990"/>
    <d v="2025-07-13T00:00:00"/>
    <n v="7"/>
    <n v="13"/>
    <n v="2025"/>
    <x v="10"/>
    <s v="Q3"/>
    <x v="2"/>
  </r>
  <r>
    <s v="O111025"/>
    <x v="559"/>
    <x v="10"/>
    <x v="6"/>
    <x v="1"/>
    <x v="0"/>
    <n v="10"/>
    <n v="198943"/>
    <d v="2026-01-11T00:00:00"/>
    <n v="1"/>
    <n v="11"/>
    <n v="2026"/>
    <x v="6"/>
    <m/>
    <x v="1"/>
  </r>
  <r>
    <s v="O111940"/>
    <x v="779"/>
    <x v="4"/>
    <x v="6"/>
    <x v="3"/>
    <x v="1"/>
    <n v="7"/>
    <n v="198731"/>
    <d v="2026-12-27T00:00:00"/>
    <n v="12"/>
    <n v="27"/>
    <n v="2026"/>
    <x v="7"/>
    <s v="Q4"/>
    <x v="3"/>
  </r>
  <r>
    <s v="O110687"/>
    <x v="741"/>
    <x v="4"/>
    <x v="6"/>
    <x v="0"/>
    <x v="2"/>
    <n v="9"/>
    <n v="198703"/>
    <d v="2026-12-10T00:00:00"/>
    <n v="12"/>
    <n v="10"/>
    <n v="2026"/>
    <x v="7"/>
    <s v="Q4"/>
    <x v="0"/>
  </r>
  <r>
    <s v="O105752"/>
    <x v="16"/>
    <x v="8"/>
    <x v="4"/>
    <x v="0"/>
    <x v="3"/>
    <n v="1"/>
    <n v="198593"/>
    <d v="2025-12-16T00:00:00"/>
    <n v="12"/>
    <n v="16"/>
    <n v="2025"/>
    <x v="7"/>
    <s v="Q4"/>
    <x v="0"/>
  </r>
  <r>
    <s v="O107593"/>
    <x v="544"/>
    <x v="8"/>
    <x v="4"/>
    <x v="4"/>
    <x v="1"/>
    <n v="1"/>
    <n v="198369"/>
    <d v="2026-07-04T00:00:00"/>
    <n v="7"/>
    <n v="4"/>
    <n v="2026"/>
    <x v="10"/>
    <s v="Q3"/>
    <x v="4"/>
  </r>
  <r>
    <s v="O101764"/>
    <x v="783"/>
    <x v="6"/>
    <x v="6"/>
    <x v="3"/>
    <x v="3"/>
    <n v="10"/>
    <n v="198348"/>
    <d v="2025-04-18T00:00:00"/>
    <n v="4"/>
    <n v="18"/>
    <n v="2025"/>
    <x v="11"/>
    <s v="Q2"/>
    <x v="3"/>
  </r>
  <r>
    <s v="O100344"/>
    <x v="84"/>
    <x v="5"/>
    <x v="6"/>
    <x v="3"/>
    <x v="2"/>
    <n v="8"/>
    <n v="198321"/>
    <d v="2025-01-21T00:00:00"/>
    <n v="1"/>
    <n v="21"/>
    <n v="2025"/>
    <x v="6"/>
    <s v="Q1"/>
    <x v="3"/>
  </r>
  <r>
    <s v="O109591"/>
    <x v="462"/>
    <x v="0"/>
    <x v="6"/>
    <x v="1"/>
    <x v="3"/>
    <n v="8"/>
    <n v="198142"/>
    <d v="2026-06-08T00:00:00"/>
    <n v="6"/>
    <n v="8"/>
    <n v="2026"/>
    <x v="2"/>
    <s v="Q2"/>
    <x v="1"/>
  </r>
  <r>
    <s v="O109785"/>
    <x v="176"/>
    <x v="3"/>
    <x v="6"/>
    <x v="4"/>
    <x v="3"/>
    <n v="8"/>
    <n v="197981"/>
    <d v="2026-08-18T00:00:00"/>
    <n v="8"/>
    <n v="18"/>
    <n v="2026"/>
    <x v="8"/>
    <s v="Q3"/>
    <x v="4"/>
  </r>
  <r>
    <s v="O101672"/>
    <x v="666"/>
    <x v="3"/>
    <x v="5"/>
    <x v="2"/>
    <x v="3"/>
    <n v="2"/>
    <n v="197841"/>
    <d v="2025-12-04T00:00:00"/>
    <n v="12"/>
    <n v="4"/>
    <n v="2025"/>
    <x v="7"/>
    <m/>
    <x v="2"/>
  </r>
  <r>
    <s v="O108855"/>
    <x v="285"/>
    <x v="6"/>
    <x v="6"/>
    <x v="3"/>
    <x v="3"/>
    <n v="10"/>
    <n v="197808"/>
    <d v="2026-06-22T00:00:00"/>
    <n v="6"/>
    <n v="22"/>
    <n v="2026"/>
    <x v="2"/>
    <s v="Q2"/>
    <x v="3"/>
  </r>
  <r>
    <s v="O105096"/>
    <x v="572"/>
    <x v="2"/>
    <x v="6"/>
    <x v="4"/>
    <x v="1"/>
    <n v="8"/>
    <n v="197635"/>
    <d v="2025-06-11T00:00:00"/>
    <n v="6"/>
    <n v="11"/>
    <n v="2025"/>
    <x v="2"/>
    <s v="Q2"/>
    <x v="4"/>
  </r>
  <r>
    <s v="O111698"/>
    <x v="96"/>
    <x v="2"/>
    <x v="3"/>
    <x v="1"/>
    <x v="1"/>
    <n v="1"/>
    <n v="197540"/>
    <d v="2026-12-12T00:00:00"/>
    <n v="12"/>
    <n v="12"/>
    <n v="2026"/>
    <x v="7"/>
    <s v="Q4"/>
    <x v="1"/>
  </r>
  <r>
    <s v="O104093"/>
    <x v="410"/>
    <x v="6"/>
    <x v="6"/>
    <x v="4"/>
    <x v="3"/>
    <n v="9"/>
    <n v="197527"/>
    <d v="2025-06-09T00:00:00"/>
    <n v="6"/>
    <n v="9"/>
    <n v="2025"/>
    <x v="2"/>
    <s v="Q2"/>
    <x v="4"/>
  </r>
  <r>
    <s v="O111977"/>
    <x v="78"/>
    <x v="8"/>
    <x v="6"/>
    <x v="2"/>
    <x v="3"/>
    <n v="7"/>
    <n v="197516"/>
    <d v="2026-12-29T00:00:00"/>
    <n v="12"/>
    <n v="29"/>
    <n v="2026"/>
    <x v="7"/>
    <s v="Q4"/>
    <x v="2"/>
  </r>
  <r>
    <s v="O104571"/>
    <x v="650"/>
    <x v="3"/>
    <x v="6"/>
    <x v="0"/>
    <x v="1"/>
    <n v="10"/>
    <n v="197432"/>
    <d v="2025-05-10T00:00:00"/>
    <n v="5"/>
    <n v="10"/>
    <n v="2025"/>
    <x v="3"/>
    <s v="Q2"/>
    <x v="0"/>
  </r>
  <r>
    <s v="O106302"/>
    <x v="509"/>
    <x v="3"/>
    <x v="6"/>
    <x v="2"/>
    <x v="2"/>
    <n v="10"/>
    <n v="197327"/>
    <d v="2026-01-18T00:00:00"/>
    <n v="1"/>
    <n v="18"/>
    <n v="2026"/>
    <x v="6"/>
    <s v="Q1"/>
    <x v="2"/>
  </r>
  <r>
    <s v="O108120"/>
    <x v="642"/>
    <x v="2"/>
    <x v="6"/>
    <x v="4"/>
    <x v="0"/>
    <n v="9"/>
    <n v="197305"/>
    <d v="2026-09-05T00:00:00"/>
    <n v="9"/>
    <n v="5"/>
    <n v="2026"/>
    <x v="1"/>
    <s v="Q3"/>
    <x v="4"/>
  </r>
  <r>
    <s v="O109648"/>
    <x v="401"/>
    <x v="5"/>
    <x v="6"/>
    <x v="3"/>
    <x v="0"/>
    <n v="10"/>
    <n v="197301"/>
    <d v="2026-10-08T00:00:00"/>
    <n v="10"/>
    <n v="8"/>
    <n v="2026"/>
    <x v="9"/>
    <s v="Q4"/>
    <x v="3"/>
  </r>
  <r>
    <s v="O111244"/>
    <x v="436"/>
    <x v="1"/>
    <x v="6"/>
    <x v="0"/>
    <x v="3"/>
    <n v="10"/>
    <n v="197226"/>
    <d v="2026-11-15T00:00:00"/>
    <n v="11"/>
    <n v="15"/>
    <n v="2026"/>
    <x v="0"/>
    <s v="Q4"/>
    <x v="0"/>
  </r>
  <r>
    <s v="O102513"/>
    <x v="310"/>
    <x v="10"/>
    <x v="6"/>
    <x v="2"/>
    <x v="2"/>
    <n v="7"/>
    <n v="197197"/>
    <d v="2025-02-06T00:00:00"/>
    <n v="2"/>
    <n v="6"/>
    <n v="2025"/>
    <x v="4"/>
    <s v="Q1"/>
    <x v="2"/>
  </r>
  <r>
    <s v="O101843"/>
    <x v="335"/>
    <x v="9"/>
    <x v="6"/>
    <x v="0"/>
    <x v="0"/>
    <n v="8"/>
    <n v="197166"/>
    <d v="2025-04-22T00:00:00"/>
    <n v="4"/>
    <n v="22"/>
    <n v="2025"/>
    <x v="11"/>
    <s v="Q2"/>
    <x v="0"/>
  </r>
  <r>
    <s v="O100396"/>
    <x v="265"/>
    <x v="6"/>
    <x v="3"/>
    <x v="0"/>
    <x v="1"/>
    <n v="1"/>
    <n v="197134"/>
    <d v="2025-01-24T00:00:00"/>
    <n v="1"/>
    <n v="24"/>
    <n v="2025"/>
    <x v="6"/>
    <s v="Q1"/>
    <x v="0"/>
  </r>
  <r>
    <s v="O100070"/>
    <x v="458"/>
    <x v="8"/>
    <x v="3"/>
    <x v="2"/>
    <x v="2"/>
    <n v="1"/>
    <n v="197054"/>
    <d v="2025-05-01T00:00:00"/>
    <n v="5"/>
    <n v="1"/>
    <n v="2025"/>
    <x v="3"/>
    <s v="Q2"/>
    <x v="2"/>
  </r>
  <r>
    <s v="O105097"/>
    <x v="641"/>
    <x v="5"/>
    <x v="5"/>
    <x v="0"/>
    <x v="0"/>
    <n v="2"/>
    <n v="196685"/>
    <d v="2025-06-11T00:00:00"/>
    <n v="6"/>
    <n v="11"/>
    <n v="2025"/>
    <x v="2"/>
    <s v="Q2"/>
    <x v="0"/>
  </r>
  <r>
    <s v="O110219"/>
    <x v="456"/>
    <x v="3"/>
    <x v="6"/>
    <x v="4"/>
    <x v="3"/>
    <n v="8"/>
    <n v="196500"/>
    <d v="2026-09-13T00:00:00"/>
    <n v="9"/>
    <n v="13"/>
    <n v="2026"/>
    <x v="1"/>
    <s v="Q3"/>
    <x v="4"/>
  </r>
  <r>
    <s v="O106991"/>
    <x v="553"/>
    <x v="4"/>
    <x v="3"/>
    <x v="4"/>
    <x v="3"/>
    <n v="1"/>
    <n v="196400"/>
    <d v="2026-01-03T00:00:00"/>
    <n v="1"/>
    <n v="3"/>
    <n v="2026"/>
    <x v="6"/>
    <s v="Q1"/>
    <x v="4"/>
  </r>
  <r>
    <s v="O106290"/>
    <x v="754"/>
    <x v="9"/>
    <x v="6"/>
    <x v="0"/>
    <x v="0"/>
    <n v="8"/>
    <n v="196392"/>
    <d v="2026-01-18T00:00:00"/>
    <n v="1"/>
    <n v="18"/>
    <n v="2026"/>
    <x v="6"/>
    <s v="Q1"/>
    <x v="0"/>
  </r>
  <r>
    <s v="O109920"/>
    <x v="48"/>
    <x v="5"/>
    <x v="6"/>
    <x v="1"/>
    <x v="3"/>
    <n v="9"/>
    <n v="196355"/>
    <d v="2026-08-26T00:00:00"/>
    <n v="8"/>
    <n v="26"/>
    <n v="2026"/>
    <x v="8"/>
    <s v="Q3"/>
    <x v="1"/>
  </r>
  <r>
    <s v="O105038"/>
    <x v="433"/>
    <x v="4"/>
    <x v="3"/>
    <x v="0"/>
    <x v="1"/>
    <n v="1"/>
    <n v="196217"/>
    <d v="2025-03-11T00:00:00"/>
    <n v="3"/>
    <n v="11"/>
    <n v="2025"/>
    <x v="5"/>
    <s v="Q1"/>
    <x v="0"/>
  </r>
  <r>
    <s v="O103033"/>
    <x v="474"/>
    <x v="2"/>
    <x v="4"/>
    <x v="4"/>
    <x v="3"/>
    <n v="1"/>
    <n v="196207"/>
    <d v="2025-04-07T00:00:00"/>
    <n v="4"/>
    <n v="7"/>
    <n v="2025"/>
    <x v="11"/>
    <s v="Q2"/>
    <x v="4"/>
  </r>
  <r>
    <s v="O106312"/>
    <x v="73"/>
    <x v="2"/>
    <x v="6"/>
    <x v="4"/>
    <x v="1"/>
    <n v="9"/>
    <n v="196137"/>
    <d v="2026-01-19T00:00:00"/>
    <n v="1"/>
    <n v="19"/>
    <n v="2026"/>
    <x v="6"/>
    <s v="Q1"/>
    <x v="4"/>
  </r>
  <r>
    <s v="O100922"/>
    <x v="657"/>
    <x v="1"/>
    <x v="6"/>
    <x v="1"/>
    <x v="1"/>
    <n v="10"/>
    <n v="195897"/>
    <d v="2025-02-25T00:00:00"/>
    <n v="2"/>
    <n v="25"/>
    <n v="2025"/>
    <x v="4"/>
    <s v="Q1"/>
    <x v="1"/>
  </r>
  <r>
    <s v="O108241"/>
    <x v="600"/>
    <x v="4"/>
    <x v="4"/>
    <x v="4"/>
    <x v="3"/>
    <n v="1"/>
    <n v="195780"/>
    <d v="2026-05-16T00:00:00"/>
    <n v="5"/>
    <n v="16"/>
    <n v="2026"/>
    <x v="3"/>
    <s v="Q2"/>
    <x v="4"/>
  </r>
  <r>
    <s v="O101584"/>
    <x v="428"/>
    <x v="8"/>
    <x v="6"/>
    <x v="2"/>
    <x v="2"/>
    <n v="8"/>
    <n v="195692"/>
    <d v="2025-07-04T00:00:00"/>
    <n v="7"/>
    <n v="4"/>
    <n v="2025"/>
    <x v="10"/>
    <s v="Q3"/>
    <x v="2"/>
  </r>
  <r>
    <s v="O111402"/>
    <x v="745"/>
    <x v="5"/>
    <x v="6"/>
    <x v="1"/>
    <x v="3"/>
    <n v="10"/>
    <n v="195689"/>
    <d v="2026-11-24T00:00:00"/>
    <n v="11"/>
    <n v="24"/>
    <n v="2026"/>
    <x v="0"/>
    <s v="Q4"/>
    <x v="1"/>
  </r>
  <r>
    <s v="O102474"/>
    <x v="349"/>
    <x v="5"/>
    <x v="4"/>
    <x v="0"/>
    <x v="3"/>
    <n v="1"/>
    <n v="195660"/>
    <d v="2025-05-31T00:00:00"/>
    <n v="5"/>
    <n v="31"/>
    <n v="2025"/>
    <x v="3"/>
    <s v="Q2"/>
    <x v="0"/>
  </r>
  <r>
    <s v="O109326"/>
    <x v="646"/>
    <x v="1"/>
    <x v="3"/>
    <x v="1"/>
    <x v="2"/>
    <n v="1"/>
    <n v="195615"/>
    <d v="2026-07-21T00:00:00"/>
    <n v="7"/>
    <n v="21"/>
    <n v="2026"/>
    <x v="10"/>
    <s v="Q3"/>
    <x v="1"/>
  </r>
  <r>
    <s v="O111950"/>
    <x v="659"/>
    <x v="10"/>
    <x v="4"/>
    <x v="4"/>
    <x v="1"/>
    <n v="1"/>
    <n v="195429"/>
    <d v="2026-12-27T00:00:00"/>
    <n v="12"/>
    <n v="27"/>
    <n v="2026"/>
    <x v="7"/>
    <s v="Q4"/>
    <x v="4"/>
  </r>
  <r>
    <s v="O100970"/>
    <x v="402"/>
    <x v="5"/>
    <x v="6"/>
    <x v="0"/>
    <x v="3"/>
    <n v="7"/>
    <n v="195400"/>
    <d v="2025-02-28T00:00:00"/>
    <n v="2"/>
    <n v="28"/>
    <n v="2025"/>
    <x v="4"/>
    <s v="Q1"/>
    <x v="0"/>
  </r>
  <r>
    <s v="O109671"/>
    <x v="116"/>
    <x v="10"/>
    <x v="6"/>
    <x v="2"/>
    <x v="1"/>
    <n v="8"/>
    <n v="195326"/>
    <d v="2026-11-08T00:00:00"/>
    <n v="11"/>
    <n v="8"/>
    <n v="2026"/>
    <x v="0"/>
    <s v="Q4"/>
    <x v="2"/>
  </r>
  <r>
    <s v="O109536"/>
    <x v="128"/>
    <x v="4"/>
    <x v="6"/>
    <x v="1"/>
    <x v="3"/>
    <n v="9"/>
    <n v="195307"/>
    <d v="2026-03-08T00:00:00"/>
    <n v="3"/>
    <n v="8"/>
    <n v="2026"/>
    <x v="5"/>
    <s v="Q1"/>
    <x v="1"/>
  </r>
  <r>
    <s v="O105682"/>
    <x v="65"/>
    <x v="2"/>
    <x v="6"/>
    <x v="0"/>
    <x v="1"/>
    <n v="10"/>
    <n v="195226"/>
    <d v="2025-12-12T00:00:00"/>
    <n v="12"/>
    <n v="12"/>
    <n v="2025"/>
    <x v="7"/>
    <s v="Q4"/>
    <x v="0"/>
  </r>
  <r>
    <s v="O105808"/>
    <x v="718"/>
    <x v="3"/>
    <x v="3"/>
    <x v="4"/>
    <x v="2"/>
    <n v="1"/>
    <n v="195224"/>
    <d v="2025-12-19T00:00:00"/>
    <n v="12"/>
    <n v="19"/>
    <n v="2025"/>
    <x v="7"/>
    <s v="Q4"/>
    <x v="4"/>
  </r>
  <r>
    <s v="O109386"/>
    <x v="566"/>
    <x v="10"/>
    <x v="5"/>
    <x v="2"/>
    <x v="2"/>
    <n v="2"/>
    <n v="195038"/>
    <d v="2026-07-25T00:00:00"/>
    <n v="7"/>
    <n v="25"/>
    <n v="2026"/>
    <x v="10"/>
    <s v="Q3"/>
    <x v="2"/>
  </r>
  <r>
    <s v="O108344"/>
    <x v="675"/>
    <x v="6"/>
    <x v="6"/>
    <x v="2"/>
    <x v="0"/>
    <n v="7"/>
    <n v="194919"/>
    <d v="2026-05-22T00:00:00"/>
    <n v="5"/>
    <n v="22"/>
    <n v="2026"/>
    <x v="3"/>
    <s v="Q2"/>
    <x v="2"/>
  </r>
  <r>
    <s v="O100120"/>
    <x v="427"/>
    <x v="0"/>
    <x v="6"/>
    <x v="0"/>
    <x v="2"/>
    <n v="9"/>
    <n v="194865"/>
    <d v="2025-08-01T00:00:00"/>
    <n v="8"/>
    <n v="1"/>
    <n v="2025"/>
    <x v="8"/>
    <s v="Q3"/>
    <x v="0"/>
  </r>
  <r>
    <s v="O102508"/>
    <x v="623"/>
    <x v="0"/>
    <x v="6"/>
    <x v="1"/>
    <x v="3"/>
    <n v="9"/>
    <n v="194647"/>
    <d v="2025-02-06T00:00:00"/>
    <n v="2"/>
    <n v="6"/>
    <n v="2025"/>
    <x v="4"/>
    <s v="Q1"/>
    <x v="1"/>
  </r>
  <r>
    <s v="O108816"/>
    <x v="301"/>
    <x v="9"/>
    <x v="4"/>
    <x v="3"/>
    <x v="3"/>
    <n v="1"/>
    <n v="194527"/>
    <d v="2026-06-20T00:00:00"/>
    <n v="6"/>
    <n v="20"/>
    <n v="2026"/>
    <x v="2"/>
    <s v="Q2"/>
    <x v="3"/>
  </r>
  <r>
    <s v="O105131"/>
    <x v="375"/>
    <x v="3"/>
    <x v="6"/>
    <x v="4"/>
    <x v="0"/>
    <n v="8"/>
    <n v="194490"/>
    <d v="2025-08-11T00:00:00"/>
    <n v="8"/>
    <n v="11"/>
    <n v="2025"/>
    <x v="8"/>
    <s v="Q3"/>
    <x v="4"/>
  </r>
  <r>
    <s v="O105588"/>
    <x v="528"/>
    <x v="5"/>
    <x v="6"/>
    <x v="0"/>
    <x v="3"/>
    <n v="7"/>
    <n v="194462"/>
    <d v="2025-06-12T00:00:00"/>
    <n v="6"/>
    <n v="12"/>
    <n v="2025"/>
    <x v="2"/>
    <s v="Q2"/>
    <x v="0"/>
  </r>
  <r>
    <s v="O101118"/>
    <x v="71"/>
    <x v="5"/>
    <x v="5"/>
    <x v="1"/>
    <x v="1"/>
    <n v="2"/>
    <n v="194432"/>
    <d v="2025-09-03T00:00:00"/>
    <n v="9"/>
    <n v="3"/>
    <n v="2025"/>
    <x v="1"/>
    <s v="Q3"/>
    <x v="1"/>
  </r>
  <r>
    <s v="O107123"/>
    <x v="98"/>
    <x v="2"/>
    <x v="6"/>
    <x v="0"/>
    <x v="0"/>
    <n v="7"/>
    <n v="194327"/>
    <d v="2026-09-03T00:00:00"/>
    <n v="9"/>
    <n v="3"/>
    <n v="2026"/>
    <x v="1"/>
    <s v="Q3"/>
    <x v="0"/>
  </r>
  <r>
    <s v="O107684"/>
    <x v="253"/>
    <x v="0"/>
    <x v="6"/>
    <x v="1"/>
    <x v="1"/>
    <n v="8"/>
    <n v="194316"/>
    <d v="2026-12-04T00:00:00"/>
    <n v="12"/>
    <n v="4"/>
    <n v="2026"/>
    <x v="7"/>
    <s v="Q4"/>
    <x v="1"/>
  </r>
  <r>
    <s v="O104760"/>
    <x v="127"/>
    <x v="4"/>
    <x v="3"/>
    <x v="2"/>
    <x v="0"/>
    <n v="1"/>
    <n v="194211"/>
    <d v="2025-10-17T00:00:00"/>
    <n v="10"/>
    <n v="17"/>
    <n v="2025"/>
    <x v="9"/>
    <s v="Q4"/>
    <x v="2"/>
  </r>
  <r>
    <s v="O110698"/>
    <x v="43"/>
    <x v="4"/>
    <x v="6"/>
    <x v="0"/>
    <x v="1"/>
    <n v="9"/>
    <n v="194113"/>
    <d v="2026-12-10T00:00:00"/>
    <n v="12"/>
    <n v="10"/>
    <n v="2026"/>
    <x v="7"/>
    <s v="Q4"/>
    <x v="0"/>
  </r>
  <r>
    <s v="O111442"/>
    <x v="281"/>
    <x v="3"/>
    <x v="6"/>
    <x v="2"/>
    <x v="3"/>
    <n v="8"/>
    <n v="194107"/>
    <d v="2026-11-27T00:00:00"/>
    <n v="11"/>
    <n v="27"/>
    <n v="2026"/>
    <x v="0"/>
    <s v="Q4"/>
    <x v="2"/>
  </r>
  <r>
    <s v="O108844"/>
    <x v="235"/>
    <x v="3"/>
    <x v="5"/>
    <x v="2"/>
    <x v="4"/>
    <n v="2"/>
    <n v="194056"/>
    <d v="2026-06-22T00:00:00"/>
    <n v="6"/>
    <n v="22"/>
    <n v="2026"/>
    <x v="2"/>
    <s v="Q2"/>
    <x v="2"/>
  </r>
  <r>
    <s v="O111496"/>
    <x v="663"/>
    <x v="10"/>
    <x v="6"/>
    <x v="1"/>
    <x v="2"/>
    <n v="9"/>
    <n v="194026"/>
    <d v="2026-11-30T00:00:00"/>
    <n v="11"/>
    <n v="30"/>
    <n v="2026"/>
    <x v="0"/>
    <s v="Q4"/>
    <x v="1"/>
  </r>
  <r>
    <s v="O102393"/>
    <x v="725"/>
    <x v="5"/>
    <x v="6"/>
    <x v="3"/>
    <x v="2"/>
    <n v="9"/>
    <n v="194025"/>
    <d v="2025-05-26T00:00:00"/>
    <n v="5"/>
    <n v="26"/>
    <n v="2025"/>
    <x v="3"/>
    <m/>
    <x v="3"/>
  </r>
  <r>
    <s v="O104109"/>
    <x v="424"/>
    <x v="9"/>
    <x v="5"/>
    <x v="3"/>
    <x v="2"/>
    <n v="2"/>
    <n v="194017"/>
    <d v="2025-07-09T00:00:00"/>
    <n v="7"/>
    <n v="9"/>
    <n v="2025"/>
    <x v="10"/>
    <s v="Q3"/>
    <x v="3"/>
  </r>
  <r>
    <s v="O104257"/>
    <x v="681"/>
    <x v="0"/>
    <x v="3"/>
    <x v="4"/>
    <x v="1"/>
    <n v="1"/>
    <n v="193926"/>
    <d v="2025-09-16T00:00:00"/>
    <n v="9"/>
    <n v="16"/>
    <n v="2025"/>
    <x v="1"/>
    <s v="Q3"/>
    <x v="4"/>
  </r>
  <r>
    <s v="O109116"/>
    <x v="626"/>
    <x v="6"/>
    <x v="6"/>
    <x v="0"/>
    <x v="1"/>
    <n v="7"/>
    <n v="193912"/>
    <d v="2026-08-07T00:00:00"/>
    <n v="8"/>
    <n v="7"/>
    <n v="2026"/>
    <x v="8"/>
    <s v="Q3"/>
    <x v="0"/>
  </r>
  <r>
    <s v="O103321"/>
    <x v="220"/>
    <x v="10"/>
    <x v="6"/>
    <x v="0"/>
    <x v="0"/>
    <n v="9"/>
    <n v="193848"/>
    <d v="2025-07-21T00:00:00"/>
    <n v="7"/>
    <n v="21"/>
    <n v="2025"/>
    <x v="10"/>
    <s v="Q3"/>
    <x v="0"/>
  </r>
  <r>
    <s v="O107722"/>
    <x v="185"/>
    <x v="0"/>
    <x v="3"/>
    <x v="2"/>
    <x v="3"/>
    <n v="1"/>
    <n v="193832"/>
    <d v="2026-04-15T00:00:00"/>
    <n v="4"/>
    <n v="15"/>
    <n v="2026"/>
    <x v="11"/>
    <s v="Q2"/>
    <x v="2"/>
  </r>
  <r>
    <s v="O106056"/>
    <x v="365"/>
    <x v="3"/>
    <x v="6"/>
    <x v="4"/>
    <x v="0"/>
    <n v="10"/>
    <n v="193724"/>
    <d v="2026-03-01T00:00:00"/>
    <n v="3"/>
    <n v="1"/>
    <n v="2026"/>
    <x v="5"/>
    <s v="Q1"/>
    <x v="4"/>
  </r>
  <r>
    <s v="O104102"/>
    <x v="282"/>
    <x v="6"/>
    <x v="6"/>
    <x v="4"/>
    <x v="3"/>
    <n v="10"/>
    <n v="193721"/>
    <d v="2025-07-09T00:00:00"/>
    <n v="7"/>
    <n v="9"/>
    <n v="2025"/>
    <x v="10"/>
    <s v="Q3"/>
    <x v="4"/>
  </r>
  <r>
    <s v="O105895"/>
    <x v="375"/>
    <x v="6"/>
    <x v="6"/>
    <x v="3"/>
    <x v="2"/>
    <n v="7"/>
    <n v="193582"/>
    <d v="2025-12-25T00:00:00"/>
    <n v="12"/>
    <n v="25"/>
    <n v="2025"/>
    <x v="7"/>
    <s v="Q4"/>
    <x v="3"/>
  </r>
  <r>
    <s v="O102277"/>
    <x v="713"/>
    <x v="1"/>
    <x v="4"/>
    <x v="1"/>
    <x v="0"/>
    <n v="1"/>
    <n v="193568"/>
    <d v="2025-05-19T00:00:00"/>
    <n v="5"/>
    <n v="19"/>
    <n v="2025"/>
    <x v="3"/>
    <s v="Q2"/>
    <x v="1"/>
  </r>
  <r>
    <s v="O111628"/>
    <x v="147"/>
    <x v="9"/>
    <x v="6"/>
    <x v="3"/>
    <x v="2"/>
    <n v="10"/>
    <n v="193198"/>
    <d v="2026-08-12T00:00:00"/>
    <n v="8"/>
    <n v="12"/>
    <n v="2026"/>
    <x v="8"/>
    <s v="Q3"/>
    <x v="3"/>
  </r>
  <r>
    <s v="O109068"/>
    <x v="213"/>
    <x v="2"/>
    <x v="6"/>
    <x v="0"/>
    <x v="0"/>
    <n v="7"/>
    <n v="193087"/>
    <d v="2026-05-07T00:00:00"/>
    <n v="5"/>
    <n v="7"/>
    <n v="2026"/>
    <x v="3"/>
    <m/>
    <x v="0"/>
  </r>
  <r>
    <s v="O111436"/>
    <x v="34"/>
    <x v="2"/>
    <x v="6"/>
    <x v="0"/>
    <x v="3"/>
    <n v="8"/>
    <n v="192993"/>
    <d v="2026-11-26T00:00:00"/>
    <n v="11"/>
    <n v="26"/>
    <n v="2026"/>
    <x v="0"/>
    <s v="Q4"/>
    <x v="0"/>
  </r>
  <r>
    <s v="O106114"/>
    <x v="391"/>
    <x v="6"/>
    <x v="6"/>
    <x v="3"/>
    <x v="1"/>
    <n v="10"/>
    <n v="192964"/>
    <d v="2026-07-01T00:00:00"/>
    <n v="7"/>
    <n v="1"/>
    <n v="2026"/>
    <x v="10"/>
    <s v="Q3"/>
    <x v="3"/>
  </r>
  <r>
    <s v="O101551"/>
    <x v="752"/>
    <x v="5"/>
    <x v="3"/>
    <x v="2"/>
    <x v="3"/>
    <n v="1"/>
    <n v="192906"/>
    <d v="2025-05-04T00:00:00"/>
    <n v="5"/>
    <n v="4"/>
    <n v="2025"/>
    <x v="3"/>
    <s v="Q2"/>
    <x v="2"/>
  </r>
  <r>
    <s v="O102078"/>
    <x v="752"/>
    <x v="6"/>
    <x v="6"/>
    <x v="1"/>
    <x v="3"/>
    <n v="9"/>
    <n v="192714"/>
    <d v="2025-07-05T00:00:00"/>
    <n v="7"/>
    <n v="5"/>
    <n v="2025"/>
    <x v="10"/>
    <s v="Q3"/>
    <x v="1"/>
  </r>
  <r>
    <s v="O109925"/>
    <x v="153"/>
    <x v="10"/>
    <x v="6"/>
    <x v="1"/>
    <x v="0"/>
    <n v="9"/>
    <n v="192644"/>
    <d v="2026-08-26T00:00:00"/>
    <n v="8"/>
    <n v="26"/>
    <n v="2026"/>
    <x v="8"/>
    <s v="Q3"/>
    <x v="1"/>
  </r>
  <r>
    <s v="O111926"/>
    <x v="264"/>
    <x v="4"/>
    <x v="5"/>
    <x v="2"/>
    <x v="0"/>
    <n v="2"/>
    <n v="192629"/>
    <d v="2026-12-26T00:00:00"/>
    <n v="12"/>
    <n v="26"/>
    <n v="2026"/>
    <x v="7"/>
    <s v="Q4"/>
    <x v="2"/>
  </r>
  <r>
    <s v="O109154"/>
    <x v="216"/>
    <x v="6"/>
    <x v="6"/>
    <x v="0"/>
    <x v="3"/>
    <n v="7"/>
    <n v="192417"/>
    <d v="2026-11-07T00:00:00"/>
    <n v="11"/>
    <n v="7"/>
    <n v="2026"/>
    <x v="0"/>
    <s v="Q4"/>
    <x v="0"/>
  </r>
  <r>
    <s v="O110349"/>
    <x v="258"/>
    <x v="0"/>
    <x v="6"/>
    <x v="3"/>
    <x v="0"/>
    <n v="9"/>
    <n v="192257"/>
    <d v="2026-09-21T00:00:00"/>
    <n v="9"/>
    <n v="21"/>
    <n v="2026"/>
    <x v="1"/>
    <m/>
    <x v="3"/>
  </r>
  <r>
    <s v="O110355"/>
    <x v="587"/>
    <x v="3"/>
    <x v="6"/>
    <x v="3"/>
    <x v="2"/>
    <n v="7"/>
    <n v="192179"/>
    <d v="2026-09-22T00:00:00"/>
    <n v="9"/>
    <n v="22"/>
    <n v="2026"/>
    <x v="1"/>
    <m/>
    <x v="3"/>
  </r>
  <r>
    <s v="O108691"/>
    <x v="639"/>
    <x v="4"/>
    <x v="6"/>
    <x v="0"/>
    <x v="0"/>
    <n v="10"/>
    <n v="192064"/>
    <d v="2026-12-06T00:00:00"/>
    <n v="12"/>
    <n v="6"/>
    <n v="2026"/>
    <x v="7"/>
    <s v="Q4"/>
    <x v="0"/>
  </r>
  <r>
    <s v="O107673"/>
    <x v="799"/>
    <x v="10"/>
    <x v="5"/>
    <x v="4"/>
    <x v="0"/>
    <n v="2"/>
    <n v="192033"/>
    <d v="2026-12-04T00:00:00"/>
    <n v="12"/>
    <n v="4"/>
    <n v="2026"/>
    <x v="7"/>
    <s v="Q4"/>
    <x v="4"/>
  </r>
  <r>
    <s v="O101771"/>
    <x v="379"/>
    <x v="2"/>
    <x v="6"/>
    <x v="3"/>
    <x v="2"/>
    <n v="10"/>
    <n v="191910"/>
    <d v="2025-04-18T00:00:00"/>
    <n v="4"/>
    <n v="18"/>
    <n v="2025"/>
    <x v="11"/>
    <s v="Q2"/>
    <x v="3"/>
  </r>
  <r>
    <s v="O110373"/>
    <x v="217"/>
    <x v="3"/>
    <x v="6"/>
    <x v="4"/>
    <x v="0"/>
    <n v="9"/>
    <n v="191888"/>
    <d v="2026-09-23T00:00:00"/>
    <n v="9"/>
    <n v="23"/>
    <n v="2026"/>
    <x v="1"/>
    <s v="Q3"/>
    <x v="4"/>
  </r>
  <r>
    <s v="O105186"/>
    <x v="793"/>
    <x v="0"/>
    <x v="3"/>
    <x v="2"/>
    <x v="0"/>
    <n v="1"/>
    <n v="191823"/>
    <d v="2025-12-11T00:00:00"/>
    <n v="12"/>
    <n v="11"/>
    <n v="2025"/>
    <x v="7"/>
    <s v="Q4"/>
    <x v="2"/>
  </r>
  <r>
    <s v="O106453"/>
    <x v="450"/>
    <x v="2"/>
    <x v="6"/>
    <x v="2"/>
    <x v="0"/>
    <n v="10"/>
    <n v="191802"/>
    <d v="2026-01-27T00:00:00"/>
    <n v="1"/>
    <n v="27"/>
    <n v="2026"/>
    <x v="6"/>
    <s v="Q1"/>
    <x v="2"/>
  </r>
  <r>
    <s v="O107707"/>
    <x v="640"/>
    <x v="9"/>
    <x v="6"/>
    <x v="4"/>
    <x v="2"/>
    <n v="10"/>
    <n v="191488"/>
    <d v="2026-04-14T00:00:00"/>
    <n v="4"/>
    <n v="14"/>
    <n v="2026"/>
    <x v="11"/>
    <s v="Q2"/>
    <x v="4"/>
  </r>
  <r>
    <s v="O101760"/>
    <x v="752"/>
    <x v="6"/>
    <x v="6"/>
    <x v="0"/>
    <x v="1"/>
    <n v="9"/>
    <n v="191318"/>
    <d v="2025-04-17T00:00:00"/>
    <n v="4"/>
    <n v="17"/>
    <n v="2025"/>
    <x v="11"/>
    <s v="Q2"/>
    <x v="0"/>
  </r>
  <r>
    <s v="O105282"/>
    <x v="15"/>
    <x v="3"/>
    <x v="6"/>
    <x v="3"/>
    <x v="3"/>
    <n v="7"/>
    <n v="191315"/>
    <d v="2025-11-17T00:00:00"/>
    <n v="11"/>
    <n v="17"/>
    <n v="2025"/>
    <x v="0"/>
    <s v="Q4"/>
    <x v="3"/>
  </r>
  <r>
    <s v="O109152"/>
    <x v="105"/>
    <x v="8"/>
    <x v="6"/>
    <x v="4"/>
    <x v="0"/>
    <n v="9"/>
    <n v="191296"/>
    <d v="2026-10-07T00:00:00"/>
    <n v="10"/>
    <n v="7"/>
    <n v="2026"/>
    <x v="9"/>
    <s v="Q4"/>
    <x v="4"/>
  </r>
  <r>
    <s v="O100385"/>
    <x v="123"/>
    <x v="6"/>
    <x v="4"/>
    <x v="2"/>
    <x v="1"/>
    <n v="1"/>
    <n v="191167"/>
    <d v="2025-01-24T00:00:00"/>
    <n v="1"/>
    <n v="24"/>
    <n v="2025"/>
    <x v="6"/>
    <s v="Q1"/>
    <x v="2"/>
  </r>
  <r>
    <s v="O102520"/>
    <x v="141"/>
    <x v="3"/>
    <x v="4"/>
    <x v="2"/>
    <x v="1"/>
    <n v="1"/>
    <n v="191140"/>
    <d v="2025-03-06T00:00:00"/>
    <n v="3"/>
    <n v="6"/>
    <n v="2025"/>
    <x v="5"/>
    <s v="Q1"/>
    <x v="2"/>
  </r>
  <r>
    <s v="O104554"/>
    <x v="218"/>
    <x v="2"/>
    <x v="5"/>
    <x v="4"/>
    <x v="2"/>
    <n v="2"/>
    <n v="191092"/>
    <d v="2025-04-10T00:00:00"/>
    <n v="4"/>
    <n v="10"/>
    <n v="2025"/>
    <x v="11"/>
    <s v="Q2"/>
    <x v="4"/>
  </r>
  <r>
    <s v="O100442"/>
    <x v="370"/>
    <x v="9"/>
    <x v="3"/>
    <x v="1"/>
    <x v="1"/>
    <n v="1"/>
    <n v="191028"/>
    <d v="2025-01-27T00:00:00"/>
    <n v="1"/>
    <n v="27"/>
    <n v="2025"/>
    <x v="6"/>
    <s v="Q1"/>
    <x v="1"/>
  </r>
  <r>
    <s v="O102829"/>
    <x v="13"/>
    <x v="0"/>
    <x v="6"/>
    <x v="2"/>
    <x v="2"/>
    <n v="10"/>
    <n v="190891"/>
    <d v="2025-06-21T00:00:00"/>
    <n v="6"/>
    <n v="21"/>
    <n v="2025"/>
    <x v="2"/>
    <s v="Q2"/>
    <x v="2"/>
  </r>
  <r>
    <s v="O111723"/>
    <x v="57"/>
    <x v="5"/>
    <x v="6"/>
    <x v="1"/>
    <x v="2"/>
    <n v="7"/>
    <n v="190791"/>
    <d v="2026-12-14T00:00:00"/>
    <n v="12"/>
    <n v="14"/>
    <n v="2026"/>
    <x v="7"/>
    <s v="Q4"/>
    <x v="1"/>
  </r>
  <r>
    <s v="O110631"/>
    <x v="137"/>
    <x v="10"/>
    <x v="6"/>
    <x v="0"/>
    <x v="1"/>
    <n v="8"/>
    <n v="190728"/>
    <d v="2026-08-10T00:00:00"/>
    <n v="8"/>
    <n v="10"/>
    <n v="2026"/>
    <x v="8"/>
    <s v="Q3"/>
    <x v="0"/>
  </r>
  <r>
    <s v="O110854"/>
    <x v="302"/>
    <x v="4"/>
    <x v="4"/>
    <x v="4"/>
    <x v="1"/>
    <n v="1"/>
    <n v="190700"/>
    <d v="2026-10-22T00:00:00"/>
    <n v="10"/>
    <n v="22"/>
    <n v="2026"/>
    <x v="9"/>
    <s v="Q4"/>
    <x v="4"/>
  </r>
  <r>
    <s v="O108657"/>
    <x v="697"/>
    <x v="5"/>
    <x v="6"/>
    <x v="0"/>
    <x v="1"/>
    <n v="8"/>
    <n v="190635"/>
    <d v="2026-10-06T00:00:00"/>
    <n v="10"/>
    <n v="6"/>
    <n v="2026"/>
    <x v="9"/>
    <s v="Q4"/>
    <x v="0"/>
  </r>
  <r>
    <s v="O110885"/>
    <x v="132"/>
    <x v="3"/>
    <x v="6"/>
    <x v="1"/>
    <x v="2"/>
    <n v="9"/>
    <n v="190602"/>
    <d v="2026-10-24T00:00:00"/>
    <n v="10"/>
    <n v="24"/>
    <n v="2026"/>
    <x v="9"/>
    <s v="Q4"/>
    <x v="1"/>
  </r>
  <r>
    <s v="O108501"/>
    <x v="459"/>
    <x v="3"/>
    <x v="6"/>
    <x v="1"/>
    <x v="2"/>
    <n v="9"/>
    <n v="190379"/>
    <d v="2026-01-06T00:00:00"/>
    <n v="1"/>
    <n v="6"/>
    <n v="2026"/>
    <x v="6"/>
    <s v="Q1"/>
    <x v="1"/>
  </r>
  <r>
    <s v="O109374"/>
    <x v="293"/>
    <x v="5"/>
    <x v="5"/>
    <x v="3"/>
    <x v="1"/>
    <n v="2"/>
    <n v="190363"/>
    <d v="2026-07-24T00:00:00"/>
    <n v="7"/>
    <n v="24"/>
    <n v="2026"/>
    <x v="10"/>
    <s v="Q3"/>
    <x v="3"/>
  </r>
  <r>
    <s v="O105346"/>
    <x v="101"/>
    <x v="4"/>
    <x v="6"/>
    <x v="2"/>
    <x v="2"/>
    <n v="7"/>
    <n v="190336"/>
    <d v="2025-11-21T00:00:00"/>
    <n v="11"/>
    <n v="21"/>
    <n v="2025"/>
    <x v="0"/>
    <s v="Q4"/>
    <x v="2"/>
  </r>
  <r>
    <s v="O105117"/>
    <x v="201"/>
    <x v="2"/>
    <x v="6"/>
    <x v="4"/>
    <x v="0"/>
    <n v="8"/>
    <n v="190210"/>
    <d v="2025-07-11T00:00:00"/>
    <n v="7"/>
    <n v="11"/>
    <n v="2025"/>
    <x v="10"/>
    <s v="Q3"/>
    <x v="4"/>
  </r>
  <r>
    <s v="O100835"/>
    <x v="381"/>
    <x v="8"/>
    <x v="6"/>
    <x v="0"/>
    <x v="3"/>
    <n v="7"/>
    <n v="190062"/>
    <d v="2025-02-20T00:00:00"/>
    <n v="2"/>
    <n v="20"/>
    <n v="2025"/>
    <x v="4"/>
    <s v="Q1"/>
    <x v="0"/>
  </r>
  <r>
    <s v="O103469"/>
    <x v="748"/>
    <x v="4"/>
    <x v="5"/>
    <x v="1"/>
    <x v="2"/>
    <n v="2"/>
    <n v="189814"/>
    <d v="2025-07-30T00:00:00"/>
    <n v="7"/>
    <n v="30"/>
    <n v="2025"/>
    <x v="10"/>
    <s v="Q3"/>
    <x v="1"/>
  </r>
  <r>
    <s v="O100550"/>
    <x v="399"/>
    <x v="1"/>
    <x v="4"/>
    <x v="4"/>
    <x v="3"/>
    <n v="1"/>
    <n v="189708"/>
    <d v="2025-03-02T00:00:00"/>
    <n v="3"/>
    <n v="2"/>
    <n v="2025"/>
    <x v="5"/>
    <s v="Q1"/>
    <x v="4"/>
  </r>
  <r>
    <s v="O103294"/>
    <x v="2"/>
    <x v="0"/>
    <x v="6"/>
    <x v="0"/>
    <x v="1"/>
    <n v="8"/>
    <n v="189561"/>
    <d v="2025-07-20T00:00:00"/>
    <n v="7"/>
    <n v="20"/>
    <n v="2025"/>
    <x v="10"/>
    <s v="Q3"/>
    <x v="0"/>
  </r>
  <r>
    <s v="O100609"/>
    <x v="86"/>
    <x v="4"/>
    <x v="6"/>
    <x v="3"/>
    <x v="3"/>
    <n v="10"/>
    <n v="189427"/>
    <d v="2025-06-02T00:00:00"/>
    <n v="6"/>
    <n v="2"/>
    <n v="2025"/>
    <x v="2"/>
    <s v="Q2"/>
    <x v="3"/>
  </r>
  <r>
    <s v="O103166"/>
    <x v="191"/>
    <x v="0"/>
    <x v="6"/>
    <x v="0"/>
    <x v="1"/>
    <n v="7"/>
    <n v="189236"/>
    <d v="2025-12-07T00:00:00"/>
    <n v="12"/>
    <n v="7"/>
    <n v="2025"/>
    <x v="7"/>
    <s v="Q4"/>
    <x v="0"/>
  </r>
  <r>
    <s v="O109641"/>
    <x v="238"/>
    <x v="1"/>
    <x v="6"/>
    <x v="3"/>
    <x v="0"/>
    <n v="9"/>
    <n v="189087"/>
    <d v="2026-09-08T00:00:00"/>
    <n v="9"/>
    <n v="8"/>
    <n v="2026"/>
    <x v="1"/>
    <s v="Q3"/>
    <x v="3"/>
  </r>
  <r>
    <s v="O109133"/>
    <x v="514"/>
    <x v="4"/>
    <x v="6"/>
    <x v="0"/>
    <x v="0"/>
    <n v="8"/>
    <n v="189003"/>
    <d v="2026-09-07T00:00:00"/>
    <n v="9"/>
    <n v="7"/>
    <n v="2026"/>
    <x v="1"/>
    <m/>
    <x v="0"/>
  </r>
  <r>
    <s v="O103548"/>
    <x v="501"/>
    <x v="6"/>
    <x v="6"/>
    <x v="1"/>
    <x v="0"/>
    <n v="9"/>
    <n v="188978"/>
    <d v="2025-04-08T00:00:00"/>
    <n v="4"/>
    <n v="8"/>
    <n v="2025"/>
    <x v="11"/>
    <s v="Q2"/>
    <x v="1"/>
  </r>
  <r>
    <s v="O110544"/>
    <x v="360"/>
    <x v="5"/>
    <x v="4"/>
    <x v="4"/>
    <x v="0"/>
    <n v="1"/>
    <n v="188877"/>
    <d v="2026-03-10T00:00:00"/>
    <n v="3"/>
    <n v="10"/>
    <n v="2026"/>
    <x v="5"/>
    <s v="Q1"/>
    <x v="4"/>
  </r>
  <r>
    <s v="O107682"/>
    <x v="106"/>
    <x v="2"/>
    <x v="6"/>
    <x v="3"/>
    <x v="0"/>
    <n v="9"/>
    <n v="188772"/>
    <d v="2026-12-04T00:00:00"/>
    <n v="12"/>
    <n v="4"/>
    <n v="2026"/>
    <x v="7"/>
    <s v="Q4"/>
    <x v="3"/>
  </r>
  <r>
    <s v="O107791"/>
    <x v="719"/>
    <x v="2"/>
    <x v="6"/>
    <x v="2"/>
    <x v="3"/>
    <n v="8"/>
    <n v="188696"/>
    <d v="2026-04-19T00:00:00"/>
    <n v="4"/>
    <n v="19"/>
    <n v="2026"/>
    <x v="11"/>
    <s v="Q2"/>
    <x v="2"/>
  </r>
  <r>
    <s v="O107416"/>
    <x v="672"/>
    <x v="5"/>
    <x v="6"/>
    <x v="4"/>
    <x v="0"/>
    <n v="9"/>
    <n v="188643"/>
    <d v="2026-03-27T00:00:00"/>
    <n v="3"/>
    <n v="27"/>
    <n v="2026"/>
    <x v="5"/>
    <s v="Q1"/>
    <x v="4"/>
  </r>
  <r>
    <s v="O108521"/>
    <x v="81"/>
    <x v="2"/>
    <x v="6"/>
    <x v="2"/>
    <x v="3"/>
    <n v="8"/>
    <n v="188417"/>
    <d v="2026-02-06T00:00:00"/>
    <n v="2"/>
    <n v="6"/>
    <n v="2026"/>
    <x v="4"/>
    <s v="Q1"/>
    <x v="2"/>
  </r>
  <r>
    <s v="O100724"/>
    <x v="223"/>
    <x v="6"/>
    <x v="4"/>
    <x v="2"/>
    <x v="0"/>
    <n v="1"/>
    <n v="188390"/>
    <s v="not_a_date"/>
    <s v=""/>
    <s v=""/>
    <s v=""/>
    <x v="12"/>
    <e v="#VALUE!"/>
    <x v="2"/>
  </r>
  <r>
    <s v="O102856"/>
    <x v="345"/>
    <x v="5"/>
    <x v="6"/>
    <x v="3"/>
    <x v="0"/>
    <n v="7"/>
    <n v="188390"/>
    <d v="2025-06-23T00:00:00"/>
    <n v="6"/>
    <n v="23"/>
    <n v="2025"/>
    <x v="2"/>
    <s v="Q2"/>
    <x v="3"/>
  </r>
  <r>
    <s v="O108454"/>
    <x v="782"/>
    <x v="9"/>
    <x v="6"/>
    <x v="3"/>
    <x v="2"/>
    <n v="7"/>
    <n v="188151"/>
    <d v="2026-05-29T00:00:00"/>
    <n v="5"/>
    <n v="29"/>
    <n v="2026"/>
    <x v="3"/>
    <s v="Q2"/>
    <x v="3"/>
  </r>
  <r>
    <s v="O106233"/>
    <x v="680"/>
    <x v="9"/>
    <x v="6"/>
    <x v="3"/>
    <x v="2"/>
    <n v="10"/>
    <n v="188007"/>
    <d v="2026-01-14T00:00:00"/>
    <n v="1"/>
    <n v="14"/>
    <n v="2026"/>
    <x v="6"/>
    <s v="Q1"/>
    <x v="3"/>
  </r>
  <r>
    <s v="O110567"/>
    <x v="622"/>
    <x v="9"/>
    <x v="5"/>
    <x v="2"/>
    <x v="0"/>
    <n v="2"/>
    <n v="187956"/>
    <d v="2026-04-10T00:00:00"/>
    <n v="4"/>
    <n v="10"/>
    <n v="2026"/>
    <x v="11"/>
    <s v="Q2"/>
    <x v="2"/>
  </r>
  <r>
    <s v="O108862"/>
    <x v="586"/>
    <x v="0"/>
    <x v="5"/>
    <x v="4"/>
    <x v="3"/>
    <n v="2"/>
    <n v="187932"/>
    <d v="2026-06-23T00:00:00"/>
    <n v="6"/>
    <n v="23"/>
    <n v="2026"/>
    <x v="2"/>
    <s v="Q2"/>
    <x v="4"/>
  </r>
  <r>
    <s v="O100483"/>
    <x v="589"/>
    <x v="10"/>
    <x v="6"/>
    <x v="0"/>
    <x v="2"/>
    <n v="9"/>
    <n v="187901"/>
    <d v="2025-01-30T00:00:00"/>
    <n v="1"/>
    <n v="30"/>
    <n v="2025"/>
    <x v="6"/>
    <s v="Q1"/>
    <x v="0"/>
  </r>
  <r>
    <s v="O102514"/>
    <x v="512"/>
    <x v="3"/>
    <x v="6"/>
    <x v="1"/>
    <x v="1"/>
    <n v="7"/>
    <n v="187819"/>
    <d v="2025-02-06T00:00:00"/>
    <n v="2"/>
    <n v="6"/>
    <n v="2025"/>
    <x v="4"/>
    <s v="Q1"/>
    <x v="1"/>
  </r>
  <r>
    <s v="O108029"/>
    <x v="589"/>
    <x v="8"/>
    <x v="6"/>
    <x v="3"/>
    <x v="2"/>
    <n v="10"/>
    <n v="187583"/>
    <d v="2026-03-05T00:00:00"/>
    <n v="3"/>
    <n v="5"/>
    <n v="2026"/>
    <x v="5"/>
    <s v="Q1"/>
    <x v="3"/>
  </r>
  <r>
    <s v="O109467"/>
    <x v="496"/>
    <x v="1"/>
    <x v="3"/>
    <x v="0"/>
    <x v="2"/>
    <n v="1"/>
    <n v="187501"/>
    <d v="2026-07-30T00:00:00"/>
    <n v="7"/>
    <n v="30"/>
    <n v="2026"/>
    <x v="10"/>
    <s v="Q3"/>
    <x v="0"/>
  </r>
  <r>
    <s v="O110001"/>
    <x v="137"/>
    <x v="1"/>
    <x v="7"/>
    <x v="3"/>
    <x v="3"/>
    <n v="10"/>
    <n v="187304"/>
    <d v="2026-08-31T00:00:00"/>
    <n v="8"/>
    <n v="31"/>
    <n v="2026"/>
    <x v="8"/>
    <s v="Q3"/>
    <x v="3"/>
  </r>
  <r>
    <s v="O103417"/>
    <x v="22"/>
    <x v="2"/>
    <x v="7"/>
    <x v="0"/>
    <x v="2"/>
    <n v="10"/>
    <n v="187188"/>
    <d v="2025-07-27T00:00:00"/>
    <n v="7"/>
    <n v="27"/>
    <n v="2025"/>
    <x v="10"/>
    <s v="Q3"/>
    <x v="0"/>
  </r>
  <r>
    <s v="O108260"/>
    <x v="415"/>
    <x v="1"/>
    <x v="4"/>
    <x v="2"/>
    <x v="2"/>
    <n v="1"/>
    <n v="187128"/>
    <d v="2026-05-17T00:00:00"/>
    <n v="5"/>
    <n v="17"/>
    <n v="2026"/>
    <x v="3"/>
    <s v="Q2"/>
    <x v="2"/>
  </r>
  <r>
    <s v="O111711"/>
    <x v="781"/>
    <x v="1"/>
    <x v="5"/>
    <x v="0"/>
    <x v="2"/>
    <n v="2"/>
    <n v="187094"/>
    <d v="2026-12-13T00:00:00"/>
    <n v="12"/>
    <n v="13"/>
    <n v="2026"/>
    <x v="7"/>
    <s v="Q4"/>
    <x v="0"/>
  </r>
  <r>
    <s v="O107015"/>
    <x v="166"/>
    <x v="2"/>
    <x v="6"/>
    <x v="1"/>
    <x v="1"/>
    <n v="8"/>
    <n v="186880"/>
    <d v="2026-03-03T00:00:00"/>
    <n v="3"/>
    <n v="3"/>
    <n v="2026"/>
    <x v="5"/>
    <s v="Q1"/>
    <x v="1"/>
  </r>
  <r>
    <s v="O103710"/>
    <x v="112"/>
    <x v="1"/>
    <x v="3"/>
    <x v="4"/>
    <x v="3"/>
    <n v="1"/>
    <n v="186876"/>
    <d v="2025-08-14T00:00:00"/>
    <n v="8"/>
    <n v="14"/>
    <n v="2025"/>
    <x v="8"/>
    <s v="Q3"/>
    <x v="4"/>
  </r>
  <r>
    <s v="O104460"/>
    <x v="382"/>
    <x v="9"/>
    <x v="6"/>
    <x v="2"/>
    <x v="1"/>
    <n v="6"/>
    <n v="186862"/>
    <d v="2025-09-28T00:00:00"/>
    <n v="9"/>
    <n v="28"/>
    <n v="2025"/>
    <x v="1"/>
    <s v="Q3"/>
    <x v="2"/>
  </r>
  <r>
    <s v="O100549"/>
    <x v="208"/>
    <x v="4"/>
    <x v="6"/>
    <x v="4"/>
    <x v="3"/>
    <n v="8"/>
    <n v="186728"/>
    <d v="2025-03-02T00:00:00"/>
    <n v="3"/>
    <n v="2"/>
    <n v="2025"/>
    <x v="5"/>
    <s v="Q1"/>
    <x v="4"/>
  </r>
  <r>
    <s v="O111161"/>
    <x v="748"/>
    <x v="10"/>
    <x v="7"/>
    <x v="3"/>
    <x v="2"/>
    <n v="10"/>
    <n v="186708"/>
    <d v="2026-10-11T00:00:00"/>
    <n v="10"/>
    <n v="11"/>
    <n v="2026"/>
    <x v="9"/>
    <s v="Q4"/>
    <x v="3"/>
  </r>
  <r>
    <s v="O111108"/>
    <x v="315"/>
    <x v="9"/>
    <x v="6"/>
    <x v="4"/>
    <x v="1"/>
    <n v="9"/>
    <n v="186678"/>
    <d v="2026-06-11T00:00:00"/>
    <n v="6"/>
    <n v="11"/>
    <n v="2026"/>
    <x v="2"/>
    <s v="Q2"/>
    <x v="4"/>
  </r>
  <r>
    <s v="O104372"/>
    <x v="412"/>
    <x v="9"/>
    <x v="7"/>
    <x v="1"/>
    <x v="0"/>
    <n v="10"/>
    <n v="186632"/>
    <d v="2025-09-23T00:00:00"/>
    <n v="9"/>
    <n v="23"/>
    <n v="2025"/>
    <x v="1"/>
    <s v="Q3"/>
    <x v="1"/>
  </r>
  <r>
    <s v="O107476"/>
    <x v="536"/>
    <x v="9"/>
    <x v="6"/>
    <x v="2"/>
    <x v="1"/>
    <n v="6"/>
    <n v="186544"/>
    <d v="2026-03-31T00:00:00"/>
    <n v="3"/>
    <n v="31"/>
    <n v="2026"/>
    <x v="5"/>
    <s v="Q1"/>
    <x v="2"/>
  </r>
  <r>
    <s v="O101979"/>
    <x v="392"/>
    <x v="6"/>
    <x v="5"/>
    <x v="1"/>
    <x v="0"/>
    <n v="2"/>
    <n v="186376"/>
    <d v="2025-01-05T00:00:00"/>
    <n v="1"/>
    <n v="5"/>
    <n v="2025"/>
    <x v="6"/>
    <s v="Q1"/>
    <x v="1"/>
  </r>
  <r>
    <s v="O106057"/>
    <x v="637"/>
    <x v="4"/>
    <x v="6"/>
    <x v="1"/>
    <x v="3"/>
    <n v="6"/>
    <n v="186290"/>
    <d v="2026-03-01T00:00:00"/>
    <n v="3"/>
    <n v="1"/>
    <n v="2026"/>
    <x v="5"/>
    <s v="Q1"/>
    <x v="1"/>
  </r>
  <r>
    <s v="O105544"/>
    <x v="278"/>
    <x v="2"/>
    <x v="5"/>
    <x v="0"/>
    <x v="3"/>
    <n v="2"/>
    <n v="186277"/>
    <d v="2025-03-12T00:00:00"/>
    <n v="3"/>
    <n v="12"/>
    <n v="2025"/>
    <x v="5"/>
    <s v="Q1"/>
    <x v="0"/>
  </r>
  <r>
    <s v="O100734"/>
    <x v="316"/>
    <x v="10"/>
    <x v="6"/>
    <x v="2"/>
    <x v="0"/>
    <n v="7"/>
    <n v="186236"/>
    <d v="2025-02-14T00:00:00"/>
    <n v="2"/>
    <n v="14"/>
    <n v="2025"/>
    <x v="4"/>
    <s v="Q1"/>
    <x v="2"/>
  </r>
  <r>
    <s v="O110842"/>
    <x v="2"/>
    <x v="8"/>
    <x v="6"/>
    <x v="1"/>
    <x v="2"/>
    <n v="9"/>
    <n v="186217"/>
    <d v="2026-10-21T00:00:00"/>
    <n v="10"/>
    <n v="21"/>
    <n v="2026"/>
    <x v="9"/>
    <s v="Q4"/>
    <x v="1"/>
  </r>
  <r>
    <s v="O108863"/>
    <x v="126"/>
    <x v="4"/>
    <x v="5"/>
    <x v="1"/>
    <x v="3"/>
    <n v="2"/>
    <n v="186190"/>
    <d v="2026-06-23T00:00:00"/>
    <n v="6"/>
    <n v="23"/>
    <n v="2026"/>
    <x v="2"/>
    <s v="Q2"/>
    <x v="1"/>
  </r>
  <r>
    <s v="O111129"/>
    <x v="532"/>
    <x v="3"/>
    <x v="6"/>
    <x v="1"/>
    <x v="3"/>
    <n v="6"/>
    <n v="186104"/>
    <d v="2026-08-11T00:00:00"/>
    <n v="8"/>
    <n v="11"/>
    <n v="2026"/>
    <x v="8"/>
    <s v="Q3"/>
    <x v="1"/>
  </r>
  <r>
    <s v="O108732"/>
    <x v="289"/>
    <x v="10"/>
    <x v="4"/>
    <x v="0"/>
    <x v="1"/>
    <n v="1"/>
    <n v="186102"/>
    <d v="2026-06-15T00:00:00"/>
    <n v="6"/>
    <n v="15"/>
    <n v="2026"/>
    <x v="2"/>
    <s v="Q2"/>
    <x v="0"/>
  </r>
  <r>
    <s v="O103277"/>
    <x v="159"/>
    <x v="5"/>
    <x v="5"/>
    <x v="4"/>
    <x v="0"/>
    <n v="2"/>
    <n v="186050"/>
    <d v="2025-07-19T00:00:00"/>
    <n v="7"/>
    <n v="19"/>
    <n v="2025"/>
    <x v="10"/>
    <s v="Q3"/>
    <x v="4"/>
  </r>
  <r>
    <s v="O101553"/>
    <x v="612"/>
    <x v="5"/>
    <x v="5"/>
    <x v="2"/>
    <x v="3"/>
    <n v="2"/>
    <n v="186016"/>
    <d v="2025-05-04T00:00:00"/>
    <n v="5"/>
    <n v="4"/>
    <n v="2025"/>
    <x v="3"/>
    <s v="Q2"/>
    <x v="2"/>
  </r>
  <r>
    <s v="O108112"/>
    <x v="746"/>
    <x v="10"/>
    <x v="7"/>
    <x v="1"/>
    <x v="3"/>
    <n v="10"/>
    <n v="185996"/>
    <d v="2026-08-05T00:00:00"/>
    <n v="8"/>
    <n v="5"/>
    <n v="2026"/>
    <x v="8"/>
    <s v="Q3"/>
    <x v="1"/>
  </r>
  <r>
    <s v="O109986"/>
    <x v="615"/>
    <x v="2"/>
    <x v="6"/>
    <x v="2"/>
    <x v="1"/>
    <n v="9"/>
    <n v="185982"/>
    <d v="2026-08-30T00:00:00"/>
    <n v="8"/>
    <n v="30"/>
    <n v="2026"/>
    <x v="8"/>
    <s v="Q3"/>
    <x v="2"/>
  </r>
  <r>
    <s v="O109292"/>
    <x v="143"/>
    <x v="8"/>
    <x v="6"/>
    <x v="0"/>
    <x v="0"/>
    <n v="8"/>
    <n v="185974"/>
    <d v="2026-07-19T00:00:00"/>
    <n v="7"/>
    <n v="19"/>
    <n v="2026"/>
    <x v="10"/>
    <s v="Q3"/>
    <x v="0"/>
  </r>
  <r>
    <s v="O106063"/>
    <x v="193"/>
    <x v="1"/>
    <x v="6"/>
    <x v="1"/>
    <x v="2"/>
    <n v="8"/>
    <n v="185864"/>
    <d v="2026-04-01T00:00:00"/>
    <n v="4"/>
    <n v="1"/>
    <n v="2026"/>
    <x v="11"/>
    <s v="Q2"/>
    <x v="1"/>
  </r>
  <r>
    <s v="O100363"/>
    <x v="276"/>
    <x v="0"/>
    <x v="6"/>
    <x v="3"/>
    <x v="0"/>
    <n v="7"/>
    <n v="185841"/>
    <d v="2025-01-22T00:00:00"/>
    <n v="1"/>
    <n v="22"/>
    <n v="2025"/>
    <x v="6"/>
    <s v="Q1"/>
    <x v="3"/>
  </r>
  <r>
    <s v="O111983"/>
    <x v="797"/>
    <x v="2"/>
    <x v="6"/>
    <x v="2"/>
    <x v="2"/>
    <n v="8"/>
    <n v="185745"/>
    <d v="2026-12-29T00:00:00"/>
    <n v="12"/>
    <n v="29"/>
    <n v="2026"/>
    <x v="7"/>
    <s v="Q4"/>
    <x v="2"/>
  </r>
  <r>
    <s v="O109342"/>
    <x v="293"/>
    <x v="9"/>
    <x v="6"/>
    <x v="0"/>
    <x v="0"/>
    <n v="9"/>
    <n v="185634"/>
    <d v="2026-07-22T00:00:00"/>
    <n v="7"/>
    <n v="22"/>
    <n v="2026"/>
    <x v="10"/>
    <s v="Q3"/>
    <x v="0"/>
  </r>
  <r>
    <s v="O111424"/>
    <x v="392"/>
    <x v="9"/>
    <x v="6"/>
    <x v="0"/>
    <x v="1"/>
    <n v="6"/>
    <n v="185566"/>
    <d v="2026-11-26T00:00:00"/>
    <n v="11"/>
    <n v="26"/>
    <n v="2026"/>
    <x v="0"/>
    <s v="Q4"/>
    <x v="0"/>
  </r>
  <r>
    <s v="O109050"/>
    <x v="332"/>
    <x v="9"/>
    <x v="6"/>
    <x v="3"/>
    <x v="3"/>
    <n v="8"/>
    <n v="185521"/>
    <d v="2026-04-07T00:00:00"/>
    <n v="4"/>
    <n v="7"/>
    <n v="2026"/>
    <x v="11"/>
    <s v="Q2"/>
    <x v="3"/>
  </r>
  <r>
    <s v="O107250"/>
    <x v="154"/>
    <x v="4"/>
    <x v="5"/>
    <x v="1"/>
    <x v="3"/>
    <n v="2"/>
    <n v="185480"/>
    <d v="2026-03-17T00:00:00"/>
    <n v="3"/>
    <n v="17"/>
    <n v="2026"/>
    <x v="5"/>
    <s v="Q1"/>
    <x v="1"/>
  </r>
  <r>
    <s v="O107344"/>
    <x v="191"/>
    <x v="10"/>
    <x v="6"/>
    <x v="3"/>
    <x v="0"/>
    <n v="6"/>
    <n v="185440"/>
    <d v="2026-03-23T00:00:00"/>
    <n v="3"/>
    <n v="23"/>
    <n v="2026"/>
    <x v="5"/>
    <s v="Q1"/>
    <x v="3"/>
  </r>
  <r>
    <s v="O101490"/>
    <x v="322"/>
    <x v="8"/>
    <x v="6"/>
    <x v="3"/>
    <x v="2"/>
    <n v="6"/>
    <n v="185178"/>
    <d v="2025-01-04T00:00:00"/>
    <n v="1"/>
    <n v="4"/>
    <n v="2025"/>
    <x v="6"/>
    <s v="Q1"/>
    <x v="3"/>
  </r>
  <r>
    <s v="O100700"/>
    <x v="253"/>
    <x v="3"/>
    <x v="6"/>
    <x v="2"/>
    <x v="3"/>
    <n v="8"/>
    <n v="185160"/>
    <d v="2025-12-02T00:00:00"/>
    <n v="12"/>
    <n v="2"/>
    <n v="2025"/>
    <x v="7"/>
    <s v="Q4"/>
    <x v="2"/>
  </r>
  <r>
    <s v="O109623"/>
    <x v="418"/>
    <x v="4"/>
    <x v="7"/>
    <x v="3"/>
    <x v="1"/>
    <n v="10"/>
    <n v="185115"/>
    <d v="2026-08-08T00:00:00"/>
    <n v="8"/>
    <n v="8"/>
    <n v="2026"/>
    <x v="8"/>
    <s v="Q3"/>
    <x v="3"/>
  </r>
  <r>
    <s v="O100936"/>
    <x v="438"/>
    <x v="1"/>
    <x v="7"/>
    <x v="3"/>
    <x v="2"/>
    <n v="10"/>
    <n v="185046"/>
    <d v="2025-02-26T00:00:00"/>
    <n v="2"/>
    <n v="26"/>
    <n v="2025"/>
    <x v="4"/>
    <s v="Q1"/>
    <x v="3"/>
  </r>
  <r>
    <s v="O107883"/>
    <x v="315"/>
    <x v="8"/>
    <x v="6"/>
    <x v="4"/>
    <x v="0"/>
    <n v="7"/>
    <n v="184979"/>
    <d v="2026-04-24T00:00:00"/>
    <n v="4"/>
    <n v="24"/>
    <n v="2026"/>
    <x v="11"/>
    <s v="Q2"/>
    <x v="4"/>
  </r>
  <r>
    <s v="O103941"/>
    <x v="183"/>
    <x v="9"/>
    <x v="4"/>
    <x v="0"/>
    <x v="3"/>
    <n v="1"/>
    <n v="184968"/>
    <d v="2025-08-28T00:00:00"/>
    <n v="8"/>
    <n v="28"/>
    <n v="2025"/>
    <x v="8"/>
    <s v="Q3"/>
    <x v="0"/>
  </r>
  <r>
    <s v="O109977"/>
    <x v="532"/>
    <x v="10"/>
    <x v="6"/>
    <x v="2"/>
    <x v="2"/>
    <n v="9"/>
    <n v="184893"/>
    <d v="2026-08-30T00:00:00"/>
    <n v="8"/>
    <n v="30"/>
    <n v="2026"/>
    <x v="8"/>
    <s v="Q3"/>
    <x v="2"/>
  </r>
  <r>
    <s v="O100421"/>
    <x v="532"/>
    <x v="5"/>
    <x v="1"/>
    <x v="1"/>
    <x v="3"/>
    <n v="1"/>
    <n v="184788"/>
    <d v="2025-01-26T00:00:00"/>
    <n v="1"/>
    <n v="26"/>
    <n v="2025"/>
    <x v="6"/>
    <s v="Q1"/>
    <x v="1"/>
  </r>
  <r>
    <s v="O100456"/>
    <x v="263"/>
    <x v="4"/>
    <x v="6"/>
    <x v="4"/>
    <x v="2"/>
    <n v="9"/>
    <n v="184767"/>
    <d v="2025-01-28T00:00:00"/>
    <n v="1"/>
    <n v="28"/>
    <n v="2025"/>
    <x v="6"/>
    <s v="Q1"/>
    <x v="4"/>
  </r>
  <r>
    <s v="O104507"/>
    <x v="479"/>
    <x v="10"/>
    <x v="4"/>
    <x v="1"/>
    <x v="0"/>
    <n v="1"/>
    <n v="184672"/>
    <d v="2025-01-10T00:00:00"/>
    <n v="1"/>
    <n v="10"/>
    <n v="2025"/>
    <x v="6"/>
    <s v="Q1"/>
    <x v="1"/>
  </r>
  <r>
    <s v="O104240"/>
    <x v="313"/>
    <x v="4"/>
    <x v="7"/>
    <x v="3"/>
    <x v="3"/>
    <n v="10"/>
    <n v="184557"/>
    <d v="2025-09-15T00:00:00"/>
    <n v="9"/>
    <n v="15"/>
    <n v="2025"/>
    <x v="1"/>
    <s v="Q3"/>
    <x v="3"/>
  </r>
  <r>
    <s v="O109859"/>
    <x v="237"/>
    <x v="3"/>
    <x v="7"/>
    <x v="1"/>
    <x v="2"/>
    <n v="10"/>
    <n v="184541"/>
    <d v="2026-08-22T00:00:00"/>
    <n v="8"/>
    <n v="22"/>
    <n v="2026"/>
    <x v="8"/>
    <s v="Q3"/>
    <x v="1"/>
  </r>
  <r>
    <s v="O108164"/>
    <x v="309"/>
    <x v="1"/>
    <x v="6"/>
    <x v="1"/>
    <x v="0"/>
    <n v="7"/>
    <n v="184520"/>
    <d v="2026-11-05T00:00:00"/>
    <n v="11"/>
    <n v="5"/>
    <n v="2026"/>
    <x v="0"/>
    <m/>
    <x v="1"/>
  </r>
  <r>
    <s v="O105032"/>
    <x v="428"/>
    <x v="9"/>
    <x v="6"/>
    <x v="4"/>
    <x v="1"/>
    <n v="6"/>
    <n v="184475"/>
    <d v="2025-02-11T00:00:00"/>
    <n v="2"/>
    <n v="11"/>
    <n v="2025"/>
    <x v="4"/>
    <s v="Q1"/>
    <x v="4"/>
  </r>
  <r>
    <s v="O106309"/>
    <x v="771"/>
    <x v="1"/>
    <x v="6"/>
    <x v="3"/>
    <x v="0"/>
    <n v="7"/>
    <n v="184453"/>
    <d v="2026-01-19T00:00:00"/>
    <n v="1"/>
    <n v="19"/>
    <n v="2026"/>
    <x v="6"/>
    <s v="Q1"/>
    <x v="3"/>
  </r>
  <r>
    <s v="O109585"/>
    <x v="365"/>
    <x v="1"/>
    <x v="3"/>
    <x v="3"/>
    <x v="0"/>
    <n v="1"/>
    <n v="184427"/>
    <d v="2026-06-08T00:00:00"/>
    <n v="6"/>
    <n v="8"/>
    <n v="2026"/>
    <x v="2"/>
    <s v="Q2"/>
    <x v="3"/>
  </r>
  <r>
    <s v="O103610"/>
    <x v="339"/>
    <x v="3"/>
    <x v="3"/>
    <x v="1"/>
    <x v="3"/>
    <n v="1"/>
    <n v="184361"/>
    <d v="2025-08-08T00:00:00"/>
    <n v="8"/>
    <n v="8"/>
    <n v="2025"/>
    <x v="8"/>
    <s v="Q3"/>
    <x v="1"/>
  </r>
  <r>
    <s v="O105600"/>
    <x v="88"/>
    <x v="4"/>
    <x v="4"/>
    <x v="3"/>
    <x v="1"/>
    <n v="1"/>
    <n v="184240"/>
    <d v="2025-07-12T00:00:00"/>
    <n v="7"/>
    <n v="12"/>
    <n v="2025"/>
    <x v="10"/>
    <s v="Q3"/>
    <x v="3"/>
  </r>
  <r>
    <s v="O109440"/>
    <x v="261"/>
    <x v="0"/>
    <x v="4"/>
    <x v="2"/>
    <x v="1"/>
    <n v="1"/>
    <n v="184218"/>
    <d v="2026-07-28T00:00:00"/>
    <n v="7"/>
    <n v="28"/>
    <n v="2026"/>
    <x v="10"/>
    <s v="Q3"/>
    <x v="2"/>
  </r>
  <r>
    <s v="O106640"/>
    <x v="447"/>
    <x v="4"/>
    <x v="6"/>
    <x v="3"/>
    <x v="1"/>
    <n v="6"/>
    <n v="184206"/>
    <d v="2026-08-02T00:00:00"/>
    <n v="8"/>
    <n v="2"/>
    <n v="2026"/>
    <x v="8"/>
    <s v="Q3"/>
    <x v="3"/>
  </r>
  <r>
    <s v="O108746"/>
    <x v="762"/>
    <x v="4"/>
    <x v="6"/>
    <x v="0"/>
    <x v="1"/>
    <n v="6"/>
    <n v="184171"/>
    <d v="2026-06-16T00:00:00"/>
    <n v="6"/>
    <n v="16"/>
    <n v="2026"/>
    <x v="2"/>
    <s v="Q2"/>
    <x v="0"/>
  </r>
  <r>
    <s v="O107353"/>
    <x v="710"/>
    <x v="0"/>
    <x v="6"/>
    <x v="4"/>
    <x v="3"/>
    <n v="8"/>
    <n v="184159"/>
    <d v="2026-03-23T00:00:00"/>
    <n v="3"/>
    <n v="23"/>
    <n v="2026"/>
    <x v="5"/>
    <s v="Q1"/>
    <x v="4"/>
  </r>
  <r>
    <s v="O106096"/>
    <x v="554"/>
    <x v="9"/>
    <x v="4"/>
    <x v="2"/>
    <x v="3"/>
    <n v="1"/>
    <n v="184134"/>
    <d v="2026-06-01T00:00:00"/>
    <n v="6"/>
    <n v="1"/>
    <n v="2026"/>
    <x v="2"/>
    <s v="Q2"/>
    <x v="2"/>
  </r>
  <r>
    <s v="O107075"/>
    <x v="232"/>
    <x v="5"/>
    <x v="6"/>
    <x v="1"/>
    <x v="2"/>
    <n v="9"/>
    <n v="183992"/>
    <d v="2026-06-03T00:00:00"/>
    <n v="6"/>
    <n v="3"/>
    <n v="2026"/>
    <x v="2"/>
    <s v="Q2"/>
    <x v="1"/>
  </r>
  <r>
    <s v="O103190"/>
    <x v="249"/>
    <x v="4"/>
    <x v="4"/>
    <x v="1"/>
    <x v="0"/>
    <n v="1"/>
    <n v="183979"/>
    <d v="2025-07-13T00:00:00"/>
    <n v="7"/>
    <n v="13"/>
    <n v="2025"/>
    <x v="10"/>
    <s v="Q3"/>
    <x v="1"/>
  </r>
  <r>
    <s v="O109949"/>
    <x v="594"/>
    <x v="10"/>
    <x v="6"/>
    <x v="4"/>
    <x v="0"/>
    <n v="6"/>
    <n v="183924"/>
    <d v="2026-08-28T00:00:00"/>
    <n v="8"/>
    <n v="28"/>
    <n v="2026"/>
    <x v="8"/>
    <s v="Q3"/>
    <x v="4"/>
  </r>
  <r>
    <s v="O103908"/>
    <x v="315"/>
    <x v="1"/>
    <x v="7"/>
    <x v="1"/>
    <x v="0"/>
    <n v="10"/>
    <n v="183882"/>
    <d v="2025-08-26T00:00:00"/>
    <n v="8"/>
    <n v="26"/>
    <n v="2025"/>
    <x v="8"/>
    <s v="Q3"/>
    <x v="1"/>
  </r>
  <r>
    <s v="O104719"/>
    <x v="455"/>
    <x v="2"/>
    <x v="6"/>
    <x v="1"/>
    <x v="1"/>
    <n v="6"/>
    <n v="183867"/>
    <d v="2025-10-14T00:00:00"/>
    <n v="10"/>
    <n v="14"/>
    <n v="2025"/>
    <x v="9"/>
    <s v="Q4"/>
    <x v="1"/>
  </r>
  <r>
    <s v="O106434"/>
    <x v="201"/>
    <x v="2"/>
    <x v="6"/>
    <x v="3"/>
    <x v="2"/>
    <n v="8"/>
    <n v="183795"/>
    <d v="2026-01-26T00:00:00"/>
    <n v="1"/>
    <n v="26"/>
    <n v="2026"/>
    <x v="6"/>
    <s v="Q1"/>
    <x v="3"/>
  </r>
  <r>
    <s v="O110507"/>
    <x v="722"/>
    <x v="10"/>
    <x v="6"/>
    <x v="1"/>
    <x v="3"/>
    <n v="9"/>
    <n v="183775"/>
    <d v="2026-01-10T00:00:00"/>
    <n v="1"/>
    <n v="10"/>
    <n v="2026"/>
    <x v="6"/>
    <s v="Q1"/>
    <x v="1"/>
  </r>
  <r>
    <s v="O109984"/>
    <x v="146"/>
    <x v="5"/>
    <x v="5"/>
    <x v="3"/>
    <x v="3"/>
    <n v="2"/>
    <n v="183627"/>
    <d v="2026-08-30T00:00:00"/>
    <n v="8"/>
    <n v="30"/>
    <n v="2026"/>
    <x v="8"/>
    <s v="Q3"/>
    <x v="3"/>
  </r>
  <r>
    <s v="O109827"/>
    <x v="352"/>
    <x v="3"/>
    <x v="6"/>
    <x v="0"/>
    <x v="1"/>
    <n v="7"/>
    <n v="183608"/>
    <d v="2026-08-20T00:00:00"/>
    <n v="8"/>
    <n v="20"/>
    <n v="2026"/>
    <x v="8"/>
    <s v="Q3"/>
    <x v="0"/>
  </r>
  <r>
    <s v="O110444"/>
    <x v="13"/>
    <x v="8"/>
    <x v="3"/>
    <x v="2"/>
    <x v="3"/>
    <n v="1"/>
    <n v="183492"/>
    <d v="2026-09-27T00:00:00"/>
    <n v="9"/>
    <n v="27"/>
    <n v="2026"/>
    <x v="1"/>
    <s v="Q3"/>
    <x v="2"/>
  </r>
  <r>
    <s v="O107126"/>
    <x v="752"/>
    <x v="3"/>
    <x v="6"/>
    <x v="4"/>
    <x v="0"/>
    <n v="7"/>
    <n v="183492"/>
    <d v="2026-09-03T00:00:00"/>
    <n v="9"/>
    <n v="3"/>
    <n v="2026"/>
    <x v="1"/>
    <s v="Q3"/>
    <x v="4"/>
  </r>
  <r>
    <s v="O103665"/>
    <x v="350"/>
    <x v="2"/>
    <x v="6"/>
    <x v="1"/>
    <x v="2"/>
    <n v="7"/>
    <n v="183402"/>
    <d v="2025-11-08T00:00:00"/>
    <n v="11"/>
    <n v="8"/>
    <n v="2025"/>
    <x v="0"/>
    <s v="Q4"/>
    <x v="1"/>
  </r>
  <r>
    <s v="O104046"/>
    <x v="222"/>
    <x v="10"/>
    <x v="6"/>
    <x v="3"/>
    <x v="1"/>
    <n v="7"/>
    <n v="183346"/>
    <d v="2025-03-09T00:00:00"/>
    <n v="3"/>
    <n v="9"/>
    <n v="2025"/>
    <x v="5"/>
    <s v="Q1"/>
    <x v="3"/>
  </r>
  <r>
    <s v="O108743"/>
    <x v="255"/>
    <x v="3"/>
    <x v="6"/>
    <x v="0"/>
    <x v="3"/>
    <n v="6"/>
    <n v="183345"/>
    <d v="2026-06-16T00:00:00"/>
    <n v="6"/>
    <n v="16"/>
    <n v="2026"/>
    <x v="2"/>
    <s v="Q2"/>
    <x v="0"/>
  </r>
  <r>
    <s v="O108705"/>
    <x v="292"/>
    <x v="0"/>
    <x v="7"/>
    <x v="2"/>
    <x v="0"/>
    <n v="10"/>
    <n v="183244"/>
    <d v="2026-06-13T00:00:00"/>
    <n v="6"/>
    <n v="13"/>
    <n v="2026"/>
    <x v="2"/>
    <s v="Q2"/>
    <x v="2"/>
  </r>
  <r>
    <s v="O108230"/>
    <x v="111"/>
    <x v="1"/>
    <x v="6"/>
    <x v="3"/>
    <x v="0"/>
    <n v="9"/>
    <n v="183228"/>
    <d v="2026-05-15T00:00:00"/>
    <n v="5"/>
    <n v="15"/>
    <n v="2026"/>
    <x v="3"/>
    <s v="Q2"/>
    <x v="3"/>
  </r>
  <r>
    <s v="O106782"/>
    <x v="175"/>
    <x v="9"/>
    <x v="6"/>
    <x v="1"/>
    <x v="2"/>
    <n v="9"/>
    <n v="182997"/>
    <d v="2026-02-16T00:00:00"/>
    <n v="2"/>
    <n v="16"/>
    <n v="2026"/>
    <x v="4"/>
    <s v="Q1"/>
    <x v="1"/>
  </r>
  <r>
    <s v="O103037"/>
    <x v="42"/>
    <x v="1"/>
    <x v="6"/>
    <x v="1"/>
    <x v="0"/>
    <n v="7"/>
    <n v="182983"/>
    <d v="2025-04-07T00:00:00"/>
    <n v="4"/>
    <n v="7"/>
    <n v="2025"/>
    <x v="11"/>
    <s v="Q2"/>
    <x v="1"/>
  </r>
  <r>
    <s v="O103300"/>
    <x v="518"/>
    <x v="6"/>
    <x v="4"/>
    <x v="3"/>
    <x v="3"/>
    <n v="1"/>
    <n v="182967"/>
    <d v="2025-07-20T00:00:00"/>
    <n v="7"/>
    <n v="20"/>
    <n v="2025"/>
    <x v="10"/>
    <s v="Q3"/>
    <x v="3"/>
  </r>
  <r>
    <s v="O104934"/>
    <x v="609"/>
    <x v="4"/>
    <x v="6"/>
    <x v="2"/>
    <x v="3"/>
    <n v="6"/>
    <n v="182956"/>
    <d v="2025-10-27T00:00:00"/>
    <n v="10"/>
    <n v="27"/>
    <n v="2025"/>
    <x v="9"/>
    <s v="Q4"/>
    <x v="2"/>
  </r>
  <r>
    <s v="O100108"/>
    <x v="174"/>
    <x v="2"/>
    <x v="4"/>
    <x v="0"/>
    <x v="1"/>
    <n v="1"/>
    <n v="182937"/>
    <d v="2025-07-01T00:00:00"/>
    <n v="7"/>
    <n v="1"/>
    <n v="2025"/>
    <x v="10"/>
    <s v="Q3"/>
    <x v="0"/>
  </r>
  <r>
    <s v="O101212"/>
    <x v="23"/>
    <x v="6"/>
    <x v="6"/>
    <x v="3"/>
    <x v="0"/>
    <n v="8"/>
    <n v="182802"/>
    <d v="2025-03-15T00:00:00"/>
    <n v="3"/>
    <n v="15"/>
    <n v="2025"/>
    <x v="5"/>
    <s v="Q1"/>
    <x v="3"/>
  </r>
  <r>
    <s v="O102383"/>
    <x v="664"/>
    <x v="8"/>
    <x v="3"/>
    <x v="0"/>
    <x v="2"/>
    <n v="1"/>
    <n v="182650"/>
    <d v="2025-05-25T00:00:00"/>
    <n v="5"/>
    <n v="25"/>
    <n v="2025"/>
    <x v="3"/>
    <s v="Q2"/>
    <x v="0"/>
  </r>
  <r>
    <s v="O106961"/>
    <x v="434"/>
    <x v="1"/>
    <x v="6"/>
    <x v="0"/>
    <x v="1"/>
    <n v="9"/>
    <n v="182592"/>
    <d v="2026-02-27T00:00:00"/>
    <n v="2"/>
    <n v="27"/>
    <n v="2026"/>
    <x v="4"/>
    <s v="Q1"/>
    <x v="0"/>
  </r>
  <r>
    <s v="O100512"/>
    <x v="686"/>
    <x v="4"/>
    <x v="7"/>
    <x v="2"/>
    <x v="1"/>
    <n v="10"/>
    <n v="182520"/>
    <d v="2025-01-02T00:00:00"/>
    <n v="1"/>
    <n v="2"/>
    <n v="2025"/>
    <x v="6"/>
    <s v="Q1"/>
    <x v="2"/>
  </r>
  <r>
    <s v="O109709"/>
    <x v="320"/>
    <x v="9"/>
    <x v="7"/>
    <x v="2"/>
    <x v="1"/>
    <n v="10"/>
    <n v="182407"/>
    <d v="2026-08-13T00:00:00"/>
    <n v="8"/>
    <n v="13"/>
    <n v="2026"/>
    <x v="8"/>
    <s v="Q3"/>
    <x v="2"/>
  </r>
  <r>
    <s v="O105171"/>
    <x v="501"/>
    <x v="1"/>
    <x v="6"/>
    <x v="4"/>
    <x v="3"/>
    <n v="9"/>
    <n v="182276"/>
    <d v="2025-11-11T00:00:00"/>
    <n v="11"/>
    <n v="11"/>
    <n v="2025"/>
    <x v="0"/>
    <s v="Q4"/>
    <x v="4"/>
  </r>
  <r>
    <s v="O106679"/>
    <x v="616"/>
    <x v="10"/>
    <x v="6"/>
    <x v="2"/>
    <x v="1"/>
    <n v="6"/>
    <n v="182225"/>
    <d v="2026-10-02T00:00:00"/>
    <n v="10"/>
    <n v="2"/>
    <n v="2026"/>
    <x v="9"/>
    <s v="Q4"/>
    <x v="2"/>
  </r>
  <r>
    <s v="O110497"/>
    <x v="289"/>
    <x v="1"/>
    <x v="6"/>
    <x v="1"/>
    <x v="2"/>
    <n v="8"/>
    <n v="182197"/>
    <d v="2026-09-30T00:00:00"/>
    <n v="9"/>
    <n v="30"/>
    <n v="2026"/>
    <x v="1"/>
    <s v="Q3"/>
    <x v="1"/>
  </r>
  <r>
    <s v="O109242"/>
    <x v="541"/>
    <x v="6"/>
    <x v="4"/>
    <x v="0"/>
    <x v="2"/>
    <n v="1"/>
    <n v="182168"/>
    <d v="2026-07-16T00:00:00"/>
    <n v="7"/>
    <n v="16"/>
    <n v="2026"/>
    <x v="10"/>
    <s v="Q3"/>
    <x v="0"/>
  </r>
  <r>
    <s v="O108787"/>
    <x v="200"/>
    <x v="1"/>
    <x v="6"/>
    <x v="1"/>
    <x v="1"/>
    <n v="9"/>
    <n v="182049"/>
    <d v="2026-06-18T00:00:00"/>
    <n v="6"/>
    <n v="18"/>
    <n v="2026"/>
    <x v="2"/>
    <s v="Q2"/>
    <x v="1"/>
  </r>
  <r>
    <s v="O106689"/>
    <x v="183"/>
    <x v="10"/>
    <x v="6"/>
    <x v="0"/>
    <x v="2"/>
    <n v="9"/>
    <n v="181884"/>
    <d v="2026-11-02T00:00:00"/>
    <n v="11"/>
    <n v="2"/>
    <n v="2026"/>
    <x v="0"/>
    <s v="Q4"/>
    <x v="0"/>
  </r>
  <r>
    <s v="O108215"/>
    <x v="57"/>
    <x v="3"/>
    <x v="7"/>
    <x v="0"/>
    <x v="0"/>
    <n v="10"/>
    <n v="181700"/>
    <d v="2026-05-15T00:00:00"/>
    <n v="5"/>
    <n v="15"/>
    <n v="2026"/>
    <x v="3"/>
    <s v="Q2"/>
    <x v="0"/>
  </r>
  <r>
    <s v="O111702"/>
    <x v="619"/>
    <x v="2"/>
    <x v="6"/>
    <x v="0"/>
    <x v="0"/>
    <n v="7"/>
    <n v="181642"/>
    <d v="2026-12-12T00:00:00"/>
    <n v="12"/>
    <n v="12"/>
    <n v="2026"/>
    <x v="7"/>
    <s v="Q4"/>
    <x v="0"/>
  </r>
  <r>
    <s v="O106126"/>
    <x v="323"/>
    <x v="1"/>
    <x v="4"/>
    <x v="0"/>
    <x v="1"/>
    <n v="1"/>
    <n v="181596"/>
    <d v="2026-08-01T00:00:00"/>
    <n v="8"/>
    <n v="1"/>
    <n v="2026"/>
    <x v="8"/>
    <s v="Q3"/>
    <x v="0"/>
  </r>
  <r>
    <s v="O110123"/>
    <x v="364"/>
    <x v="4"/>
    <x v="5"/>
    <x v="2"/>
    <x v="0"/>
    <n v="2"/>
    <n v="181563"/>
    <d v="2026-07-09T00:00:00"/>
    <n v="7"/>
    <n v="9"/>
    <n v="2026"/>
    <x v="10"/>
    <s v="Q3"/>
    <x v="2"/>
  </r>
  <r>
    <s v="O111798"/>
    <x v="41"/>
    <x v="8"/>
    <x v="6"/>
    <x v="4"/>
    <x v="2"/>
    <n v="7"/>
    <n v="181528"/>
    <d v="2026-12-18T00:00:00"/>
    <n v="12"/>
    <n v="18"/>
    <n v="2026"/>
    <x v="7"/>
    <s v="Q4"/>
    <x v="4"/>
  </r>
  <r>
    <s v="O109777"/>
    <x v="368"/>
    <x v="2"/>
    <x v="6"/>
    <x v="2"/>
    <x v="0"/>
    <n v="9"/>
    <n v="181405"/>
    <d v="2026-08-17T00:00:00"/>
    <n v="8"/>
    <n v="17"/>
    <n v="2026"/>
    <x v="8"/>
    <s v="Q3"/>
    <x v="2"/>
  </r>
  <r>
    <s v="O102159"/>
    <x v="163"/>
    <x v="9"/>
    <x v="6"/>
    <x v="2"/>
    <x v="0"/>
    <n v="8"/>
    <n v="181360"/>
    <d v="2025-12-05T00:00:00"/>
    <n v="12"/>
    <n v="5"/>
    <n v="2025"/>
    <x v="7"/>
    <s v="Q4"/>
    <x v="2"/>
  </r>
  <r>
    <s v="O100915"/>
    <x v="345"/>
    <x v="0"/>
    <x v="6"/>
    <x v="2"/>
    <x v="2"/>
    <n v="7"/>
    <n v="181329"/>
    <d v="2025-02-25T00:00:00"/>
    <n v="2"/>
    <n v="25"/>
    <n v="2025"/>
    <x v="4"/>
    <s v="Q1"/>
    <x v="2"/>
  </r>
  <r>
    <s v="O107894"/>
    <x v="261"/>
    <x v="2"/>
    <x v="6"/>
    <x v="2"/>
    <x v="2"/>
    <n v="6"/>
    <n v="181197"/>
    <d v="2026-04-25T00:00:00"/>
    <n v="4"/>
    <n v="25"/>
    <n v="2026"/>
    <x v="11"/>
    <s v="Q2"/>
    <x v="2"/>
  </r>
  <r>
    <s v="O106939"/>
    <x v="754"/>
    <x v="9"/>
    <x v="6"/>
    <x v="4"/>
    <x v="2"/>
    <n v="7"/>
    <n v="181157"/>
    <d v="2026-02-26T00:00:00"/>
    <n v="2"/>
    <n v="26"/>
    <n v="2026"/>
    <x v="4"/>
    <s v="Q1"/>
    <x v="4"/>
  </r>
  <r>
    <s v="O108214"/>
    <x v="336"/>
    <x v="6"/>
    <x v="6"/>
    <x v="1"/>
    <x v="3"/>
    <n v="8"/>
    <n v="181038"/>
    <d v="2026-05-14T00:00:00"/>
    <n v="5"/>
    <n v="14"/>
    <n v="2026"/>
    <x v="3"/>
    <s v="Q2"/>
    <x v="1"/>
  </r>
  <r>
    <s v="O108463"/>
    <x v="707"/>
    <x v="5"/>
    <x v="7"/>
    <x v="3"/>
    <x v="1"/>
    <n v="10"/>
    <n v="180917"/>
    <d v="2026-05-30T00:00:00"/>
    <n v="5"/>
    <n v="30"/>
    <n v="2026"/>
    <x v="3"/>
    <s v="Q2"/>
    <x v="3"/>
  </r>
  <r>
    <s v="O100254"/>
    <x v="639"/>
    <x v="8"/>
    <x v="7"/>
    <x v="1"/>
    <x v="2"/>
    <n v="10"/>
    <n v="180765"/>
    <d v="2025-01-16T00:00:00"/>
    <n v="1"/>
    <n v="16"/>
    <n v="2025"/>
    <x v="6"/>
    <s v="Q1"/>
    <x v="1"/>
  </r>
  <r>
    <s v="O111120"/>
    <x v="564"/>
    <x v="5"/>
    <x v="6"/>
    <x v="3"/>
    <x v="2"/>
    <n v="8"/>
    <n v="180704"/>
    <d v="2026-07-11T00:00:00"/>
    <n v="7"/>
    <n v="11"/>
    <n v="2026"/>
    <x v="10"/>
    <s v="Q3"/>
    <x v="3"/>
  </r>
  <r>
    <s v="O107128"/>
    <x v="175"/>
    <x v="4"/>
    <x v="7"/>
    <x v="4"/>
    <x v="3"/>
    <n v="10"/>
    <n v="180696"/>
    <d v="2026-10-03T00:00:00"/>
    <n v="10"/>
    <n v="3"/>
    <n v="2026"/>
    <x v="9"/>
    <s v="Q4"/>
    <x v="4"/>
  </r>
  <r>
    <s v="O106560"/>
    <x v="182"/>
    <x v="10"/>
    <x v="3"/>
    <x v="2"/>
    <x v="1"/>
    <n v="1"/>
    <n v="180562"/>
    <d v="2026-03-02T00:00:00"/>
    <n v="3"/>
    <n v="2"/>
    <n v="2026"/>
    <x v="5"/>
    <s v="Q1"/>
    <x v="2"/>
  </r>
  <r>
    <s v="O108405"/>
    <x v="655"/>
    <x v="6"/>
    <x v="6"/>
    <x v="4"/>
    <x v="2"/>
    <n v="7"/>
    <n v="180554"/>
    <d v="2026-05-26T00:00:00"/>
    <n v="5"/>
    <n v="26"/>
    <n v="2026"/>
    <x v="3"/>
    <s v="Q2"/>
    <x v="4"/>
  </r>
  <r>
    <s v="O108562"/>
    <x v="380"/>
    <x v="10"/>
    <x v="5"/>
    <x v="3"/>
    <x v="1"/>
    <n v="2"/>
    <n v="180505"/>
    <d v="2026-05-06T00:00:00"/>
    <n v="5"/>
    <n v="6"/>
    <n v="2026"/>
    <x v="3"/>
    <s v="Q2"/>
    <x v="3"/>
  </r>
  <r>
    <s v="O103251"/>
    <x v="507"/>
    <x v="2"/>
    <x v="6"/>
    <x v="1"/>
    <x v="2"/>
    <n v="9"/>
    <n v="180277"/>
    <d v="2025-07-17T00:00:00"/>
    <n v="7"/>
    <n v="17"/>
    <n v="2025"/>
    <x v="10"/>
    <s v="Q3"/>
    <x v="1"/>
  </r>
  <r>
    <s v="O109247"/>
    <x v="48"/>
    <x v="9"/>
    <x v="6"/>
    <x v="4"/>
    <x v="1"/>
    <n v="6"/>
    <n v="180205"/>
    <d v="2026-07-16T00:00:00"/>
    <n v="7"/>
    <n v="16"/>
    <n v="2026"/>
    <x v="10"/>
    <s v="Q3"/>
    <x v="4"/>
  </r>
  <r>
    <s v="O101419"/>
    <x v="613"/>
    <x v="10"/>
    <x v="6"/>
    <x v="2"/>
    <x v="3"/>
    <n v="9"/>
    <n v="180174"/>
    <d v="2025-03-28T00:00:00"/>
    <n v="3"/>
    <n v="28"/>
    <n v="2025"/>
    <x v="5"/>
    <s v="Q1"/>
    <x v="2"/>
  </r>
  <r>
    <s v="O108412"/>
    <x v="236"/>
    <x v="8"/>
    <x v="3"/>
    <x v="0"/>
    <x v="1"/>
    <n v="1"/>
    <n v="180154"/>
    <d v="2026-05-27T00:00:00"/>
    <n v="5"/>
    <n v="27"/>
    <n v="2026"/>
    <x v="3"/>
    <s v="Q2"/>
    <x v="0"/>
  </r>
  <r>
    <s v="O103828"/>
    <x v="620"/>
    <x v="8"/>
    <x v="6"/>
    <x v="0"/>
    <x v="0"/>
    <n v="9"/>
    <n v="179954"/>
    <d v="2025-08-21T00:00:00"/>
    <n v="8"/>
    <n v="21"/>
    <n v="2025"/>
    <x v="8"/>
    <s v="Q3"/>
    <x v="0"/>
  </r>
  <r>
    <s v="O103209"/>
    <x v="34"/>
    <x v="6"/>
    <x v="6"/>
    <x v="4"/>
    <x v="0"/>
    <n v="9"/>
    <n v="179939"/>
    <d v="2025-07-14T00:00:00"/>
    <n v="7"/>
    <n v="14"/>
    <n v="2025"/>
    <x v="10"/>
    <s v="Q3"/>
    <x v="4"/>
  </r>
  <r>
    <s v="O110657"/>
    <x v="156"/>
    <x v="6"/>
    <x v="6"/>
    <x v="3"/>
    <x v="0"/>
    <n v="8"/>
    <n v="179826"/>
    <d v="2026-10-10T00:00:00"/>
    <n v="10"/>
    <n v="10"/>
    <n v="2026"/>
    <x v="9"/>
    <s v="Q4"/>
    <x v="3"/>
  </r>
  <r>
    <s v="O101208"/>
    <x v="219"/>
    <x v="4"/>
    <x v="6"/>
    <x v="4"/>
    <x v="0"/>
    <n v="6"/>
    <n v="179651"/>
    <d v="2025-03-15T00:00:00"/>
    <n v="3"/>
    <n v="15"/>
    <n v="2025"/>
    <x v="5"/>
    <s v="Q1"/>
    <x v="4"/>
  </r>
  <r>
    <s v="O110820"/>
    <x v="240"/>
    <x v="5"/>
    <x v="6"/>
    <x v="2"/>
    <x v="0"/>
    <n v="7"/>
    <n v="179647"/>
    <d v="2026-10-20T00:00:00"/>
    <n v="10"/>
    <n v="20"/>
    <n v="2026"/>
    <x v="9"/>
    <s v="Q4"/>
    <x v="2"/>
  </r>
  <r>
    <s v="O100143"/>
    <x v="442"/>
    <x v="1"/>
    <x v="6"/>
    <x v="1"/>
    <x v="2"/>
    <n v="6"/>
    <n v="179639"/>
    <d v="2025-09-01T00:00:00"/>
    <n v="9"/>
    <n v="1"/>
    <n v="2025"/>
    <x v="1"/>
    <s v="Q3"/>
    <x v="1"/>
  </r>
  <r>
    <s v="O104935"/>
    <x v="256"/>
    <x v="10"/>
    <x v="6"/>
    <x v="1"/>
    <x v="3"/>
    <n v="8"/>
    <n v="179510"/>
    <d v="2025-10-27T00:00:00"/>
    <n v="10"/>
    <n v="27"/>
    <n v="2025"/>
    <x v="9"/>
    <s v="Q4"/>
    <x v="1"/>
  </r>
  <r>
    <s v="O110723"/>
    <x v="482"/>
    <x v="4"/>
    <x v="6"/>
    <x v="1"/>
    <x v="1"/>
    <n v="7"/>
    <n v="179453"/>
    <d v="2026-10-14T00:00:00"/>
    <n v="10"/>
    <n v="14"/>
    <n v="2026"/>
    <x v="9"/>
    <s v="Q4"/>
    <x v="1"/>
  </r>
  <r>
    <s v="O107793"/>
    <x v="556"/>
    <x v="5"/>
    <x v="6"/>
    <x v="3"/>
    <x v="0"/>
    <n v="7"/>
    <n v="179416"/>
    <d v="2026-04-19T00:00:00"/>
    <n v="4"/>
    <n v="19"/>
    <n v="2026"/>
    <x v="11"/>
    <s v="Q2"/>
    <x v="3"/>
  </r>
  <r>
    <s v="O109753"/>
    <x v="296"/>
    <x v="0"/>
    <x v="6"/>
    <x v="2"/>
    <x v="2"/>
    <n v="9"/>
    <n v="179393"/>
    <d v="2026-08-16T00:00:00"/>
    <n v="8"/>
    <n v="16"/>
    <n v="2026"/>
    <x v="8"/>
    <s v="Q3"/>
    <x v="2"/>
  </r>
  <r>
    <s v="O102379"/>
    <x v="770"/>
    <x v="3"/>
    <x v="6"/>
    <x v="2"/>
    <x v="1"/>
    <n v="7"/>
    <n v="179310"/>
    <d v="2025-05-25T00:00:00"/>
    <n v="5"/>
    <n v="25"/>
    <n v="2025"/>
    <x v="3"/>
    <s v="Q2"/>
    <x v="2"/>
  </r>
  <r>
    <s v="O106440"/>
    <x v="478"/>
    <x v="5"/>
    <x v="6"/>
    <x v="1"/>
    <x v="3"/>
    <n v="6"/>
    <n v="179174"/>
    <d v="2026-01-27T00:00:00"/>
    <n v="1"/>
    <n v="27"/>
    <n v="2026"/>
    <x v="6"/>
    <s v="Q1"/>
    <x v="1"/>
  </r>
  <r>
    <s v="O109501"/>
    <x v="502"/>
    <x v="4"/>
    <x v="6"/>
    <x v="4"/>
    <x v="1"/>
    <n v="8"/>
    <n v="179074"/>
    <d v="2026-01-08T00:00:00"/>
    <n v="1"/>
    <n v="8"/>
    <n v="2026"/>
    <x v="6"/>
    <s v="Q1"/>
    <x v="4"/>
  </r>
  <r>
    <s v="O106152"/>
    <x v="307"/>
    <x v="2"/>
    <x v="6"/>
    <x v="0"/>
    <x v="0"/>
    <n v="6"/>
    <n v="178983"/>
    <d v="2026-09-01T00:00:00"/>
    <n v="9"/>
    <n v="1"/>
    <n v="2026"/>
    <x v="1"/>
    <s v="Q3"/>
    <x v="0"/>
  </r>
  <r>
    <s v="O103243"/>
    <x v="447"/>
    <x v="3"/>
    <x v="6"/>
    <x v="4"/>
    <x v="3"/>
    <n v="8"/>
    <n v="178877"/>
    <d v="2025-07-16T00:00:00"/>
    <n v="7"/>
    <n v="16"/>
    <n v="2025"/>
    <x v="10"/>
    <s v="Q3"/>
    <x v="4"/>
  </r>
  <r>
    <s v="O110317"/>
    <x v="432"/>
    <x v="8"/>
    <x v="6"/>
    <x v="2"/>
    <x v="1"/>
    <n v="6"/>
    <n v="178839"/>
    <d v="2026-09-19T00:00:00"/>
    <n v="9"/>
    <n v="19"/>
    <n v="2026"/>
    <x v="1"/>
    <s v="Q3"/>
    <x v="2"/>
  </r>
  <r>
    <s v="O101659"/>
    <x v="710"/>
    <x v="6"/>
    <x v="7"/>
    <x v="1"/>
    <x v="0"/>
    <n v="10"/>
    <n v="178827"/>
    <d v="2025-11-04T00:00:00"/>
    <n v="11"/>
    <n v="4"/>
    <n v="2025"/>
    <x v="0"/>
    <s v="Q4"/>
    <x v="1"/>
  </r>
  <r>
    <s v="O107055"/>
    <x v="183"/>
    <x v="5"/>
    <x v="6"/>
    <x v="1"/>
    <x v="3"/>
    <n v="9"/>
    <n v="178822"/>
    <d v="2026-05-03T00:00:00"/>
    <n v="5"/>
    <n v="3"/>
    <n v="2026"/>
    <x v="3"/>
    <s v="Q2"/>
    <x v="1"/>
  </r>
  <r>
    <s v="O101062"/>
    <x v="510"/>
    <x v="0"/>
    <x v="3"/>
    <x v="3"/>
    <x v="2"/>
    <n v="1"/>
    <n v="178537"/>
    <d v="2025-06-03T00:00:00"/>
    <n v="6"/>
    <n v="3"/>
    <n v="2025"/>
    <x v="2"/>
    <s v="Q2"/>
    <x v="3"/>
  </r>
  <r>
    <s v="O109681"/>
    <x v="557"/>
    <x v="0"/>
    <x v="6"/>
    <x v="4"/>
    <x v="3"/>
    <n v="7"/>
    <n v="178406"/>
    <d v="2026-12-08T00:00:00"/>
    <n v="12"/>
    <n v="8"/>
    <n v="2026"/>
    <x v="7"/>
    <s v="Q4"/>
    <x v="4"/>
  </r>
  <r>
    <s v="O105118"/>
    <x v="34"/>
    <x v="8"/>
    <x v="6"/>
    <x v="3"/>
    <x v="1"/>
    <n v="8"/>
    <n v="178242"/>
    <d v="2025-07-11T00:00:00"/>
    <n v="7"/>
    <n v="11"/>
    <n v="2025"/>
    <x v="10"/>
    <s v="Q3"/>
    <x v="3"/>
  </r>
  <r>
    <s v="O104600"/>
    <x v="241"/>
    <x v="10"/>
    <x v="7"/>
    <x v="0"/>
    <x v="0"/>
    <n v="10"/>
    <n v="178139"/>
    <d v="2025-07-10T00:00:00"/>
    <n v="7"/>
    <n v="10"/>
    <n v="2025"/>
    <x v="10"/>
    <s v="Q3"/>
    <x v="0"/>
  </r>
  <r>
    <s v="O110148"/>
    <x v="717"/>
    <x v="3"/>
    <x v="6"/>
    <x v="4"/>
    <x v="0"/>
    <n v="8"/>
    <n v="178121"/>
    <d v="2026-09-09T00:00:00"/>
    <n v="9"/>
    <n v="9"/>
    <n v="2026"/>
    <x v="1"/>
    <s v="Q3"/>
    <x v="4"/>
  </r>
  <r>
    <s v="O101746"/>
    <x v="779"/>
    <x v="3"/>
    <x v="6"/>
    <x v="0"/>
    <x v="2"/>
    <n v="7"/>
    <n v="178040"/>
    <d v="2025-04-17T00:00:00"/>
    <n v="4"/>
    <n v="17"/>
    <n v="2025"/>
    <x v="11"/>
    <s v="Q2"/>
    <x v="0"/>
  </r>
  <r>
    <s v="O106970"/>
    <x v="90"/>
    <x v="2"/>
    <x v="6"/>
    <x v="0"/>
    <x v="2"/>
    <n v="6"/>
    <n v="177996"/>
    <d v="2026-02-28T00:00:00"/>
    <n v="2"/>
    <n v="28"/>
    <n v="2026"/>
    <x v="4"/>
    <s v="Q1"/>
    <x v="0"/>
  </r>
  <r>
    <s v="O107026"/>
    <x v="2"/>
    <x v="6"/>
    <x v="6"/>
    <x v="0"/>
    <x v="2"/>
    <n v="9"/>
    <n v="177894"/>
    <d v="2026-03-03T00:00:00"/>
    <n v="3"/>
    <n v="3"/>
    <n v="2026"/>
    <x v="5"/>
    <s v="Q1"/>
    <x v="0"/>
  </r>
  <r>
    <s v="O107534"/>
    <x v="215"/>
    <x v="0"/>
    <x v="6"/>
    <x v="0"/>
    <x v="1"/>
    <n v="6"/>
    <n v="177886"/>
    <d v="2026-03-04T00:00:00"/>
    <n v="3"/>
    <n v="4"/>
    <n v="2026"/>
    <x v="5"/>
    <s v="Q1"/>
    <x v="0"/>
  </r>
  <r>
    <s v="O106753"/>
    <x v="482"/>
    <x v="4"/>
    <x v="7"/>
    <x v="4"/>
    <x v="1"/>
    <n v="10"/>
    <n v="177807"/>
    <d v="2026-02-15T00:00:00"/>
    <n v="2"/>
    <n v="15"/>
    <n v="2026"/>
    <x v="4"/>
    <s v="Q1"/>
    <x v="4"/>
  </r>
  <r>
    <s v="O100071"/>
    <x v="232"/>
    <x v="9"/>
    <x v="4"/>
    <x v="3"/>
    <x v="1"/>
    <n v="1"/>
    <n v="177730"/>
    <d v="2025-05-01T00:00:00"/>
    <n v="5"/>
    <n v="1"/>
    <n v="2025"/>
    <x v="3"/>
    <s v="Q2"/>
    <x v="3"/>
  </r>
  <r>
    <s v="O109558"/>
    <x v="69"/>
    <x v="2"/>
    <x v="6"/>
    <x v="4"/>
    <x v="0"/>
    <n v="9"/>
    <n v="177655"/>
    <d v="2026-04-08T00:00:00"/>
    <n v="4"/>
    <n v="8"/>
    <n v="2026"/>
    <x v="11"/>
    <s v="Q2"/>
    <x v="4"/>
  </r>
  <r>
    <s v="O110864"/>
    <x v="343"/>
    <x v="3"/>
    <x v="6"/>
    <x v="3"/>
    <x v="2"/>
    <n v="9"/>
    <n v="177494"/>
    <d v="2026-10-22T00:00:00"/>
    <n v="10"/>
    <n v="22"/>
    <n v="2026"/>
    <x v="9"/>
    <s v="Q4"/>
    <x v="3"/>
  </r>
  <r>
    <s v="O102981"/>
    <x v="326"/>
    <x v="8"/>
    <x v="6"/>
    <x v="4"/>
    <x v="1"/>
    <n v="6"/>
    <n v="177332"/>
    <d v="2025-01-07T00:00:00"/>
    <n v="1"/>
    <n v="7"/>
    <n v="2025"/>
    <x v="6"/>
    <s v="Q1"/>
    <x v="4"/>
  </r>
  <r>
    <s v="O109526"/>
    <x v="54"/>
    <x v="9"/>
    <x v="6"/>
    <x v="0"/>
    <x v="3"/>
    <n v="6"/>
    <n v="177321"/>
    <d v="2026-02-08T00:00:00"/>
    <n v="2"/>
    <n v="8"/>
    <n v="2026"/>
    <x v="4"/>
    <s v="Q1"/>
    <x v="0"/>
  </r>
  <r>
    <s v="O106476"/>
    <x v="112"/>
    <x v="2"/>
    <x v="3"/>
    <x v="2"/>
    <x v="1"/>
    <n v="1"/>
    <n v="177276"/>
    <d v="2026-01-29T00:00:00"/>
    <n v="1"/>
    <n v="29"/>
    <n v="2026"/>
    <x v="6"/>
    <s v="Q1"/>
    <x v="2"/>
  </r>
  <r>
    <s v="O108617"/>
    <x v="713"/>
    <x v="5"/>
    <x v="3"/>
    <x v="2"/>
    <x v="1"/>
    <n v="1"/>
    <n v="177260"/>
    <d v="2026-08-06T00:00:00"/>
    <n v="8"/>
    <n v="6"/>
    <n v="2026"/>
    <x v="8"/>
    <s v="Q3"/>
    <x v="2"/>
  </r>
  <r>
    <s v="O107045"/>
    <x v="365"/>
    <x v="9"/>
    <x v="3"/>
    <x v="1"/>
    <x v="3"/>
    <n v="1"/>
    <n v="177182"/>
    <d v="2026-04-03T00:00:00"/>
    <n v="4"/>
    <n v="3"/>
    <n v="2026"/>
    <x v="11"/>
    <s v="Q2"/>
    <x v="1"/>
  </r>
  <r>
    <s v="O101280"/>
    <x v="355"/>
    <x v="0"/>
    <x v="6"/>
    <x v="0"/>
    <x v="0"/>
    <n v="7"/>
    <n v="177124"/>
    <d v="2025-03-19T00:00:00"/>
    <n v="3"/>
    <n v="19"/>
    <n v="2025"/>
    <x v="5"/>
    <s v="Q1"/>
    <x v="0"/>
  </r>
  <r>
    <s v="O101122"/>
    <x v="656"/>
    <x v="0"/>
    <x v="3"/>
    <x v="3"/>
    <x v="1"/>
    <n v="1"/>
    <n v="177111"/>
    <d v="2025-10-03T00:00:00"/>
    <n v="10"/>
    <n v="3"/>
    <n v="2025"/>
    <x v="9"/>
    <s v="Q4"/>
    <x v="3"/>
  </r>
  <r>
    <s v="O102384"/>
    <x v="145"/>
    <x v="8"/>
    <x v="6"/>
    <x v="3"/>
    <x v="0"/>
    <n v="8"/>
    <n v="177110"/>
    <d v="2025-05-25T00:00:00"/>
    <n v="5"/>
    <n v="25"/>
    <n v="2025"/>
    <x v="3"/>
    <m/>
    <x v="3"/>
  </r>
  <r>
    <s v="O108278"/>
    <x v="22"/>
    <x v="6"/>
    <x v="6"/>
    <x v="1"/>
    <x v="2"/>
    <n v="6"/>
    <n v="177108"/>
    <d v="2026-05-18T00:00:00"/>
    <n v="5"/>
    <n v="18"/>
    <n v="2026"/>
    <x v="3"/>
    <s v="Q2"/>
    <x v="1"/>
  </r>
  <r>
    <s v="O104454"/>
    <x v="509"/>
    <x v="1"/>
    <x v="4"/>
    <x v="1"/>
    <x v="3"/>
    <n v="1"/>
    <n v="177101"/>
    <d v="2025-09-28T00:00:00"/>
    <n v="9"/>
    <n v="28"/>
    <n v="2025"/>
    <x v="1"/>
    <s v="Q3"/>
    <x v="1"/>
  </r>
  <r>
    <s v="O102504"/>
    <x v="616"/>
    <x v="2"/>
    <x v="3"/>
    <x v="0"/>
    <x v="0"/>
    <n v="1"/>
    <n v="177046"/>
    <d v="2025-02-06T00:00:00"/>
    <n v="2"/>
    <n v="6"/>
    <n v="2025"/>
    <x v="4"/>
    <s v="Q1"/>
    <x v="0"/>
  </r>
  <r>
    <s v="O103901"/>
    <x v="246"/>
    <x v="0"/>
    <x v="6"/>
    <x v="2"/>
    <x v="3"/>
    <n v="6"/>
    <n v="177043"/>
    <d v="2025-08-25T00:00:00"/>
    <n v="8"/>
    <n v="25"/>
    <n v="2025"/>
    <x v="8"/>
    <s v="Q3"/>
    <x v="2"/>
  </r>
  <r>
    <s v="O103808"/>
    <x v="720"/>
    <x v="6"/>
    <x v="7"/>
    <x v="0"/>
    <x v="3"/>
    <n v="10"/>
    <n v="176979"/>
    <d v="2025-08-20T00:00:00"/>
    <n v="8"/>
    <n v="20"/>
    <n v="2025"/>
    <x v="8"/>
    <s v="Q3"/>
    <x v="0"/>
  </r>
  <r>
    <s v="O110923"/>
    <x v="24"/>
    <x v="4"/>
    <x v="7"/>
    <x v="0"/>
    <x v="0"/>
    <n v="10"/>
    <n v="176789"/>
    <d v="2026-10-26T00:00:00"/>
    <n v="10"/>
    <n v="26"/>
    <n v="2026"/>
    <x v="9"/>
    <s v="Q4"/>
    <x v="0"/>
  </r>
  <r>
    <s v="O110452"/>
    <x v="417"/>
    <x v="9"/>
    <x v="3"/>
    <x v="0"/>
    <x v="3"/>
    <n v="1"/>
    <n v="176783"/>
    <d v="2026-09-27T00:00:00"/>
    <n v="9"/>
    <n v="27"/>
    <n v="2026"/>
    <x v="1"/>
    <s v="Q3"/>
    <x v="0"/>
  </r>
  <r>
    <s v="O107191"/>
    <x v="91"/>
    <x v="2"/>
    <x v="6"/>
    <x v="4"/>
    <x v="2"/>
    <n v="9"/>
    <n v="176753"/>
    <d v="2026-03-13T00:00:00"/>
    <n v="3"/>
    <n v="13"/>
    <n v="2026"/>
    <x v="5"/>
    <s v="Q1"/>
    <x v="4"/>
  </r>
  <r>
    <s v="O111610"/>
    <x v="586"/>
    <x v="10"/>
    <x v="7"/>
    <x v="1"/>
    <x v="2"/>
    <n v="10"/>
    <n v="176247"/>
    <d v="2026-07-12T00:00:00"/>
    <n v="7"/>
    <n v="12"/>
    <n v="2026"/>
    <x v="10"/>
    <s v="Q3"/>
    <x v="1"/>
  </r>
  <r>
    <s v="O105832"/>
    <x v="708"/>
    <x v="4"/>
    <x v="6"/>
    <x v="3"/>
    <x v="2"/>
    <n v="9"/>
    <n v="176131"/>
    <d v="2025-12-21T00:00:00"/>
    <n v="12"/>
    <n v="21"/>
    <n v="2025"/>
    <x v="7"/>
    <s v="Q4"/>
    <x v="3"/>
  </r>
  <r>
    <s v="O102142"/>
    <x v="372"/>
    <x v="3"/>
    <x v="6"/>
    <x v="4"/>
    <x v="1"/>
    <n v="7"/>
    <n v="175977"/>
    <d v="2025-11-05T00:00:00"/>
    <n v="11"/>
    <n v="5"/>
    <n v="2025"/>
    <x v="0"/>
    <s v="Q4"/>
    <x v="4"/>
  </r>
  <r>
    <s v="O109151"/>
    <x v="599"/>
    <x v="0"/>
    <x v="6"/>
    <x v="4"/>
    <x v="0"/>
    <n v="7"/>
    <n v="175796"/>
    <d v="2026-10-07T00:00:00"/>
    <n v="10"/>
    <n v="7"/>
    <n v="2026"/>
    <x v="9"/>
    <s v="Q4"/>
    <x v="4"/>
  </r>
  <r>
    <s v="O110962"/>
    <x v="402"/>
    <x v="8"/>
    <x v="6"/>
    <x v="4"/>
    <x v="2"/>
    <n v="8"/>
    <n v="175696"/>
    <d v="2026-10-28T00:00:00"/>
    <n v="10"/>
    <n v="28"/>
    <n v="2026"/>
    <x v="9"/>
    <s v="Q4"/>
    <x v="4"/>
  </r>
  <r>
    <s v="O109564"/>
    <x v="439"/>
    <x v="8"/>
    <x v="6"/>
    <x v="3"/>
    <x v="2"/>
    <n v="6"/>
    <n v="175658"/>
    <d v="2026-05-08T00:00:00"/>
    <n v="5"/>
    <n v="8"/>
    <n v="2026"/>
    <x v="3"/>
    <s v="Q2"/>
    <x v="3"/>
  </r>
  <r>
    <s v="O111795"/>
    <x v="363"/>
    <x v="9"/>
    <x v="6"/>
    <x v="3"/>
    <x v="2"/>
    <n v="6"/>
    <n v="175598"/>
    <d v="2026-12-18T00:00:00"/>
    <n v="12"/>
    <n v="18"/>
    <n v="2026"/>
    <x v="7"/>
    <s v="Q4"/>
    <x v="3"/>
  </r>
  <r>
    <s v="O110267"/>
    <x v="756"/>
    <x v="5"/>
    <x v="6"/>
    <x v="3"/>
    <x v="1"/>
    <n v="6"/>
    <n v="175579"/>
    <d v="2026-09-16T00:00:00"/>
    <n v="9"/>
    <n v="16"/>
    <n v="2026"/>
    <x v="1"/>
    <s v="Q3"/>
    <x v="3"/>
  </r>
  <r>
    <s v="O109873"/>
    <x v="397"/>
    <x v="5"/>
    <x v="7"/>
    <x v="2"/>
    <x v="1"/>
    <n v="10"/>
    <n v="175533"/>
    <d v="2026-08-23T00:00:00"/>
    <n v="8"/>
    <n v="23"/>
    <n v="2026"/>
    <x v="8"/>
    <s v="Q3"/>
    <x v="2"/>
  </r>
  <r>
    <s v="O105224"/>
    <x v="113"/>
    <x v="6"/>
    <x v="7"/>
    <x v="3"/>
    <x v="0"/>
    <n v="10"/>
    <n v="175530"/>
    <d v="2025-11-14T00:00:00"/>
    <n v="11"/>
    <n v="14"/>
    <n v="2025"/>
    <x v="0"/>
    <s v="Q4"/>
    <x v="3"/>
  </r>
  <r>
    <s v="O110488"/>
    <x v="42"/>
    <x v="8"/>
    <x v="3"/>
    <x v="0"/>
    <x v="0"/>
    <n v="1"/>
    <n v="175411"/>
    <d v="2026-09-30T00:00:00"/>
    <n v="9"/>
    <n v="30"/>
    <n v="2026"/>
    <x v="1"/>
    <s v="Q3"/>
    <x v="0"/>
  </r>
  <r>
    <s v="O107252"/>
    <x v="772"/>
    <x v="2"/>
    <x v="3"/>
    <x v="1"/>
    <x v="3"/>
    <n v="1"/>
    <n v="175335"/>
    <d v="2026-03-17T00:00:00"/>
    <n v="3"/>
    <n v="17"/>
    <n v="2026"/>
    <x v="5"/>
    <s v="Q1"/>
    <x v="1"/>
  </r>
  <r>
    <s v="O109385"/>
    <x v="475"/>
    <x v="4"/>
    <x v="6"/>
    <x v="2"/>
    <x v="2"/>
    <n v="7"/>
    <n v="175286"/>
    <d v="2026-07-25T00:00:00"/>
    <n v="7"/>
    <n v="25"/>
    <n v="2026"/>
    <x v="10"/>
    <s v="Q3"/>
    <x v="2"/>
  </r>
  <r>
    <s v="O105525"/>
    <x v="589"/>
    <x v="3"/>
    <x v="6"/>
    <x v="2"/>
    <x v="0"/>
    <n v="6"/>
    <n v="175217"/>
    <d v="2025-02-12T00:00:00"/>
    <n v="2"/>
    <n v="12"/>
    <n v="2025"/>
    <x v="4"/>
    <s v="Q1"/>
    <x v="2"/>
  </r>
  <r>
    <s v="O111226"/>
    <x v="373"/>
    <x v="4"/>
    <x v="6"/>
    <x v="1"/>
    <x v="0"/>
    <n v="9"/>
    <n v="175080"/>
    <d v="2026-11-13T00:00:00"/>
    <n v="11"/>
    <n v="13"/>
    <n v="2026"/>
    <x v="0"/>
    <s v="Q4"/>
    <x v="1"/>
  </r>
  <r>
    <s v="O106482"/>
    <x v="564"/>
    <x v="6"/>
    <x v="6"/>
    <x v="3"/>
    <x v="1"/>
    <n v="8"/>
    <n v="175057"/>
    <d v="2026-01-29T00:00:00"/>
    <n v="1"/>
    <n v="29"/>
    <n v="2026"/>
    <x v="6"/>
    <s v="Q1"/>
    <x v="3"/>
  </r>
  <r>
    <s v="O109781"/>
    <x v="683"/>
    <x v="8"/>
    <x v="7"/>
    <x v="3"/>
    <x v="0"/>
    <n v="10"/>
    <n v="174843"/>
    <d v="2026-08-18T00:00:00"/>
    <n v="8"/>
    <n v="18"/>
    <n v="2026"/>
    <x v="8"/>
    <s v="Q3"/>
    <x v="3"/>
  </r>
  <r>
    <s v="O105211"/>
    <x v="169"/>
    <x v="9"/>
    <x v="3"/>
    <x v="0"/>
    <x v="1"/>
    <n v="1"/>
    <n v="174713"/>
    <d v="2025-11-13T00:00:00"/>
    <n v="11"/>
    <n v="13"/>
    <n v="2025"/>
    <x v="0"/>
    <m/>
    <x v="0"/>
  </r>
  <r>
    <s v="O100797"/>
    <x v="617"/>
    <x v="4"/>
    <x v="3"/>
    <x v="3"/>
    <x v="1"/>
    <n v="1"/>
    <n v="174701"/>
    <d v="2025-02-18T00:00:00"/>
    <n v="2"/>
    <n v="18"/>
    <n v="2025"/>
    <x v="4"/>
    <s v="Q1"/>
    <x v="3"/>
  </r>
  <r>
    <s v="O107763"/>
    <x v="51"/>
    <x v="8"/>
    <x v="7"/>
    <x v="0"/>
    <x v="0"/>
    <n v="10"/>
    <n v="174495"/>
    <d v="2026-04-17T00:00:00"/>
    <n v="4"/>
    <n v="17"/>
    <n v="2026"/>
    <x v="11"/>
    <m/>
    <x v="0"/>
  </r>
  <r>
    <s v="O107062"/>
    <x v="773"/>
    <x v="5"/>
    <x v="6"/>
    <x v="4"/>
    <x v="1"/>
    <n v="8"/>
    <n v="174452"/>
    <d v="2026-05-03T00:00:00"/>
    <n v="5"/>
    <n v="3"/>
    <n v="2026"/>
    <x v="3"/>
    <s v="Q2"/>
    <x v="4"/>
  </r>
  <r>
    <s v="O108745"/>
    <x v="21"/>
    <x v="8"/>
    <x v="6"/>
    <x v="1"/>
    <x v="4"/>
    <n v="9"/>
    <n v="174295"/>
    <d v="2026-06-16T00:00:00"/>
    <n v="6"/>
    <n v="16"/>
    <n v="2026"/>
    <x v="2"/>
    <s v="Q2"/>
    <x v="1"/>
  </r>
  <r>
    <s v="O106352"/>
    <x v="778"/>
    <x v="6"/>
    <x v="6"/>
    <x v="1"/>
    <x v="2"/>
    <n v="7"/>
    <n v="174196"/>
    <d v="2026-01-21T00:00:00"/>
    <n v="1"/>
    <n v="21"/>
    <n v="2026"/>
    <x v="6"/>
    <s v="Q1"/>
    <x v="1"/>
  </r>
  <r>
    <s v="O102899"/>
    <x v="197"/>
    <x v="8"/>
    <x v="6"/>
    <x v="1"/>
    <x v="1"/>
    <n v="8"/>
    <n v="174079"/>
    <d v="2025-06-26T00:00:00"/>
    <n v="6"/>
    <n v="26"/>
    <n v="2025"/>
    <x v="2"/>
    <s v="Q2"/>
    <x v="1"/>
  </r>
  <r>
    <s v="O106015"/>
    <x v="248"/>
    <x v="0"/>
    <x v="6"/>
    <x v="4"/>
    <x v="3"/>
    <n v="6"/>
    <n v="173984"/>
    <d v="2026-01-01T00:00:00"/>
    <n v="1"/>
    <n v="1"/>
    <n v="2026"/>
    <x v="6"/>
    <s v="Q1"/>
    <x v="4"/>
  </r>
  <r>
    <s v="O106078"/>
    <x v="92"/>
    <x v="6"/>
    <x v="6"/>
    <x v="0"/>
    <x v="2"/>
    <n v="8"/>
    <n v="173886"/>
    <d v="2026-05-01T00:00:00"/>
    <n v="5"/>
    <n v="1"/>
    <n v="2026"/>
    <x v="3"/>
    <s v="Q2"/>
    <x v="0"/>
  </r>
  <r>
    <s v="O103533"/>
    <x v="743"/>
    <x v="4"/>
    <x v="7"/>
    <x v="3"/>
    <x v="0"/>
    <n v="10"/>
    <n v="173850"/>
    <d v="2025-03-08T00:00:00"/>
    <n v="3"/>
    <n v="8"/>
    <n v="2025"/>
    <x v="5"/>
    <s v="Q1"/>
    <x v="3"/>
  </r>
  <r>
    <s v="O107426"/>
    <x v="375"/>
    <x v="4"/>
    <x v="7"/>
    <x v="2"/>
    <x v="1"/>
    <n v="10"/>
    <n v="173825"/>
    <d v="2026-03-28T00:00:00"/>
    <n v="3"/>
    <n v="28"/>
    <n v="2026"/>
    <x v="5"/>
    <s v="Q1"/>
    <x v="2"/>
  </r>
  <r>
    <s v="O107196"/>
    <x v="145"/>
    <x v="10"/>
    <x v="6"/>
    <x v="3"/>
    <x v="3"/>
    <n v="6"/>
    <n v="173758"/>
    <d v="2026-03-14T00:00:00"/>
    <n v="3"/>
    <n v="14"/>
    <n v="2026"/>
    <x v="5"/>
    <m/>
    <x v="3"/>
  </r>
  <r>
    <s v="O102459"/>
    <x v="577"/>
    <x v="2"/>
    <x v="6"/>
    <x v="0"/>
    <x v="3"/>
    <n v="6"/>
    <n v="173752"/>
    <d v="2025-05-30T00:00:00"/>
    <n v="5"/>
    <n v="30"/>
    <n v="2025"/>
    <x v="3"/>
    <s v="Q2"/>
    <x v="0"/>
  </r>
  <r>
    <s v="O108921"/>
    <x v="563"/>
    <x v="4"/>
    <x v="6"/>
    <x v="3"/>
    <x v="0"/>
    <n v="6"/>
    <n v="173664"/>
    <d v="2026-06-26T00:00:00"/>
    <n v="6"/>
    <n v="26"/>
    <n v="2026"/>
    <x v="2"/>
    <s v="Q2"/>
    <x v="3"/>
  </r>
  <r>
    <s v="O110420"/>
    <x v="670"/>
    <x v="4"/>
    <x v="6"/>
    <x v="3"/>
    <x v="3"/>
    <n v="6"/>
    <n v="173385"/>
    <d v="2026-09-26T00:00:00"/>
    <n v="9"/>
    <n v="26"/>
    <n v="2026"/>
    <x v="1"/>
    <s v="Q3"/>
    <x v="3"/>
  </r>
  <r>
    <s v="O110457"/>
    <x v="253"/>
    <x v="10"/>
    <x v="7"/>
    <x v="1"/>
    <x v="0"/>
    <n v="10"/>
    <n v="173355"/>
    <d v="2026-09-28T00:00:00"/>
    <n v="9"/>
    <n v="28"/>
    <n v="2026"/>
    <x v="1"/>
    <s v="Q3"/>
    <x v="1"/>
  </r>
  <r>
    <s v="O100234"/>
    <x v="366"/>
    <x v="0"/>
    <x v="6"/>
    <x v="4"/>
    <x v="1"/>
    <n v="6"/>
    <n v="173276"/>
    <d v="2025-01-15T00:00:00"/>
    <n v="1"/>
    <n v="15"/>
    <n v="2025"/>
    <x v="6"/>
    <s v="Q1"/>
    <x v="4"/>
  </r>
  <r>
    <s v="O103782"/>
    <x v="373"/>
    <x v="4"/>
    <x v="7"/>
    <x v="0"/>
    <x v="0"/>
    <n v="10"/>
    <n v="173233"/>
    <d v="2025-08-18T00:00:00"/>
    <n v="8"/>
    <n v="18"/>
    <n v="2025"/>
    <x v="8"/>
    <s v="Q3"/>
    <x v="0"/>
  </r>
  <r>
    <s v="O109937"/>
    <x v="755"/>
    <x v="8"/>
    <x v="6"/>
    <x v="4"/>
    <x v="1"/>
    <n v="7"/>
    <n v="173233"/>
    <d v="2026-08-27T00:00:00"/>
    <n v="8"/>
    <n v="27"/>
    <n v="2026"/>
    <x v="8"/>
    <s v="Q3"/>
    <x v="4"/>
  </r>
  <r>
    <s v="O108158"/>
    <x v="409"/>
    <x v="4"/>
    <x v="7"/>
    <x v="3"/>
    <x v="1"/>
    <n v="10"/>
    <n v="173192"/>
    <d v="2026-11-05T00:00:00"/>
    <n v="11"/>
    <n v="5"/>
    <n v="2026"/>
    <x v="0"/>
    <s v="Q4"/>
    <x v="3"/>
  </r>
  <r>
    <s v="O102331"/>
    <x v="505"/>
    <x v="2"/>
    <x v="7"/>
    <x v="0"/>
    <x v="3"/>
    <n v="10"/>
    <n v="173165"/>
    <d v="2025-05-22T00:00:00"/>
    <n v="5"/>
    <n v="22"/>
    <n v="2025"/>
    <x v="3"/>
    <s v="Q2"/>
    <x v="0"/>
  </r>
  <r>
    <s v="O108060"/>
    <x v="650"/>
    <x v="10"/>
    <x v="6"/>
    <x v="4"/>
    <x v="2"/>
    <n v="6"/>
    <n v="173125"/>
    <d v="2026-05-05T00:00:00"/>
    <n v="5"/>
    <n v="5"/>
    <n v="2026"/>
    <x v="3"/>
    <s v="Q2"/>
    <x v="4"/>
  </r>
  <r>
    <s v="O100018"/>
    <x v="590"/>
    <x v="9"/>
    <x v="6"/>
    <x v="3"/>
    <x v="0"/>
    <n v="6"/>
    <n v="173081"/>
    <d v="2025-02-01T00:00:00"/>
    <n v="2"/>
    <n v="1"/>
    <n v="2025"/>
    <x v="4"/>
    <s v="Q1"/>
    <x v="3"/>
  </r>
  <r>
    <s v="O101394"/>
    <x v="228"/>
    <x v="5"/>
    <x v="6"/>
    <x v="3"/>
    <x v="3"/>
    <n v="6"/>
    <n v="173070"/>
    <d v="2025-03-26T00:00:00"/>
    <n v="3"/>
    <n v="26"/>
    <n v="2025"/>
    <x v="5"/>
    <s v="Q1"/>
    <x v="3"/>
  </r>
  <r>
    <s v="O100715"/>
    <x v="438"/>
    <x v="1"/>
    <x v="7"/>
    <x v="1"/>
    <x v="0"/>
    <n v="10"/>
    <n v="172928"/>
    <d v="2025-02-13T00:00:00"/>
    <n v="2"/>
    <n v="13"/>
    <n v="2025"/>
    <x v="4"/>
    <s v="Q1"/>
    <x v="1"/>
  </r>
  <r>
    <s v="O107559"/>
    <x v="509"/>
    <x v="0"/>
    <x v="6"/>
    <x v="4"/>
    <x v="3"/>
    <n v="9"/>
    <n v="172844"/>
    <d v="2026-05-04T00:00:00"/>
    <n v="5"/>
    <n v="4"/>
    <n v="2026"/>
    <x v="3"/>
    <s v="Q2"/>
    <x v="4"/>
  </r>
  <r>
    <s v="O107322"/>
    <x v="127"/>
    <x v="10"/>
    <x v="6"/>
    <x v="1"/>
    <x v="0"/>
    <n v="6"/>
    <n v="172301"/>
    <d v="2026-03-21T00:00:00"/>
    <n v="3"/>
    <n v="21"/>
    <n v="2026"/>
    <x v="5"/>
    <s v="Q1"/>
    <x v="1"/>
  </r>
  <r>
    <s v="O104902"/>
    <x v="1"/>
    <x v="4"/>
    <x v="6"/>
    <x v="3"/>
    <x v="1"/>
    <n v="9"/>
    <n v="172293"/>
    <d v="2025-10-25T00:00:00"/>
    <n v="10"/>
    <n v="25"/>
    <n v="2025"/>
    <x v="9"/>
    <s v="Q4"/>
    <x v="3"/>
  </r>
  <r>
    <s v="O100594"/>
    <x v="13"/>
    <x v="4"/>
    <x v="7"/>
    <x v="1"/>
    <x v="1"/>
    <n v="10"/>
    <n v="172259"/>
    <d v="2025-06-02T00:00:00"/>
    <n v="6"/>
    <n v="2"/>
    <n v="2025"/>
    <x v="2"/>
    <s v="Q2"/>
    <x v="1"/>
  </r>
  <r>
    <s v="O108339"/>
    <x v="685"/>
    <x v="3"/>
    <x v="6"/>
    <x v="2"/>
    <x v="3"/>
    <n v="6"/>
    <n v="172228"/>
    <d v="2026-05-22T00:00:00"/>
    <n v="5"/>
    <n v="22"/>
    <n v="2026"/>
    <x v="3"/>
    <s v="Q2"/>
    <x v="2"/>
  </r>
  <r>
    <s v="O109593"/>
    <x v="294"/>
    <x v="0"/>
    <x v="4"/>
    <x v="4"/>
    <x v="3"/>
    <n v="1"/>
    <n v="172214"/>
    <d v="2026-06-08T00:00:00"/>
    <n v="6"/>
    <n v="8"/>
    <n v="2026"/>
    <x v="2"/>
    <s v="Q2"/>
    <x v="4"/>
  </r>
  <r>
    <s v="O103091"/>
    <x v="616"/>
    <x v="6"/>
    <x v="6"/>
    <x v="3"/>
    <x v="2"/>
    <n v="7"/>
    <n v="172210"/>
    <d v="2025-07-07T00:00:00"/>
    <n v="7"/>
    <n v="7"/>
    <n v="2025"/>
    <x v="10"/>
    <s v="Q3"/>
    <x v="3"/>
  </r>
  <r>
    <s v="O109625"/>
    <x v="547"/>
    <x v="4"/>
    <x v="7"/>
    <x v="4"/>
    <x v="1"/>
    <n v="10"/>
    <n v="172158"/>
    <d v="2026-08-08T00:00:00"/>
    <n v="8"/>
    <n v="8"/>
    <n v="2026"/>
    <x v="8"/>
    <s v="Q3"/>
    <x v="4"/>
  </r>
  <r>
    <s v="O105366"/>
    <x v="389"/>
    <x v="9"/>
    <x v="3"/>
    <x v="4"/>
    <x v="2"/>
    <n v="1"/>
    <n v="172112"/>
    <d v="2025-11-22T00:00:00"/>
    <n v="11"/>
    <n v="22"/>
    <n v="2025"/>
    <x v="0"/>
    <s v="Q4"/>
    <x v="4"/>
  </r>
  <r>
    <s v="O109045"/>
    <x v="319"/>
    <x v="6"/>
    <x v="6"/>
    <x v="2"/>
    <x v="3"/>
    <n v="6"/>
    <n v="172105"/>
    <d v="2026-04-07T00:00:00"/>
    <n v="4"/>
    <n v="7"/>
    <n v="2026"/>
    <x v="11"/>
    <s v="Q2"/>
    <x v="2"/>
  </r>
  <r>
    <s v="O105403"/>
    <x v="41"/>
    <x v="9"/>
    <x v="3"/>
    <x v="4"/>
    <x v="0"/>
    <n v="1"/>
    <n v="172088"/>
    <d v="2025-11-25T00:00:00"/>
    <n v="11"/>
    <n v="25"/>
    <n v="2025"/>
    <x v="0"/>
    <s v="Q4"/>
    <x v="4"/>
  </r>
  <r>
    <s v="O110280"/>
    <x v="99"/>
    <x v="9"/>
    <x v="6"/>
    <x v="4"/>
    <x v="1"/>
    <n v="8"/>
    <n v="172054"/>
    <d v="2026-09-17T00:00:00"/>
    <n v="9"/>
    <n v="17"/>
    <n v="2026"/>
    <x v="1"/>
    <s v="Q3"/>
    <x v="4"/>
  </r>
  <r>
    <s v="O105449"/>
    <x v="461"/>
    <x v="8"/>
    <x v="6"/>
    <x v="4"/>
    <x v="1"/>
    <n v="6"/>
    <n v="171985"/>
    <d v="2025-11-27T00:00:00"/>
    <n v="11"/>
    <n v="27"/>
    <n v="2025"/>
    <x v="0"/>
    <s v="Q4"/>
    <x v="4"/>
  </r>
  <r>
    <s v="O107572"/>
    <x v="171"/>
    <x v="10"/>
    <x v="6"/>
    <x v="1"/>
    <x v="0"/>
    <n v="6"/>
    <n v="171844"/>
    <d v="2026-05-04T00:00:00"/>
    <n v="5"/>
    <n v="4"/>
    <n v="2026"/>
    <x v="3"/>
    <s v="Q2"/>
    <x v="1"/>
  </r>
  <r>
    <s v="O103325"/>
    <x v="15"/>
    <x v="4"/>
    <x v="4"/>
    <x v="1"/>
    <x v="1"/>
    <n v="1"/>
    <n v="171813"/>
    <d v="2025-07-21T00:00:00"/>
    <n v="7"/>
    <n v="21"/>
    <n v="2025"/>
    <x v="10"/>
    <s v="Q3"/>
    <x v="1"/>
  </r>
  <r>
    <s v="O102706"/>
    <x v="622"/>
    <x v="6"/>
    <x v="4"/>
    <x v="1"/>
    <x v="3"/>
    <n v="1"/>
    <n v="171808"/>
    <d v="2025-06-14T00:00:00"/>
    <n v="6"/>
    <n v="14"/>
    <n v="2025"/>
    <x v="2"/>
    <s v="Q2"/>
    <x v="1"/>
  </r>
  <r>
    <s v="O111491"/>
    <x v="391"/>
    <x v="9"/>
    <x v="3"/>
    <x v="3"/>
    <x v="2"/>
    <n v="1"/>
    <n v="171732"/>
    <d v="2026-11-30T00:00:00"/>
    <n v="11"/>
    <n v="30"/>
    <n v="2026"/>
    <x v="0"/>
    <s v="Q4"/>
    <x v="3"/>
  </r>
  <r>
    <s v="O111006"/>
    <x v="83"/>
    <x v="4"/>
    <x v="3"/>
    <x v="4"/>
    <x v="2"/>
    <n v="1"/>
    <n v="171676"/>
    <d v="2026-10-31T00:00:00"/>
    <n v="10"/>
    <n v="31"/>
    <n v="2026"/>
    <x v="9"/>
    <s v="Q4"/>
    <x v="4"/>
  </r>
  <r>
    <s v="O105055"/>
    <x v="486"/>
    <x v="2"/>
    <x v="6"/>
    <x v="2"/>
    <x v="0"/>
    <n v="8"/>
    <n v="171670"/>
    <d v="2025-04-11T00:00:00"/>
    <n v="4"/>
    <n v="11"/>
    <n v="2025"/>
    <x v="11"/>
    <s v="Q2"/>
    <x v="2"/>
  </r>
  <r>
    <s v="O105365"/>
    <x v="558"/>
    <x v="8"/>
    <x v="6"/>
    <x v="3"/>
    <x v="3"/>
    <n v="9"/>
    <n v="171606"/>
    <d v="2025-11-22T00:00:00"/>
    <n v="11"/>
    <n v="22"/>
    <n v="2025"/>
    <x v="0"/>
    <s v="Q4"/>
    <x v="3"/>
  </r>
  <r>
    <s v="O101589"/>
    <x v="394"/>
    <x v="0"/>
    <x v="6"/>
    <x v="0"/>
    <x v="0"/>
    <n v="6"/>
    <n v="171481"/>
    <d v="2025-07-04T00:00:00"/>
    <n v="7"/>
    <n v="4"/>
    <n v="2025"/>
    <x v="10"/>
    <s v="Q3"/>
    <x v="0"/>
  </r>
  <r>
    <s v="O108045"/>
    <x v="292"/>
    <x v="0"/>
    <x v="6"/>
    <x v="4"/>
    <x v="1"/>
    <n v="7"/>
    <n v="171259"/>
    <d v="2026-04-05T00:00:00"/>
    <n v="4"/>
    <n v="5"/>
    <n v="2026"/>
    <x v="11"/>
    <s v="Q2"/>
    <x v="4"/>
  </r>
  <r>
    <s v="O107929"/>
    <x v="763"/>
    <x v="10"/>
    <x v="4"/>
    <x v="1"/>
    <x v="0"/>
    <n v="1"/>
    <n v="171212"/>
    <d v="2026-04-27T00:00:00"/>
    <n v="4"/>
    <n v="27"/>
    <n v="2026"/>
    <x v="11"/>
    <s v="Q2"/>
    <x v="1"/>
  </r>
  <r>
    <s v="O108178"/>
    <x v="426"/>
    <x v="0"/>
    <x v="4"/>
    <x v="1"/>
    <x v="2"/>
    <n v="1"/>
    <n v="171192"/>
    <d v="2026-12-05T00:00:00"/>
    <n v="12"/>
    <n v="5"/>
    <n v="2026"/>
    <x v="7"/>
    <s v="Q4"/>
    <x v="1"/>
  </r>
  <r>
    <s v="O103267"/>
    <x v="792"/>
    <x v="4"/>
    <x v="6"/>
    <x v="4"/>
    <x v="1"/>
    <n v="6"/>
    <n v="171153"/>
    <d v="2025-07-18T00:00:00"/>
    <n v="7"/>
    <n v="18"/>
    <n v="2025"/>
    <x v="10"/>
    <s v="Q3"/>
    <x v="4"/>
  </r>
  <r>
    <s v="O105024"/>
    <x v="361"/>
    <x v="1"/>
    <x v="4"/>
    <x v="0"/>
    <x v="2"/>
    <n v="1"/>
    <n v="171037"/>
    <d v="2025-02-11T00:00:00"/>
    <n v="2"/>
    <n v="11"/>
    <n v="2025"/>
    <x v="4"/>
    <s v="Q1"/>
    <x v="0"/>
  </r>
  <r>
    <s v="O100957"/>
    <x v="628"/>
    <x v="3"/>
    <x v="6"/>
    <x v="0"/>
    <x v="0"/>
    <n v="6"/>
    <n v="171026"/>
    <d v="2025-02-28T00:00:00"/>
    <n v="2"/>
    <n v="28"/>
    <n v="2025"/>
    <x v="4"/>
    <s v="Q1"/>
    <x v="0"/>
  </r>
  <r>
    <s v="O105610"/>
    <x v="405"/>
    <x v="8"/>
    <x v="6"/>
    <x v="3"/>
    <x v="0"/>
    <n v="6"/>
    <n v="170995"/>
    <d v="2025-07-12T00:00:00"/>
    <n v="7"/>
    <n v="12"/>
    <n v="2025"/>
    <x v="10"/>
    <s v="Q3"/>
    <x v="3"/>
  </r>
  <r>
    <s v="O107647"/>
    <x v="437"/>
    <x v="10"/>
    <x v="6"/>
    <x v="2"/>
    <x v="1"/>
    <n v="8"/>
    <n v="170987"/>
    <d v="2026-10-04T00:00:00"/>
    <n v="10"/>
    <n v="4"/>
    <n v="2026"/>
    <x v="9"/>
    <s v="Q4"/>
    <x v="2"/>
  </r>
  <r>
    <s v="O104295"/>
    <x v="539"/>
    <x v="9"/>
    <x v="7"/>
    <x v="0"/>
    <x v="0"/>
    <n v="10"/>
    <n v="170885"/>
    <d v="2025-09-18T00:00:00"/>
    <n v="9"/>
    <n v="18"/>
    <n v="2025"/>
    <x v="1"/>
    <s v="Q3"/>
    <x v="0"/>
  </r>
  <r>
    <s v="O101748"/>
    <x v="303"/>
    <x v="8"/>
    <x v="7"/>
    <x v="4"/>
    <x v="1"/>
    <n v="10"/>
    <n v="170862"/>
    <d v="2025-04-17T00:00:00"/>
    <n v="4"/>
    <n v="17"/>
    <n v="2025"/>
    <x v="11"/>
    <s v="Q2"/>
    <x v="4"/>
  </r>
  <r>
    <s v="O105713"/>
    <x v="736"/>
    <x v="6"/>
    <x v="6"/>
    <x v="0"/>
    <x v="1"/>
    <n v="8"/>
    <n v="170751"/>
    <d v="2025-12-14T00:00:00"/>
    <n v="12"/>
    <n v="14"/>
    <n v="2025"/>
    <x v="7"/>
    <s v="Q4"/>
    <x v="0"/>
  </r>
  <r>
    <s v="O100701"/>
    <x v="109"/>
    <x v="6"/>
    <x v="6"/>
    <x v="4"/>
    <x v="2"/>
    <n v="6"/>
    <n v="170608"/>
    <d v="2025-12-02T00:00:00"/>
    <n v="12"/>
    <n v="2"/>
    <n v="2025"/>
    <x v="7"/>
    <s v="Q4"/>
    <x v="4"/>
  </r>
  <r>
    <s v="O106409"/>
    <x v="425"/>
    <x v="5"/>
    <x v="6"/>
    <x v="4"/>
    <x v="0"/>
    <n v="7"/>
    <n v="170516"/>
    <d v="2026-01-25T00:00:00"/>
    <n v="1"/>
    <n v="25"/>
    <n v="2026"/>
    <x v="6"/>
    <s v="Q1"/>
    <x v="4"/>
  </r>
  <r>
    <s v="O102086"/>
    <x v="667"/>
    <x v="10"/>
    <x v="6"/>
    <x v="3"/>
    <x v="2"/>
    <n v="9"/>
    <n v="170445"/>
    <d v="2025-07-05T00:00:00"/>
    <n v="7"/>
    <n v="5"/>
    <n v="2025"/>
    <x v="10"/>
    <s v="Q3"/>
    <x v="3"/>
  </r>
  <r>
    <s v="O105879"/>
    <x v="692"/>
    <x v="8"/>
    <x v="6"/>
    <x v="0"/>
    <x v="1"/>
    <n v="8"/>
    <n v="170376"/>
    <d v="2025-12-24T00:00:00"/>
    <n v="12"/>
    <n v="24"/>
    <n v="2025"/>
    <x v="7"/>
    <s v="Q4"/>
    <x v="0"/>
  </r>
  <r>
    <s v="O101797"/>
    <x v="716"/>
    <x v="10"/>
    <x v="4"/>
    <x v="3"/>
    <x v="0"/>
    <n v="1"/>
    <n v="170195"/>
    <d v="2025-04-20T00:00:00"/>
    <n v="4"/>
    <n v="20"/>
    <n v="2025"/>
    <x v="11"/>
    <s v="Q2"/>
    <x v="3"/>
  </r>
  <r>
    <s v="O103144"/>
    <x v="500"/>
    <x v="0"/>
    <x v="6"/>
    <x v="0"/>
    <x v="0"/>
    <n v="7"/>
    <n v="170183"/>
    <d v="2025-10-07T00:00:00"/>
    <n v="10"/>
    <n v="7"/>
    <n v="2025"/>
    <x v="9"/>
    <s v="Q4"/>
    <x v="0"/>
  </r>
  <r>
    <s v="O105899"/>
    <x v="170"/>
    <x v="1"/>
    <x v="3"/>
    <x v="3"/>
    <x v="2"/>
    <n v="1"/>
    <n v="170133"/>
    <d v="2025-12-25T00:00:00"/>
    <n v="12"/>
    <n v="25"/>
    <n v="2025"/>
    <x v="7"/>
    <s v="Q4"/>
    <x v="3"/>
  </r>
  <r>
    <s v="O109608"/>
    <x v="40"/>
    <x v="10"/>
    <x v="6"/>
    <x v="4"/>
    <x v="2"/>
    <n v="6"/>
    <n v="170095"/>
    <d v="2026-07-08T00:00:00"/>
    <n v="7"/>
    <n v="8"/>
    <n v="2026"/>
    <x v="10"/>
    <s v="Q3"/>
    <x v="4"/>
  </r>
  <r>
    <s v="O105040"/>
    <x v="37"/>
    <x v="2"/>
    <x v="3"/>
    <x v="0"/>
    <x v="2"/>
    <n v="1"/>
    <n v="170044"/>
    <d v="2025-03-11T00:00:00"/>
    <n v="3"/>
    <n v="11"/>
    <n v="2025"/>
    <x v="5"/>
    <s v="Q1"/>
    <x v="0"/>
  </r>
  <r>
    <s v="O107214"/>
    <x v="723"/>
    <x v="8"/>
    <x v="6"/>
    <x v="3"/>
    <x v="1"/>
    <n v="6"/>
    <n v="170012"/>
    <d v="2026-03-15T00:00:00"/>
    <n v="3"/>
    <n v="15"/>
    <n v="2026"/>
    <x v="5"/>
    <s v="Q1"/>
    <x v="3"/>
  </r>
  <r>
    <s v="O105104"/>
    <x v="162"/>
    <x v="5"/>
    <x v="7"/>
    <x v="4"/>
    <x v="1"/>
    <n v="10"/>
    <n v="169910"/>
    <d v="2025-07-11T00:00:00"/>
    <n v="7"/>
    <n v="11"/>
    <n v="2025"/>
    <x v="10"/>
    <s v="Q3"/>
    <x v="4"/>
  </r>
  <r>
    <s v="O100049"/>
    <x v="744"/>
    <x v="4"/>
    <x v="6"/>
    <x v="0"/>
    <x v="1"/>
    <n v="8"/>
    <n v="169616"/>
    <d v="2025-03-01T00:00:00"/>
    <n v="3"/>
    <n v="1"/>
    <n v="2025"/>
    <x v="5"/>
    <m/>
    <x v="0"/>
  </r>
  <r>
    <s v="O109095"/>
    <x v="112"/>
    <x v="3"/>
    <x v="6"/>
    <x v="1"/>
    <x v="2"/>
    <n v="8"/>
    <n v="169505"/>
    <d v="2026-07-07T00:00:00"/>
    <n v="7"/>
    <n v="7"/>
    <n v="2026"/>
    <x v="10"/>
    <s v="Q3"/>
    <x v="1"/>
  </r>
  <r>
    <s v="O101283"/>
    <x v="542"/>
    <x v="8"/>
    <x v="6"/>
    <x v="4"/>
    <x v="2"/>
    <n v="6"/>
    <n v="169344"/>
    <d v="2025-03-19T00:00:00"/>
    <n v="3"/>
    <n v="19"/>
    <n v="2025"/>
    <x v="5"/>
    <s v="Q1"/>
    <x v="4"/>
  </r>
  <r>
    <s v="O100634"/>
    <x v="640"/>
    <x v="10"/>
    <x v="6"/>
    <x v="0"/>
    <x v="3"/>
    <n v="7"/>
    <n v="169311"/>
    <d v="2025-08-02T00:00:00"/>
    <n v="8"/>
    <n v="2"/>
    <n v="2025"/>
    <x v="8"/>
    <s v="Q3"/>
    <x v="0"/>
  </r>
  <r>
    <s v="O101858"/>
    <x v="324"/>
    <x v="5"/>
    <x v="6"/>
    <x v="1"/>
    <x v="1"/>
    <n v="8"/>
    <n v="169147"/>
    <d v="2025-04-23T00:00:00"/>
    <n v="4"/>
    <n v="23"/>
    <n v="2025"/>
    <x v="11"/>
    <m/>
    <x v="1"/>
  </r>
  <r>
    <s v="O104402"/>
    <x v="654"/>
    <x v="2"/>
    <x v="6"/>
    <x v="0"/>
    <x v="1"/>
    <n v="6"/>
    <n v="169006"/>
    <d v="2025-09-25T00:00:00"/>
    <n v="9"/>
    <n v="25"/>
    <n v="2025"/>
    <x v="1"/>
    <s v="Q3"/>
    <x v="0"/>
  </r>
  <r>
    <s v="O109469"/>
    <x v="550"/>
    <x v="10"/>
    <x v="6"/>
    <x v="3"/>
    <x v="0"/>
    <n v="6"/>
    <n v="168956"/>
    <d v="2026-07-30T00:00:00"/>
    <n v="7"/>
    <n v="30"/>
    <n v="2026"/>
    <x v="10"/>
    <s v="Q3"/>
    <x v="3"/>
  </r>
  <r>
    <s v="O102775"/>
    <x v="538"/>
    <x v="8"/>
    <x v="6"/>
    <x v="4"/>
    <x v="0"/>
    <n v="8"/>
    <n v="168802"/>
    <d v="2025-06-18T00:00:00"/>
    <n v="6"/>
    <n v="18"/>
    <n v="2025"/>
    <x v="2"/>
    <m/>
    <x v="4"/>
  </r>
  <r>
    <s v="O105398"/>
    <x v="369"/>
    <x v="10"/>
    <x v="6"/>
    <x v="4"/>
    <x v="1"/>
    <n v="6"/>
    <n v="168631"/>
    <d v="2025-11-24T00:00:00"/>
    <n v="11"/>
    <n v="24"/>
    <n v="2025"/>
    <x v="0"/>
    <m/>
    <x v="4"/>
  </r>
  <r>
    <s v="O101974"/>
    <x v="230"/>
    <x v="2"/>
    <x v="6"/>
    <x v="1"/>
    <x v="3"/>
    <n v="7"/>
    <n v="168599"/>
    <d v="2025-04-30T00:00:00"/>
    <n v="4"/>
    <n v="30"/>
    <n v="2025"/>
    <x v="11"/>
    <s v="Q2"/>
    <x v="1"/>
  </r>
  <r>
    <s v="O105164"/>
    <x v="210"/>
    <x v="9"/>
    <x v="6"/>
    <x v="4"/>
    <x v="1"/>
    <n v="6"/>
    <n v="168584"/>
    <d v="2025-10-11T00:00:00"/>
    <n v="10"/>
    <n v="11"/>
    <n v="2025"/>
    <x v="9"/>
    <s v="Q4"/>
    <x v="4"/>
  </r>
  <r>
    <s v="O108721"/>
    <x v="480"/>
    <x v="4"/>
    <x v="7"/>
    <x v="0"/>
    <x v="2"/>
    <n v="10"/>
    <n v="168462"/>
    <d v="2026-06-14T00:00:00"/>
    <n v="6"/>
    <n v="14"/>
    <n v="2026"/>
    <x v="2"/>
    <s v="Q2"/>
    <x v="0"/>
  </r>
  <r>
    <s v="O103836"/>
    <x v="118"/>
    <x v="5"/>
    <x v="7"/>
    <x v="3"/>
    <x v="2"/>
    <n v="9"/>
    <n v="168461"/>
    <d v="2025-08-21T00:00:00"/>
    <n v="8"/>
    <n v="21"/>
    <n v="2025"/>
    <x v="8"/>
    <s v="Q3"/>
    <x v="3"/>
  </r>
  <r>
    <s v="O111666"/>
    <x v="464"/>
    <x v="10"/>
    <x v="7"/>
    <x v="4"/>
    <x v="1"/>
    <n v="10"/>
    <n v="168328"/>
    <d v="2026-10-12T00:00:00"/>
    <n v="10"/>
    <n v="12"/>
    <n v="2026"/>
    <x v="9"/>
    <s v="Q4"/>
    <x v="4"/>
  </r>
  <r>
    <s v="O109878"/>
    <x v="226"/>
    <x v="0"/>
    <x v="7"/>
    <x v="3"/>
    <x v="0"/>
    <n v="9"/>
    <n v="168301"/>
    <d v="2026-08-24T00:00:00"/>
    <n v="8"/>
    <n v="24"/>
    <n v="2026"/>
    <x v="8"/>
    <s v="Q3"/>
    <x v="3"/>
  </r>
  <r>
    <s v="O102490"/>
    <x v="140"/>
    <x v="3"/>
    <x v="7"/>
    <x v="2"/>
    <x v="0"/>
    <n v="9"/>
    <n v="168272"/>
    <d v="2025-01-06T00:00:00"/>
    <n v="1"/>
    <n v="6"/>
    <n v="2025"/>
    <x v="6"/>
    <s v="Q1"/>
    <x v="2"/>
  </r>
  <r>
    <s v="O102524"/>
    <x v="227"/>
    <x v="6"/>
    <x v="7"/>
    <x v="4"/>
    <x v="3"/>
    <n v="10"/>
    <n v="168042"/>
    <d v="2025-03-06T00:00:00"/>
    <n v="3"/>
    <n v="6"/>
    <n v="2025"/>
    <x v="5"/>
    <s v="Q1"/>
    <x v="4"/>
  </r>
  <r>
    <s v="O107395"/>
    <x v="239"/>
    <x v="0"/>
    <x v="7"/>
    <x v="4"/>
    <x v="2"/>
    <n v="9"/>
    <n v="168021"/>
    <d v="2026-03-26T00:00:00"/>
    <n v="3"/>
    <n v="26"/>
    <n v="2026"/>
    <x v="5"/>
    <s v="Q1"/>
    <x v="4"/>
  </r>
  <r>
    <s v="O100256"/>
    <x v="367"/>
    <x v="2"/>
    <x v="6"/>
    <x v="4"/>
    <x v="2"/>
    <n v="8"/>
    <n v="167992"/>
    <d v="2025-01-16T00:00:00"/>
    <n v="1"/>
    <n v="16"/>
    <n v="2025"/>
    <x v="6"/>
    <s v="Q1"/>
    <x v="4"/>
  </r>
  <r>
    <s v="O104478"/>
    <x v="693"/>
    <x v="10"/>
    <x v="7"/>
    <x v="1"/>
    <x v="0"/>
    <n v="9"/>
    <n v="167967"/>
    <d v="2025-09-30T00:00:00"/>
    <n v="9"/>
    <n v="30"/>
    <n v="2025"/>
    <x v="1"/>
    <s v="Q3"/>
    <x v="1"/>
  </r>
  <r>
    <s v="O105898"/>
    <x v="301"/>
    <x v="5"/>
    <x v="7"/>
    <x v="3"/>
    <x v="2"/>
    <n v="9"/>
    <n v="167905"/>
    <d v="2025-12-25T00:00:00"/>
    <n v="12"/>
    <n v="25"/>
    <n v="2025"/>
    <x v="7"/>
    <s v="Q4"/>
    <x v="3"/>
  </r>
  <r>
    <s v="O108334"/>
    <x v="751"/>
    <x v="3"/>
    <x v="6"/>
    <x v="1"/>
    <x v="3"/>
    <n v="8"/>
    <n v="167880"/>
    <d v="2026-05-22T00:00:00"/>
    <n v="5"/>
    <n v="22"/>
    <n v="2026"/>
    <x v="3"/>
    <s v="Q2"/>
    <x v="1"/>
  </r>
  <r>
    <s v="O111617"/>
    <x v="401"/>
    <x v="0"/>
    <x v="7"/>
    <x v="3"/>
    <x v="1"/>
    <n v="10"/>
    <n v="167837"/>
    <d v="2026-07-12T00:00:00"/>
    <n v="7"/>
    <n v="12"/>
    <n v="2026"/>
    <x v="10"/>
    <s v="Q3"/>
    <x v="3"/>
  </r>
  <r>
    <s v="O106248"/>
    <x v="716"/>
    <x v="4"/>
    <x v="4"/>
    <x v="1"/>
    <x v="1"/>
    <n v="1"/>
    <n v="167832"/>
    <d v="2026-01-15T00:00:00"/>
    <n v="1"/>
    <n v="15"/>
    <n v="2026"/>
    <x v="6"/>
    <s v="Q1"/>
    <x v="1"/>
  </r>
  <r>
    <s v="O106544"/>
    <x v="603"/>
    <x v="2"/>
    <x v="7"/>
    <x v="0"/>
    <x v="0"/>
    <n v="10"/>
    <n v="167823"/>
    <d v="2026-02-02T00:00:00"/>
    <n v="2"/>
    <n v="2"/>
    <n v="2026"/>
    <x v="4"/>
    <s v="Q1"/>
    <x v="0"/>
  </r>
  <r>
    <s v="O100864"/>
    <x v="2"/>
    <x v="6"/>
    <x v="6"/>
    <x v="4"/>
    <x v="1"/>
    <n v="6"/>
    <n v="167781"/>
    <d v="2025-02-22T00:00:00"/>
    <n v="2"/>
    <n v="22"/>
    <n v="2025"/>
    <x v="4"/>
    <s v="Q1"/>
    <x v="4"/>
  </r>
  <r>
    <s v="O106053"/>
    <x v="396"/>
    <x v="1"/>
    <x v="6"/>
    <x v="0"/>
    <x v="0"/>
    <n v="6"/>
    <n v="167767"/>
    <d v="2026-03-01T00:00:00"/>
    <n v="3"/>
    <n v="1"/>
    <n v="2026"/>
    <x v="5"/>
    <s v="Q1"/>
    <x v="0"/>
  </r>
  <r>
    <s v="O103299"/>
    <x v="63"/>
    <x v="2"/>
    <x v="7"/>
    <x v="3"/>
    <x v="0"/>
    <n v="10"/>
    <n v="167612"/>
    <d v="2025-07-20T00:00:00"/>
    <n v="7"/>
    <n v="20"/>
    <n v="2025"/>
    <x v="10"/>
    <s v="Q3"/>
    <x v="3"/>
  </r>
  <r>
    <s v="O107851"/>
    <x v="610"/>
    <x v="2"/>
    <x v="7"/>
    <x v="1"/>
    <x v="0"/>
    <n v="9"/>
    <n v="167452"/>
    <d v="2026-04-22T00:00:00"/>
    <n v="4"/>
    <n v="22"/>
    <n v="2026"/>
    <x v="11"/>
    <s v="Q2"/>
    <x v="1"/>
  </r>
  <r>
    <s v="O110751"/>
    <x v="366"/>
    <x v="2"/>
    <x v="6"/>
    <x v="3"/>
    <x v="1"/>
    <n v="7"/>
    <n v="167397"/>
    <d v="2026-10-16T00:00:00"/>
    <n v="10"/>
    <n v="16"/>
    <n v="2026"/>
    <x v="9"/>
    <s v="Q4"/>
    <x v="3"/>
  </r>
  <r>
    <s v="O104008"/>
    <x v="613"/>
    <x v="2"/>
    <x v="7"/>
    <x v="3"/>
    <x v="2"/>
    <n v="10"/>
    <n v="167361"/>
    <d v="2025-01-09T00:00:00"/>
    <n v="1"/>
    <n v="9"/>
    <n v="2025"/>
    <x v="6"/>
    <s v="Q1"/>
    <x v="3"/>
  </r>
  <r>
    <s v="O107507"/>
    <x v="86"/>
    <x v="8"/>
    <x v="7"/>
    <x v="0"/>
    <x v="3"/>
    <n v="10"/>
    <n v="167332"/>
    <d v="2026-02-04T00:00:00"/>
    <n v="2"/>
    <n v="4"/>
    <n v="2026"/>
    <x v="4"/>
    <s v="Q1"/>
    <x v="0"/>
  </r>
  <r>
    <s v="O110230"/>
    <x v="404"/>
    <x v="1"/>
    <x v="7"/>
    <x v="3"/>
    <x v="2"/>
    <n v="9"/>
    <n v="167286"/>
    <d v="2026-09-14T00:00:00"/>
    <n v="9"/>
    <n v="14"/>
    <n v="2026"/>
    <x v="1"/>
    <s v="Q3"/>
    <x v="3"/>
  </r>
  <r>
    <s v="O103812"/>
    <x v="785"/>
    <x v="3"/>
    <x v="6"/>
    <x v="0"/>
    <x v="3"/>
    <n v="6"/>
    <n v="167251"/>
    <d v="2025-08-20T00:00:00"/>
    <n v="8"/>
    <n v="20"/>
    <n v="2025"/>
    <x v="8"/>
    <s v="Q3"/>
    <x v="0"/>
  </r>
  <r>
    <s v="O100449"/>
    <x v="580"/>
    <x v="6"/>
    <x v="7"/>
    <x v="0"/>
    <x v="1"/>
    <n v="9"/>
    <n v="167160"/>
    <d v="2025-01-28T00:00:00"/>
    <n v="1"/>
    <n v="28"/>
    <n v="2025"/>
    <x v="6"/>
    <s v="Q1"/>
    <x v="0"/>
  </r>
  <r>
    <s v="O108570"/>
    <x v="309"/>
    <x v="5"/>
    <x v="7"/>
    <x v="3"/>
    <x v="2"/>
    <n v="9"/>
    <n v="167155"/>
    <d v="2026-05-06T00:00:00"/>
    <n v="5"/>
    <n v="6"/>
    <n v="2026"/>
    <x v="3"/>
    <m/>
    <x v="3"/>
  </r>
  <r>
    <s v="O105363"/>
    <x v="320"/>
    <x v="10"/>
    <x v="6"/>
    <x v="4"/>
    <x v="0"/>
    <n v="8"/>
    <n v="167123"/>
    <d v="2025-11-22T00:00:00"/>
    <n v="11"/>
    <n v="22"/>
    <n v="2025"/>
    <x v="0"/>
    <s v="Q4"/>
    <x v="4"/>
  </r>
  <r>
    <s v="O106489"/>
    <x v="179"/>
    <x v="6"/>
    <x v="6"/>
    <x v="3"/>
    <x v="0"/>
    <n v="6"/>
    <n v="167065"/>
    <d v="2026-01-30T00:00:00"/>
    <n v="1"/>
    <n v="30"/>
    <n v="2026"/>
    <x v="6"/>
    <s v="Q1"/>
    <x v="3"/>
  </r>
  <r>
    <s v="O109645"/>
    <x v="251"/>
    <x v="10"/>
    <x v="7"/>
    <x v="0"/>
    <x v="2"/>
    <n v="9"/>
    <n v="167047"/>
    <d v="2026-09-08T00:00:00"/>
    <n v="9"/>
    <n v="8"/>
    <n v="2026"/>
    <x v="1"/>
    <s v="Q3"/>
    <x v="0"/>
  </r>
  <r>
    <s v="O101315"/>
    <x v="172"/>
    <x v="1"/>
    <x v="6"/>
    <x v="2"/>
    <x v="2"/>
    <n v="7"/>
    <n v="166974"/>
    <d v="2025-03-21T00:00:00"/>
    <n v="3"/>
    <n v="21"/>
    <n v="2025"/>
    <x v="5"/>
    <s v="Q1"/>
    <x v="2"/>
  </r>
  <r>
    <s v="O103448"/>
    <x v="351"/>
    <x v="0"/>
    <x v="4"/>
    <x v="4"/>
    <x v="2"/>
    <n v="1"/>
    <n v="166827"/>
    <d v="2025-07-29T00:00:00"/>
    <n v="7"/>
    <n v="29"/>
    <n v="2025"/>
    <x v="10"/>
    <s v="Q3"/>
    <x v="4"/>
  </r>
  <r>
    <s v="O106974"/>
    <x v="591"/>
    <x v="8"/>
    <x v="7"/>
    <x v="0"/>
    <x v="3"/>
    <n v="9"/>
    <n v="166564"/>
    <d v="2026-02-28T00:00:00"/>
    <n v="2"/>
    <n v="28"/>
    <n v="2026"/>
    <x v="4"/>
    <s v="Q1"/>
    <x v="0"/>
  </r>
  <r>
    <s v="O104254"/>
    <x v="353"/>
    <x v="3"/>
    <x v="6"/>
    <x v="7"/>
    <x v="0"/>
    <n v="6"/>
    <n v="166542"/>
    <d v="2025-09-16T00:00:00"/>
    <n v="9"/>
    <n v="16"/>
    <n v="2025"/>
    <x v="1"/>
    <s v="Q3"/>
    <x v="3"/>
  </r>
  <r>
    <s v="O108257"/>
    <x v="269"/>
    <x v="2"/>
    <x v="7"/>
    <x v="3"/>
    <x v="1"/>
    <n v="9"/>
    <n v="166472"/>
    <d v="2026-05-17T00:00:00"/>
    <n v="5"/>
    <n v="17"/>
    <n v="2026"/>
    <x v="3"/>
    <s v="Q2"/>
    <x v="3"/>
  </r>
  <r>
    <s v="O102870"/>
    <x v="613"/>
    <x v="6"/>
    <x v="7"/>
    <x v="0"/>
    <x v="3"/>
    <n v="10"/>
    <n v="166464"/>
    <d v="2025-06-24T00:00:00"/>
    <n v="6"/>
    <n v="24"/>
    <n v="2025"/>
    <x v="2"/>
    <s v="Q2"/>
    <x v="0"/>
  </r>
  <r>
    <s v="O104785"/>
    <x v="565"/>
    <x v="5"/>
    <x v="7"/>
    <x v="4"/>
    <x v="0"/>
    <n v="9"/>
    <n v="166459"/>
    <d v="2025-10-18T00:00:00"/>
    <n v="10"/>
    <n v="18"/>
    <n v="2025"/>
    <x v="9"/>
    <s v="Q4"/>
    <x v="4"/>
  </r>
  <r>
    <s v="O106300"/>
    <x v="484"/>
    <x v="4"/>
    <x v="7"/>
    <x v="0"/>
    <x v="3"/>
    <n v="10"/>
    <n v="166444"/>
    <d v="2026-01-18T00:00:00"/>
    <n v="1"/>
    <n v="18"/>
    <n v="2026"/>
    <x v="6"/>
    <s v="Q1"/>
    <x v="0"/>
  </r>
  <r>
    <s v="O102106"/>
    <x v="337"/>
    <x v="0"/>
    <x v="7"/>
    <x v="0"/>
    <x v="0"/>
    <n v="10"/>
    <n v="166211"/>
    <d v="2025-08-05T00:00:00"/>
    <n v="8"/>
    <n v="5"/>
    <n v="2025"/>
    <x v="8"/>
    <s v="Q3"/>
    <x v="0"/>
  </r>
  <r>
    <s v="O100010"/>
    <x v="6"/>
    <x v="9"/>
    <x v="4"/>
    <x v="3"/>
    <x v="1"/>
    <n v="1"/>
    <n v="166080"/>
    <d v="2025-01-01T00:00:00"/>
    <n v="1"/>
    <n v="1"/>
    <n v="2025"/>
    <x v="6"/>
    <s v="Q1"/>
    <x v="3"/>
  </r>
  <r>
    <s v="O103586"/>
    <x v="482"/>
    <x v="0"/>
    <x v="7"/>
    <x v="3"/>
    <x v="0"/>
    <n v="10"/>
    <n v="166047"/>
    <d v="2025-06-08T00:00:00"/>
    <n v="6"/>
    <n v="8"/>
    <n v="2025"/>
    <x v="2"/>
    <s v="Q2"/>
    <x v="3"/>
  </r>
  <r>
    <s v="O111289"/>
    <x v="751"/>
    <x v="9"/>
    <x v="6"/>
    <x v="3"/>
    <x v="1"/>
    <n v="6"/>
    <n v="165923"/>
    <d v="2026-11-17T00:00:00"/>
    <n v="11"/>
    <n v="17"/>
    <n v="2026"/>
    <x v="0"/>
    <s v="Q4"/>
    <x v="3"/>
  </r>
  <r>
    <s v="O108308"/>
    <x v="652"/>
    <x v="2"/>
    <x v="7"/>
    <x v="0"/>
    <x v="1"/>
    <n v="9"/>
    <n v="165871"/>
    <d v="2026-05-20T00:00:00"/>
    <n v="5"/>
    <n v="20"/>
    <n v="2026"/>
    <x v="3"/>
    <s v="Q2"/>
    <x v="0"/>
  </r>
  <r>
    <s v="O111210"/>
    <x v="327"/>
    <x v="6"/>
    <x v="7"/>
    <x v="4"/>
    <x v="3"/>
    <n v="9"/>
    <n v="165847"/>
    <d v="2026-11-13T00:00:00"/>
    <n v="11"/>
    <n v="13"/>
    <n v="2026"/>
    <x v="0"/>
    <s v="Q4"/>
    <x v="4"/>
  </r>
  <r>
    <s v="O104483"/>
    <x v="40"/>
    <x v="6"/>
    <x v="6"/>
    <x v="4"/>
    <x v="3"/>
    <n v="6"/>
    <n v="165738"/>
    <d v="2025-09-30T00:00:00"/>
    <n v="9"/>
    <n v="30"/>
    <n v="2025"/>
    <x v="1"/>
    <s v="Q3"/>
    <x v="4"/>
  </r>
  <r>
    <s v="O109948"/>
    <x v="434"/>
    <x v="2"/>
    <x v="7"/>
    <x v="2"/>
    <x v="1"/>
    <n v="9"/>
    <n v="165711"/>
    <d v="2026-08-28T00:00:00"/>
    <n v="8"/>
    <n v="28"/>
    <n v="2026"/>
    <x v="8"/>
    <s v="Q3"/>
    <x v="2"/>
  </r>
  <r>
    <s v="O101525"/>
    <x v="651"/>
    <x v="1"/>
    <x v="6"/>
    <x v="3"/>
    <x v="3"/>
    <n v="6"/>
    <n v="165696"/>
    <d v="2025-03-04T00:00:00"/>
    <n v="3"/>
    <n v="4"/>
    <n v="2025"/>
    <x v="5"/>
    <s v="Q1"/>
    <x v="3"/>
  </r>
  <r>
    <s v="O106790"/>
    <x v="752"/>
    <x v="6"/>
    <x v="6"/>
    <x v="2"/>
    <x v="0"/>
    <n v="8"/>
    <n v="165684"/>
    <d v="2026-02-17T00:00:00"/>
    <n v="2"/>
    <n v="17"/>
    <n v="2026"/>
    <x v="4"/>
    <s v="Q1"/>
    <x v="2"/>
  </r>
  <r>
    <s v="O111714"/>
    <x v="510"/>
    <x v="8"/>
    <x v="7"/>
    <x v="1"/>
    <x v="2"/>
    <n v="9"/>
    <n v="165668"/>
    <d v="2026-12-13T00:00:00"/>
    <n v="12"/>
    <n v="13"/>
    <n v="2026"/>
    <x v="7"/>
    <s v="Q4"/>
    <x v="1"/>
  </r>
  <r>
    <s v="O108151"/>
    <x v="777"/>
    <x v="5"/>
    <x v="6"/>
    <x v="3"/>
    <x v="0"/>
    <n v="8"/>
    <n v="165619"/>
    <d v="2026-11-05T00:00:00"/>
    <n v="11"/>
    <n v="5"/>
    <n v="2026"/>
    <x v="0"/>
    <s v="Q4"/>
    <x v="3"/>
  </r>
  <r>
    <s v="O104380"/>
    <x v="232"/>
    <x v="8"/>
    <x v="6"/>
    <x v="4"/>
    <x v="1"/>
    <n v="7"/>
    <n v="165510"/>
    <d v="2025-09-24T00:00:00"/>
    <n v="9"/>
    <n v="24"/>
    <n v="2025"/>
    <x v="1"/>
    <s v="Q3"/>
    <x v="4"/>
  </r>
  <r>
    <s v="O108468"/>
    <x v="19"/>
    <x v="1"/>
    <x v="6"/>
    <x v="3"/>
    <x v="0"/>
    <n v="6"/>
    <n v="165451"/>
    <d v="2026-05-30T00:00:00"/>
    <n v="5"/>
    <n v="30"/>
    <n v="2026"/>
    <x v="3"/>
    <s v="Q2"/>
    <x v="3"/>
  </r>
  <r>
    <s v="O108309"/>
    <x v="421"/>
    <x v="1"/>
    <x v="7"/>
    <x v="0"/>
    <x v="3"/>
    <n v="9"/>
    <n v="165399"/>
    <d v="2026-05-20T00:00:00"/>
    <n v="5"/>
    <n v="20"/>
    <n v="2026"/>
    <x v="3"/>
    <s v="Q2"/>
    <x v="0"/>
  </r>
  <r>
    <s v="O102852"/>
    <x v="51"/>
    <x v="10"/>
    <x v="7"/>
    <x v="0"/>
    <x v="3"/>
    <n v="10"/>
    <n v="165393"/>
    <d v="2025-06-23T00:00:00"/>
    <n v="6"/>
    <n v="23"/>
    <n v="2025"/>
    <x v="2"/>
    <m/>
    <x v="0"/>
  </r>
  <r>
    <s v="O108227"/>
    <x v="224"/>
    <x v="9"/>
    <x v="7"/>
    <x v="2"/>
    <x v="3"/>
    <n v="10"/>
    <n v="165351"/>
    <d v="2026-05-15T00:00:00"/>
    <n v="5"/>
    <n v="15"/>
    <n v="2026"/>
    <x v="3"/>
    <s v="Q2"/>
    <x v="2"/>
  </r>
  <r>
    <s v="O101065"/>
    <x v="503"/>
    <x v="6"/>
    <x v="6"/>
    <x v="0"/>
    <x v="2"/>
    <n v="6"/>
    <n v="165299"/>
    <d v="2025-06-03T00:00:00"/>
    <n v="6"/>
    <n v="3"/>
    <n v="2025"/>
    <x v="2"/>
    <s v="Q2"/>
    <x v="0"/>
  </r>
  <r>
    <s v="O101778"/>
    <x v="28"/>
    <x v="10"/>
    <x v="6"/>
    <x v="4"/>
    <x v="1"/>
    <n v="7"/>
    <n v="165289"/>
    <d v="2025-04-18T00:00:00"/>
    <n v="4"/>
    <n v="18"/>
    <n v="2025"/>
    <x v="11"/>
    <s v="Q2"/>
    <x v="4"/>
  </r>
  <r>
    <s v="O104505"/>
    <x v="520"/>
    <x v="1"/>
    <x v="6"/>
    <x v="4"/>
    <x v="0"/>
    <n v="8"/>
    <n v="165076"/>
    <d v="2025-01-10T00:00:00"/>
    <n v="1"/>
    <n v="10"/>
    <n v="2025"/>
    <x v="6"/>
    <s v="Q1"/>
    <x v="4"/>
  </r>
  <r>
    <s v="O110568"/>
    <x v="288"/>
    <x v="5"/>
    <x v="6"/>
    <x v="4"/>
    <x v="1"/>
    <n v="8"/>
    <n v="165070"/>
    <d v="2026-04-10T00:00:00"/>
    <n v="4"/>
    <n v="10"/>
    <n v="2026"/>
    <x v="11"/>
    <s v="Q2"/>
    <x v="4"/>
  </r>
  <r>
    <s v="O108023"/>
    <x v="732"/>
    <x v="2"/>
    <x v="4"/>
    <x v="0"/>
    <x v="0"/>
    <n v="1"/>
    <n v="164978"/>
    <d v="2026-03-05T00:00:00"/>
    <n v="3"/>
    <n v="5"/>
    <n v="2026"/>
    <x v="5"/>
    <s v="Q1"/>
    <x v="0"/>
  </r>
  <r>
    <s v="O103271"/>
    <x v="87"/>
    <x v="5"/>
    <x v="7"/>
    <x v="2"/>
    <x v="3"/>
    <n v="9"/>
    <n v="164799"/>
    <d v="2025-07-18T00:00:00"/>
    <n v="7"/>
    <n v="18"/>
    <n v="2025"/>
    <x v="10"/>
    <s v="Q3"/>
    <x v="2"/>
  </r>
  <r>
    <s v="O100527"/>
    <x v="247"/>
    <x v="8"/>
    <x v="7"/>
    <x v="4"/>
    <x v="0"/>
    <n v="10"/>
    <n v="164638"/>
    <d v="2025-01-02T00:00:00"/>
    <n v="1"/>
    <n v="2"/>
    <n v="2025"/>
    <x v="6"/>
    <s v="Q1"/>
    <x v="4"/>
  </r>
  <r>
    <s v="O111219"/>
    <x v="27"/>
    <x v="9"/>
    <x v="6"/>
    <x v="2"/>
    <x v="2"/>
    <n v="7"/>
    <n v="164630"/>
    <d v="2026-11-13T00:00:00"/>
    <n v="11"/>
    <n v="13"/>
    <n v="2026"/>
    <x v="0"/>
    <s v="Q4"/>
    <x v="2"/>
  </r>
  <r>
    <s v="O107693"/>
    <x v="133"/>
    <x v="9"/>
    <x v="7"/>
    <x v="0"/>
    <x v="0"/>
    <n v="9"/>
    <n v="164472"/>
    <d v="2026-04-13T00:00:00"/>
    <n v="4"/>
    <n v="13"/>
    <n v="2026"/>
    <x v="11"/>
    <s v="Q2"/>
    <x v="0"/>
  </r>
  <r>
    <s v="O102604"/>
    <x v="227"/>
    <x v="10"/>
    <x v="7"/>
    <x v="4"/>
    <x v="0"/>
    <n v="9"/>
    <n v="164471"/>
    <d v="2025-08-06T00:00:00"/>
    <n v="8"/>
    <n v="6"/>
    <n v="2025"/>
    <x v="8"/>
    <s v="Q3"/>
    <x v="4"/>
  </r>
  <r>
    <s v="O100287"/>
    <x v="660"/>
    <x v="0"/>
    <x v="6"/>
    <x v="4"/>
    <x v="1"/>
    <n v="6"/>
    <n v="164332"/>
    <d v="2025-01-18T00:00:00"/>
    <n v="1"/>
    <n v="18"/>
    <n v="2025"/>
    <x v="6"/>
    <s v="Q1"/>
    <x v="4"/>
  </r>
  <r>
    <s v="O107115"/>
    <x v="474"/>
    <x v="9"/>
    <x v="6"/>
    <x v="1"/>
    <x v="2"/>
    <n v="7"/>
    <n v="164153"/>
    <d v="2026-09-03T00:00:00"/>
    <n v="9"/>
    <n v="3"/>
    <n v="2026"/>
    <x v="1"/>
    <s v="Q3"/>
    <x v="1"/>
  </r>
  <r>
    <s v="O109064"/>
    <x v="771"/>
    <x v="3"/>
    <x v="7"/>
    <x v="3"/>
    <x v="2"/>
    <n v="10"/>
    <n v="164135"/>
    <d v="2026-05-07T00:00:00"/>
    <n v="5"/>
    <n v="7"/>
    <n v="2026"/>
    <x v="3"/>
    <s v="Q2"/>
    <x v="3"/>
  </r>
  <r>
    <s v="O107363"/>
    <x v="666"/>
    <x v="2"/>
    <x v="6"/>
    <x v="2"/>
    <x v="2"/>
    <n v="6"/>
    <n v="163921"/>
    <d v="2026-03-24T00:00:00"/>
    <n v="3"/>
    <n v="24"/>
    <n v="2026"/>
    <x v="5"/>
    <m/>
    <x v="2"/>
  </r>
  <r>
    <s v="O105824"/>
    <x v="154"/>
    <x v="5"/>
    <x v="4"/>
    <x v="3"/>
    <x v="1"/>
    <n v="1"/>
    <n v="163855"/>
    <d v="2025-12-20T00:00:00"/>
    <n v="12"/>
    <n v="20"/>
    <n v="2025"/>
    <x v="7"/>
    <s v="Q4"/>
    <x v="3"/>
  </r>
  <r>
    <s v="O109880"/>
    <x v="326"/>
    <x v="6"/>
    <x v="6"/>
    <x v="2"/>
    <x v="0"/>
    <n v="6"/>
    <n v="163748"/>
    <d v="2026-08-24T00:00:00"/>
    <n v="8"/>
    <n v="24"/>
    <n v="2026"/>
    <x v="8"/>
    <s v="Q3"/>
    <x v="2"/>
  </r>
  <r>
    <s v="O100427"/>
    <x v="127"/>
    <x v="0"/>
    <x v="6"/>
    <x v="4"/>
    <x v="3"/>
    <n v="6"/>
    <n v="163709"/>
    <d v="2025-01-26T00:00:00"/>
    <n v="1"/>
    <n v="26"/>
    <n v="2025"/>
    <x v="6"/>
    <s v="Q1"/>
    <x v="4"/>
  </r>
  <r>
    <s v="O105510"/>
    <x v="740"/>
    <x v="6"/>
    <x v="6"/>
    <x v="2"/>
    <x v="0"/>
    <n v="8"/>
    <n v="163673"/>
    <d v="2025-01-12T00:00:00"/>
    <n v="1"/>
    <n v="12"/>
    <n v="2025"/>
    <x v="6"/>
    <s v="Q1"/>
    <x v="2"/>
  </r>
  <r>
    <s v="O107539"/>
    <x v="596"/>
    <x v="9"/>
    <x v="7"/>
    <x v="4"/>
    <x v="0"/>
    <n v="10"/>
    <n v="163604"/>
    <d v="2026-03-04T00:00:00"/>
    <n v="3"/>
    <n v="4"/>
    <n v="2026"/>
    <x v="5"/>
    <m/>
    <x v="4"/>
  </r>
  <r>
    <s v="O102301"/>
    <x v="61"/>
    <x v="2"/>
    <x v="4"/>
    <x v="2"/>
    <x v="2"/>
    <n v="1"/>
    <n v="163578"/>
    <d v="2025-05-20T00:00:00"/>
    <n v="5"/>
    <n v="20"/>
    <n v="2025"/>
    <x v="3"/>
    <s v="Q2"/>
    <x v="2"/>
  </r>
  <r>
    <s v="O106503"/>
    <x v="753"/>
    <x v="5"/>
    <x v="6"/>
    <x v="2"/>
    <x v="1"/>
    <n v="8"/>
    <n v="163556"/>
    <d v="2026-01-31T00:00:00"/>
    <n v="1"/>
    <n v="31"/>
    <n v="2026"/>
    <x v="6"/>
    <s v="Q1"/>
    <x v="2"/>
  </r>
  <r>
    <s v="O106856"/>
    <x v="532"/>
    <x v="1"/>
    <x v="7"/>
    <x v="0"/>
    <x v="0"/>
    <n v="10"/>
    <n v="163520"/>
    <d v="2026-02-21T00:00:00"/>
    <n v="2"/>
    <n v="21"/>
    <n v="2026"/>
    <x v="4"/>
    <s v="Q1"/>
    <x v="0"/>
  </r>
  <r>
    <s v="O101947"/>
    <x v="350"/>
    <x v="4"/>
    <x v="6"/>
    <x v="1"/>
    <x v="0"/>
    <n v="6"/>
    <n v="163501"/>
    <d v="2025-04-29T00:00:00"/>
    <n v="4"/>
    <n v="29"/>
    <n v="2025"/>
    <x v="11"/>
    <s v="Q2"/>
    <x v="1"/>
  </r>
  <r>
    <s v="O100107"/>
    <x v="255"/>
    <x v="3"/>
    <x v="7"/>
    <x v="0"/>
    <x v="1"/>
    <n v="10"/>
    <n v="163425"/>
    <d v="2025-07-01T00:00:00"/>
    <n v="7"/>
    <n v="1"/>
    <n v="2025"/>
    <x v="10"/>
    <s v="Q3"/>
    <x v="0"/>
  </r>
  <r>
    <s v="O106713"/>
    <x v="337"/>
    <x v="6"/>
    <x v="4"/>
    <x v="4"/>
    <x v="3"/>
    <n v="1"/>
    <n v="163386"/>
    <d v="2026-12-02T00:00:00"/>
    <n v="12"/>
    <n v="2"/>
    <n v="2026"/>
    <x v="7"/>
    <s v="Q4"/>
    <x v="4"/>
  </r>
  <r>
    <s v="O109125"/>
    <x v="45"/>
    <x v="6"/>
    <x v="7"/>
    <x v="1"/>
    <x v="3"/>
    <n v="9"/>
    <n v="163384"/>
    <d v="2026-09-07T00:00:00"/>
    <n v="9"/>
    <n v="7"/>
    <n v="2026"/>
    <x v="1"/>
    <s v="Q3"/>
    <x v="1"/>
  </r>
  <r>
    <s v="O105563"/>
    <x v="672"/>
    <x v="10"/>
    <x v="7"/>
    <x v="2"/>
    <x v="0"/>
    <n v="9"/>
    <n v="163299"/>
    <d v="2025-04-12T00:00:00"/>
    <n v="4"/>
    <n v="12"/>
    <n v="2025"/>
    <x v="11"/>
    <s v="Q2"/>
    <x v="2"/>
  </r>
  <r>
    <s v="O102573"/>
    <x v="468"/>
    <x v="5"/>
    <x v="7"/>
    <x v="4"/>
    <x v="2"/>
    <n v="9"/>
    <n v="163299"/>
    <d v="2025-06-06T00:00:00"/>
    <n v="6"/>
    <n v="6"/>
    <n v="2025"/>
    <x v="2"/>
    <s v="Q2"/>
    <x v="4"/>
  </r>
  <r>
    <s v="O101984"/>
    <x v="564"/>
    <x v="3"/>
    <x v="6"/>
    <x v="2"/>
    <x v="0"/>
    <n v="8"/>
    <n v="163242"/>
    <d v="2025-01-05T00:00:00"/>
    <n v="1"/>
    <n v="5"/>
    <n v="2025"/>
    <x v="6"/>
    <s v="Q1"/>
    <x v="2"/>
  </r>
  <r>
    <s v="O108316"/>
    <x v="589"/>
    <x v="4"/>
    <x v="7"/>
    <x v="0"/>
    <x v="1"/>
    <n v="10"/>
    <n v="163155"/>
    <d v="2026-05-21T00:00:00"/>
    <n v="5"/>
    <n v="21"/>
    <n v="2026"/>
    <x v="3"/>
    <s v="Q2"/>
    <x v="0"/>
  </r>
  <r>
    <s v="O101228"/>
    <x v="264"/>
    <x v="4"/>
    <x v="7"/>
    <x v="1"/>
    <x v="2"/>
    <n v="9"/>
    <n v="163116"/>
    <d v="2025-03-16T00:00:00"/>
    <n v="3"/>
    <n v="16"/>
    <n v="2025"/>
    <x v="5"/>
    <s v="Q1"/>
    <x v="1"/>
  </r>
  <r>
    <s v="O104974"/>
    <x v="74"/>
    <x v="5"/>
    <x v="4"/>
    <x v="2"/>
    <x v="1"/>
    <n v="1"/>
    <n v="163024"/>
    <d v="2025-10-30T00:00:00"/>
    <n v="10"/>
    <n v="30"/>
    <n v="2025"/>
    <x v="9"/>
    <s v="Q4"/>
    <x v="2"/>
  </r>
  <r>
    <s v="O110224"/>
    <x v="737"/>
    <x v="5"/>
    <x v="7"/>
    <x v="2"/>
    <x v="2"/>
    <n v="9"/>
    <n v="163005"/>
    <d v="2026-09-14T00:00:00"/>
    <n v="9"/>
    <n v="14"/>
    <n v="2026"/>
    <x v="1"/>
    <s v="Q3"/>
    <x v="2"/>
  </r>
  <r>
    <s v="O110216"/>
    <x v="493"/>
    <x v="9"/>
    <x v="4"/>
    <x v="1"/>
    <x v="2"/>
    <n v="1"/>
    <n v="163002"/>
    <d v="2026-09-13T00:00:00"/>
    <n v="9"/>
    <n v="13"/>
    <n v="2026"/>
    <x v="1"/>
    <s v="Q3"/>
    <x v="1"/>
  </r>
  <r>
    <s v="O105695"/>
    <x v="197"/>
    <x v="3"/>
    <x v="4"/>
    <x v="2"/>
    <x v="1"/>
    <n v="1"/>
    <n v="162946"/>
    <d v="2025-12-12T00:00:00"/>
    <n v="12"/>
    <n v="12"/>
    <n v="2025"/>
    <x v="7"/>
    <s v="Q4"/>
    <x v="2"/>
  </r>
  <r>
    <s v="O105049"/>
    <x v="710"/>
    <x v="0"/>
    <x v="7"/>
    <x v="3"/>
    <x v="1"/>
    <n v="9"/>
    <n v="162945"/>
    <d v="2025-03-11T00:00:00"/>
    <n v="3"/>
    <n v="11"/>
    <n v="2025"/>
    <x v="5"/>
    <s v="Q1"/>
    <x v="3"/>
  </r>
  <r>
    <s v="O106629"/>
    <x v="8"/>
    <x v="0"/>
    <x v="6"/>
    <x v="4"/>
    <x v="2"/>
    <n v="6"/>
    <n v="162928"/>
    <d v="2026-07-02T00:00:00"/>
    <n v="7"/>
    <n v="2"/>
    <n v="2026"/>
    <x v="10"/>
    <s v="Q3"/>
    <x v="4"/>
  </r>
  <r>
    <s v="O105145"/>
    <x v="185"/>
    <x v="3"/>
    <x v="7"/>
    <x v="0"/>
    <x v="0"/>
    <n v="10"/>
    <n v="162909"/>
    <d v="2025-09-11T00:00:00"/>
    <n v="9"/>
    <n v="11"/>
    <n v="2025"/>
    <x v="1"/>
    <s v="Q3"/>
    <x v="0"/>
  </r>
  <r>
    <s v="O111385"/>
    <x v="441"/>
    <x v="8"/>
    <x v="7"/>
    <x v="0"/>
    <x v="1"/>
    <n v="9"/>
    <n v="162863"/>
    <d v="2026-11-23T00:00:00"/>
    <n v="11"/>
    <n v="23"/>
    <n v="2026"/>
    <x v="0"/>
    <s v="Q4"/>
    <x v="0"/>
  </r>
  <r>
    <s v="O111765"/>
    <x v="527"/>
    <x v="1"/>
    <x v="6"/>
    <x v="1"/>
    <x v="0"/>
    <n v="8"/>
    <n v="162836"/>
    <d v="2026-12-16T00:00:00"/>
    <n v="12"/>
    <n v="16"/>
    <n v="2026"/>
    <x v="7"/>
    <m/>
    <x v="1"/>
  </r>
  <r>
    <s v="O110518"/>
    <x v="145"/>
    <x v="4"/>
    <x v="6"/>
    <x v="3"/>
    <x v="0"/>
    <n v="8"/>
    <n v="162712"/>
    <d v="2026-01-10T00:00:00"/>
    <n v="1"/>
    <n v="10"/>
    <n v="2026"/>
    <x v="6"/>
    <m/>
    <x v="3"/>
  </r>
  <r>
    <s v="O101282"/>
    <x v="417"/>
    <x v="10"/>
    <x v="4"/>
    <x v="3"/>
    <x v="2"/>
    <n v="1"/>
    <n v="162611"/>
    <d v="2025-03-19T00:00:00"/>
    <n v="3"/>
    <n v="19"/>
    <n v="2025"/>
    <x v="5"/>
    <s v="Q1"/>
    <x v="3"/>
  </r>
  <r>
    <s v="O108638"/>
    <x v="496"/>
    <x v="2"/>
    <x v="6"/>
    <x v="6"/>
    <x v="1"/>
    <n v="6"/>
    <n v="162455"/>
    <d v="2026-09-06T00:00:00"/>
    <n v="9"/>
    <n v="6"/>
    <n v="2026"/>
    <x v="1"/>
    <s v="Q3"/>
    <x v="4"/>
  </r>
  <r>
    <s v="O105866"/>
    <x v="797"/>
    <x v="5"/>
    <x v="6"/>
    <x v="3"/>
    <x v="1"/>
    <n v="8"/>
    <n v="162326"/>
    <d v="2025-12-23T00:00:00"/>
    <n v="12"/>
    <n v="23"/>
    <n v="2025"/>
    <x v="7"/>
    <s v="Q4"/>
    <x v="3"/>
  </r>
  <r>
    <s v="O107354"/>
    <x v="496"/>
    <x v="6"/>
    <x v="6"/>
    <x v="1"/>
    <x v="1"/>
    <n v="8"/>
    <n v="162092"/>
    <d v="2026-03-23T00:00:00"/>
    <n v="3"/>
    <n v="23"/>
    <n v="2026"/>
    <x v="5"/>
    <s v="Q1"/>
    <x v="1"/>
  </r>
  <r>
    <s v="O104118"/>
    <x v="590"/>
    <x v="10"/>
    <x v="7"/>
    <x v="3"/>
    <x v="2"/>
    <n v="9"/>
    <n v="161942"/>
    <d v="2025-08-09T00:00:00"/>
    <n v="8"/>
    <n v="9"/>
    <n v="2025"/>
    <x v="8"/>
    <s v="Q3"/>
    <x v="3"/>
  </r>
  <r>
    <s v="O103228"/>
    <x v="391"/>
    <x v="4"/>
    <x v="7"/>
    <x v="3"/>
    <x v="0"/>
    <n v="10"/>
    <n v="161828"/>
    <d v="2025-07-16T00:00:00"/>
    <n v="7"/>
    <n v="16"/>
    <n v="2025"/>
    <x v="10"/>
    <s v="Q3"/>
    <x v="3"/>
  </r>
  <r>
    <s v="O101531"/>
    <x v="342"/>
    <x v="8"/>
    <x v="7"/>
    <x v="4"/>
    <x v="2"/>
    <n v="9"/>
    <n v="161824"/>
    <d v="2025-03-04T00:00:00"/>
    <n v="3"/>
    <n v="4"/>
    <n v="2025"/>
    <x v="5"/>
    <s v="Q1"/>
    <x v="4"/>
  </r>
  <r>
    <s v="O111434"/>
    <x v="152"/>
    <x v="2"/>
    <x v="6"/>
    <x v="2"/>
    <x v="2"/>
    <n v="6"/>
    <n v="161794"/>
    <d v="2026-11-26T00:00:00"/>
    <n v="11"/>
    <n v="26"/>
    <n v="2026"/>
    <x v="0"/>
    <s v="Q4"/>
    <x v="2"/>
  </r>
  <r>
    <s v="O109992"/>
    <x v="97"/>
    <x v="5"/>
    <x v="7"/>
    <x v="3"/>
    <x v="2"/>
    <n v="10"/>
    <n v="161752"/>
    <d v="2026-08-31T00:00:00"/>
    <n v="8"/>
    <n v="31"/>
    <n v="2026"/>
    <x v="8"/>
    <s v="Q3"/>
    <x v="3"/>
  </r>
  <r>
    <s v="O110549"/>
    <x v="545"/>
    <x v="10"/>
    <x v="7"/>
    <x v="3"/>
    <x v="0"/>
    <n v="9"/>
    <n v="161711"/>
    <d v="2026-03-10T00:00:00"/>
    <n v="3"/>
    <n v="10"/>
    <n v="2026"/>
    <x v="5"/>
    <s v="Q1"/>
    <x v="3"/>
  </r>
  <r>
    <s v="O101660"/>
    <x v="342"/>
    <x v="0"/>
    <x v="6"/>
    <x v="3"/>
    <x v="2"/>
    <n v="7"/>
    <n v="161657"/>
    <d v="2025-11-04T00:00:00"/>
    <n v="11"/>
    <n v="4"/>
    <n v="2025"/>
    <x v="0"/>
    <s v="Q4"/>
    <x v="3"/>
  </r>
  <r>
    <s v="O101444"/>
    <x v="124"/>
    <x v="8"/>
    <x v="6"/>
    <x v="2"/>
    <x v="3"/>
    <n v="6"/>
    <n v="161611"/>
    <d v="2025-03-29T00:00:00"/>
    <n v="3"/>
    <n v="29"/>
    <n v="2025"/>
    <x v="5"/>
    <s v="Q1"/>
    <x v="2"/>
  </r>
  <r>
    <s v="O103121"/>
    <x v="138"/>
    <x v="2"/>
    <x v="7"/>
    <x v="1"/>
    <x v="1"/>
    <n v="9"/>
    <n v="161539"/>
    <d v="2025-09-07T00:00:00"/>
    <n v="9"/>
    <n v="7"/>
    <n v="2025"/>
    <x v="1"/>
    <s v="Q3"/>
    <x v="1"/>
  </r>
  <r>
    <s v="O102268"/>
    <x v="348"/>
    <x v="9"/>
    <x v="4"/>
    <x v="4"/>
    <x v="1"/>
    <n v="1"/>
    <n v="161520"/>
    <d v="2025-05-18T00:00:00"/>
    <n v="5"/>
    <n v="18"/>
    <n v="2025"/>
    <x v="3"/>
    <s v="Q2"/>
    <x v="4"/>
  </r>
  <r>
    <s v="O100925"/>
    <x v="594"/>
    <x v="5"/>
    <x v="6"/>
    <x v="4"/>
    <x v="3"/>
    <n v="7"/>
    <n v="161444"/>
    <d v="2025-02-26T00:00:00"/>
    <n v="2"/>
    <n v="26"/>
    <n v="2025"/>
    <x v="4"/>
    <s v="Q1"/>
    <x v="4"/>
  </r>
  <r>
    <s v="O100045"/>
    <x v="693"/>
    <x v="4"/>
    <x v="7"/>
    <x v="1"/>
    <x v="1"/>
    <n v="10"/>
    <n v="161429"/>
    <d v="2025-03-01T00:00:00"/>
    <n v="3"/>
    <n v="1"/>
    <n v="2025"/>
    <x v="5"/>
    <s v="Q1"/>
    <x v="1"/>
  </r>
  <r>
    <s v="O110555"/>
    <x v="624"/>
    <x v="0"/>
    <x v="4"/>
    <x v="4"/>
    <x v="2"/>
    <n v="1"/>
    <n v="161375"/>
    <d v="2026-04-10T00:00:00"/>
    <n v="4"/>
    <n v="10"/>
    <n v="2026"/>
    <x v="11"/>
    <s v="Q2"/>
    <x v="4"/>
  </r>
  <r>
    <s v="O108081"/>
    <x v="526"/>
    <x v="6"/>
    <x v="7"/>
    <x v="1"/>
    <x v="0"/>
    <n v="9"/>
    <n v="161360"/>
    <d v="2026-06-05T00:00:00"/>
    <n v="6"/>
    <n v="5"/>
    <n v="2026"/>
    <x v="2"/>
    <s v="Q2"/>
    <x v="1"/>
  </r>
  <r>
    <s v="O101588"/>
    <x v="684"/>
    <x v="1"/>
    <x v="7"/>
    <x v="4"/>
    <x v="3"/>
    <n v="10"/>
    <n v="161303"/>
    <d v="2025-07-04T00:00:00"/>
    <n v="7"/>
    <n v="4"/>
    <n v="2025"/>
    <x v="10"/>
    <s v="Q3"/>
    <x v="4"/>
  </r>
  <r>
    <s v="O108788"/>
    <x v="774"/>
    <x v="9"/>
    <x v="4"/>
    <x v="2"/>
    <x v="1"/>
    <n v="1"/>
    <n v="161235"/>
    <d v="2026-06-18T00:00:00"/>
    <n v="6"/>
    <n v="18"/>
    <n v="2026"/>
    <x v="2"/>
    <s v="Q2"/>
    <x v="2"/>
  </r>
  <r>
    <s v="O101379"/>
    <x v="304"/>
    <x v="3"/>
    <x v="7"/>
    <x v="1"/>
    <x v="3"/>
    <n v="9"/>
    <n v="161214"/>
    <d v="2025-03-25T00:00:00"/>
    <n v="3"/>
    <n v="25"/>
    <n v="2025"/>
    <x v="5"/>
    <s v="Q1"/>
    <x v="1"/>
  </r>
  <r>
    <s v="O103879"/>
    <x v="294"/>
    <x v="1"/>
    <x v="6"/>
    <x v="0"/>
    <x v="1"/>
    <n v="6"/>
    <n v="161019"/>
    <d v="2025-08-24T00:00:00"/>
    <n v="8"/>
    <n v="24"/>
    <n v="2025"/>
    <x v="8"/>
    <s v="Q3"/>
    <x v="0"/>
  </r>
  <r>
    <s v="O110167"/>
    <x v="210"/>
    <x v="2"/>
    <x v="7"/>
    <x v="4"/>
    <x v="3"/>
    <n v="10"/>
    <n v="160939"/>
    <d v="2026-10-09T00:00:00"/>
    <n v="10"/>
    <n v="9"/>
    <n v="2026"/>
    <x v="9"/>
    <s v="Q4"/>
    <x v="4"/>
  </r>
  <r>
    <s v="O110753"/>
    <x v="139"/>
    <x v="9"/>
    <x v="6"/>
    <x v="8"/>
    <x v="3"/>
    <n v="7"/>
    <n v="160634"/>
    <d v="2026-10-16T00:00:00"/>
    <n v="10"/>
    <n v="16"/>
    <n v="2026"/>
    <x v="9"/>
    <s v="Q4"/>
    <x v="2"/>
  </r>
  <r>
    <s v="O108730"/>
    <x v="242"/>
    <x v="9"/>
    <x v="7"/>
    <x v="1"/>
    <x v="3"/>
    <n v="9"/>
    <n v="160378"/>
    <d v="2026-06-15T00:00:00"/>
    <n v="6"/>
    <n v="15"/>
    <n v="2026"/>
    <x v="2"/>
    <s v="Q2"/>
    <x v="1"/>
  </r>
  <r>
    <s v="O105674"/>
    <x v="315"/>
    <x v="2"/>
    <x v="7"/>
    <x v="2"/>
    <x v="1"/>
    <n v="9"/>
    <n v="160377"/>
    <d v="2025-11-12T00:00:00"/>
    <n v="11"/>
    <n v="12"/>
    <n v="2025"/>
    <x v="0"/>
    <s v="Q4"/>
    <x v="2"/>
  </r>
  <r>
    <s v="O100269"/>
    <x v="393"/>
    <x v="10"/>
    <x v="7"/>
    <x v="0"/>
    <x v="2"/>
    <n v="10"/>
    <n v="160356"/>
    <d v="2025-01-17T00:00:00"/>
    <n v="1"/>
    <n v="17"/>
    <n v="2025"/>
    <x v="6"/>
    <s v="Q1"/>
    <x v="0"/>
  </r>
  <r>
    <s v="O108919"/>
    <x v="405"/>
    <x v="4"/>
    <x v="6"/>
    <x v="4"/>
    <x v="1"/>
    <n v="7"/>
    <n v="160292"/>
    <d v="2026-06-26T00:00:00"/>
    <n v="6"/>
    <n v="26"/>
    <n v="2026"/>
    <x v="2"/>
    <s v="Q2"/>
    <x v="4"/>
  </r>
  <r>
    <s v="O101653"/>
    <x v="651"/>
    <x v="8"/>
    <x v="7"/>
    <x v="3"/>
    <x v="0"/>
    <n v="9"/>
    <n v="160248"/>
    <d v="2025-11-04T00:00:00"/>
    <n v="11"/>
    <n v="4"/>
    <n v="2025"/>
    <x v="0"/>
    <s v="Q4"/>
    <x v="3"/>
  </r>
  <r>
    <s v="O108160"/>
    <x v="156"/>
    <x v="5"/>
    <x v="4"/>
    <x v="2"/>
    <x v="0"/>
    <n v="1"/>
    <n v="160108"/>
    <d v="2026-11-05T00:00:00"/>
    <n v="11"/>
    <n v="5"/>
    <n v="2026"/>
    <x v="0"/>
    <s v="Q4"/>
    <x v="2"/>
  </r>
  <r>
    <s v="O104684"/>
    <x v="310"/>
    <x v="8"/>
    <x v="7"/>
    <x v="0"/>
    <x v="3"/>
    <n v="9"/>
    <n v="160063"/>
    <d v="2025-12-10T00:00:00"/>
    <n v="12"/>
    <n v="10"/>
    <n v="2025"/>
    <x v="7"/>
    <s v="Q4"/>
    <x v="0"/>
  </r>
  <r>
    <s v="O105190"/>
    <x v="249"/>
    <x v="2"/>
    <x v="7"/>
    <x v="0"/>
    <x v="1"/>
    <n v="10"/>
    <n v="159871"/>
    <d v="2025-12-11T00:00:00"/>
    <n v="12"/>
    <n v="11"/>
    <n v="2025"/>
    <x v="7"/>
    <s v="Q4"/>
    <x v="0"/>
  </r>
  <r>
    <s v="O111444"/>
    <x v="336"/>
    <x v="3"/>
    <x v="6"/>
    <x v="3"/>
    <x v="1"/>
    <n v="6"/>
    <n v="159740"/>
    <d v="2026-11-27T00:00:00"/>
    <n v="11"/>
    <n v="27"/>
    <n v="2026"/>
    <x v="0"/>
    <s v="Q4"/>
    <x v="3"/>
  </r>
  <r>
    <s v="O104355"/>
    <x v="775"/>
    <x v="8"/>
    <x v="6"/>
    <x v="3"/>
    <x v="2"/>
    <n v="6"/>
    <n v="159625"/>
    <d v="2025-09-22T00:00:00"/>
    <n v="9"/>
    <n v="22"/>
    <n v="2025"/>
    <x v="1"/>
    <s v="Q3"/>
    <x v="3"/>
  </r>
  <r>
    <s v="O106387"/>
    <x v="587"/>
    <x v="8"/>
    <x v="6"/>
    <x v="1"/>
    <x v="1"/>
    <n v="6"/>
    <n v="159595"/>
    <d v="2026-01-23T00:00:00"/>
    <n v="1"/>
    <n v="23"/>
    <n v="2026"/>
    <x v="6"/>
    <m/>
    <x v="1"/>
  </r>
  <r>
    <s v="O100320"/>
    <x v="131"/>
    <x v="5"/>
    <x v="7"/>
    <x v="4"/>
    <x v="0"/>
    <n v="10"/>
    <n v="159590"/>
    <d v="2025-01-20T00:00:00"/>
    <n v="1"/>
    <n v="20"/>
    <n v="2025"/>
    <x v="6"/>
    <s v="Q1"/>
    <x v="4"/>
  </r>
  <r>
    <s v="O103692"/>
    <x v="404"/>
    <x v="9"/>
    <x v="6"/>
    <x v="2"/>
    <x v="0"/>
    <n v="7"/>
    <n v="159585"/>
    <d v="2025-08-13T00:00:00"/>
    <n v="8"/>
    <n v="13"/>
    <n v="2025"/>
    <x v="8"/>
    <s v="Q3"/>
    <x v="2"/>
  </r>
  <r>
    <s v="O109810"/>
    <x v="633"/>
    <x v="6"/>
    <x v="6"/>
    <x v="1"/>
    <x v="2"/>
    <n v="6"/>
    <n v="159577"/>
    <d v="2026-08-19T00:00:00"/>
    <n v="8"/>
    <n v="19"/>
    <n v="2026"/>
    <x v="8"/>
    <s v="Q3"/>
    <x v="1"/>
  </r>
  <r>
    <s v="O103940"/>
    <x v="40"/>
    <x v="4"/>
    <x v="7"/>
    <x v="1"/>
    <x v="3"/>
    <n v="10"/>
    <n v="159552"/>
    <d v="2025-08-28T00:00:00"/>
    <n v="8"/>
    <n v="28"/>
    <n v="2025"/>
    <x v="8"/>
    <s v="Q3"/>
    <x v="1"/>
  </r>
  <r>
    <s v="O107287"/>
    <x v="709"/>
    <x v="3"/>
    <x v="6"/>
    <x v="3"/>
    <x v="0"/>
    <n v="8"/>
    <n v="159464"/>
    <d v="2026-03-19T00:00:00"/>
    <n v="3"/>
    <n v="19"/>
    <n v="2026"/>
    <x v="5"/>
    <s v="Q1"/>
    <x v="3"/>
  </r>
  <r>
    <s v="O103309"/>
    <x v="193"/>
    <x v="0"/>
    <x v="7"/>
    <x v="2"/>
    <x v="0"/>
    <n v="10"/>
    <n v="159404"/>
    <d v="2025-07-20T00:00:00"/>
    <n v="7"/>
    <n v="20"/>
    <n v="2025"/>
    <x v="10"/>
    <s v="Q3"/>
    <x v="2"/>
  </r>
  <r>
    <s v="O107412"/>
    <x v="469"/>
    <x v="3"/>
    <x v="6"/>
    <x v="3"/>
    <x v="2"/>
    <n v="6"/>
    <n v="159339"/>
    <d v="2026-03-27T00:00:00"/>
    <n v="3"/>
    <n v="27"/>
    <n v="2026"/>
    <x v="5"/>
    <s v="Q1"/>
    <x v="3"/>
  </r>
  <r>
    <s v="O107346"/>
    <x v="28"/>
    <x v="8"/>
    <x v="7"/>
    <x v="3"/>
    <x v="1"/>
    <n v="10"/>
    <n v="159289"/>
    <d v="2026-03-23T00:00:00"/>
    <n v="3"/>
    <n v="23"/>
    <n v="2026"/>
    <x v="5"/>
    <s v="Q1"/>
    <x v="3"/>
  </r>
  <r>
    <s v="O100638"/>
    <x v="713"/>
    <x v="3"/>
    <x v="7"/>
    <x v="2"/>
    <x v="0"/>
    <n v="9"/>
    <n v="159260"/>
    <d v="2025-08-02T00:00:00"/>
    <n v="8"/>
    <n v="2"/>
    <n v="2025"/>
    <x v="8"/>
    <s v="Q3"/>
    <x v="2"/>
  </r>
  <r>
    <s v="O100294"/>
    <x v="713"/>
    <x v="10"/>
    <x v="7"/>
    <x v="1"/>
    <x v="2"/>
    <n v="10"/>
    <n v="159188"/>
    <d v="2025-01-18T00:00:00"/>
    <n v="1"/>
    <n v="18"/>
    <n v="2025"/>
    <x v="6"/>
    <s v="Q1"/>
    <x v="1"/>
  </r>
  <r>
    <s v="O104403"/>
    <x v="206"/>
    <x v="4"/>
    <x v="7"/>
    <x v="1"/>
    <x v="3"/>
    <n v="9"/>
    <n v="159149"/>
    <d v="2025-09-25T00:00:00"/>
    <n v="9"/>
    <n v="25"/>
    <n v="2025"/>
    <x v="1"/>
    <s v="Q3"/>
    <x v="1"/>
  </r>
  <r>
    <s v="O104032"/>
    <x v="70"/>
    <x v="0"/>
    <x v="7"/>
    <x v="2"/>
    <x v="3"/>
    <n v="10"/>
    <n v="159093"/>
    <d v="2025-02-09T00:00:00"/>
    <n v="2"/>
    <n v="9"/>
    <n v="2025"/>
    <x v="4"/>
    <s v="Q1"/>
    <x v="2"/>
  </r>
  <r>
    <s v="O105767"/>
    <x v="55"/>
    <x v="8"/>
    <x v="7"/>
    <x v="3"/>
    <x v="0"/>
    <n v="9"/>
    <n v="159036"/>
    <d v="2025-12-17T00:00:00"/>
    <n v="12"/>
    <n v="17"/>
    <n v="2025"/>
    <x v="7"/>
    <s v="Q4"/>
    <x v="3"/>
  </r>
  <r>
    <s v="O111849"/>
    <x v="532"/>
    <x v="5"/>
    <x v="7"/>
    <x v="0"/>
    <x v="1"/>
    <n v="10"/>
    <n v="159033"/>
    <d v="2026-12-21T00:00:00"/>
    <n v="12"/>
    <n v="21"/>
    <n v="2026"/>
    <x v="7"/>
    <s v="Q4"/>
    <x v="0"/>
  </r>
  <r>
    <s v="O111478"/>
    <x v="378"/>
    <x v="1"/>
    <x v="4"/>
    <x v="4"/>
    <x v="1"/>
    <n v="1"/>
    <n v="159021"/>
    <d v="2026-11-29T00:00:00"/>
    <n v="11"/>
    <n v="29"/>
    <n v="2026"/>
    <x v="0"/>
    <m/>
    <x v="4"/>
  </r>
  <r>
    <s v="O107996"/>
    <x v="116"/>
    <x v="8"/>
    <x v="7"/>
    <x v="2"/>
    <x v="1"/>
    <n v="9"/>
    <n v="159007"/>
    <d v="2026-01-05T00:00:00"/>
    <n v="1"/>
    <n v="5"/>
    <n v="2026"/>
    <x v="6"/>
    <s v="Q1"/>
    <x v="2"/>
  </r>
  <r>
    <s v="O107589"/>
    <x v="203"/>
    <x v="4"/>
    <x v="6"/>
    <x v="2"/>
    <x v="0"/>
    <n v="8"/>
    <n v="158960"/>
    <d v="2026-07-04T00:00:00"/>
    <n v="7"/>
    <n v="4"/>
    <n v="2026"/>
    <x v="10"/>
    <s v="Q3"/>
    <x v="2"/>
  </r>
  <r>
    <s v="O100568"/>
    <x v="615"/>
    <x v="3"/>
    <x v="6"/>
    <x v="2"/>
    <x v="2"/>
    <n v="8"/>
    <n v="158895"/>
    <d v="2025-04-02T00:00:00"/>
    <n v="4"/>
    <n v="2"/>
    <n v="2025"/>
    <x v="11"/>
    <s v="Q2"/>
    <x v="2"/>
  </r>
  <r>
    <s v="O105585"/>
    <x v="17"/>
    <x v="9"/>
    <x v="6"/>
    <x v="2"/>
    <x v="2"/>
    <n v="7"/>
    <n v="158807"/>
    <d v="2025-06-12T00:00:00"/>
    <n v="6"/>
    <n v="12"/>
    <n v="2025"/>
    <x v="2"/>
    <s v="Q2"/>
    <x v="2"/>
  </r>
  <r>
    <s v="O106407"/>
    <x v="716"/>
    <x v="4"/>
    <x v="7"/>
    <x v="2"/>
    <x v="1"/>
    <n v="10"/>
    <n v="158769"/>
    <d v="2026-01-25T00:00:00"/>
    <n v="1"/>
    <n v="25"/>
    <n v="2026"/>
    <x v="6"/>
    <s v="Q1"/>
    <x v="2"/>
  </r>
  <r>
    <s v="O103259"/>
    <x v="683"/>
    <x v="9"/>
    <x v="7"/>
    <x v="3"/>
    <x v="2"/>
    <n v="10"/>
    <n v="158732"/>
    <d v="2025-07-17T00:00:00"/>
    <n v="7"/>
    <n v="17"/>
    <n v="2025"/>
    <x v="10"/>
    <s v="Q3"/>
    <x v="3"/>
  </r>
  <r>
    <s v="O108916"/>
    <x v="92"/>
    <x v="8"/>
    <x v="6"/>
    <x v="4"/>
    <x v="0"/>
    <n v="7"/>
    <n v="158558"/>
    <d v="2026-06-26T00:00:00"/>
    <n v="6"/>
    <n v="26"/>
    <n v="2026"/>
    <x v="2"/>
    <s v="Q2"/>
    <x v="4"/>
  </r>
  <r>
    <s v="O102772"/>
    <x v="324"/>
    <x v="3"/>
    <x v="7"/>
    <x v="2"/>
    <x v="0"/>
    <n v="9"/>
    <n v="158464"/>
    <d v="2025-06-18T00:00:00"/>
    <n v="6"/>
    <n v="18"/>
    <n v="2025"/>
    <x v="2"/>
    <m/>
    <x v="2"/>
  </r>
  <r>
    <s v="O107897"/>
    <x v="364"/>
    <x v="1"/>
    <x v="4"/>
    <x v="0"/>
    <x v="0"/>
    <n v="1"/>
    <n v="158460"/>
    <d v="2026-04-25T00:00:00"/>
    <n v="4"/>
    <n v="25"/>
    <n v="2026"/>
    <x v="11"/>
    <s v="Q2"/>
    <x v="0"/>
  </r>
  <r>
    <s v="O107432"/>
    <x v="551"/>
    <x v="3"/>
    <x v="6"/>
    <x v="3"/>
    <x v="3"/>
    <n v="7"/>
    <n v="158429"/>
    <d v="2026-03-28T00:00:00"/>
    <n v="3"/>
    <n v="28"/>
    <n v="2026"/>
    <x v="5"/>
    <s v="Q1"/>
    <x v="3"/>
  </r>
  <r>
    <s v="O104806"/>
    <x v="338"/>
    <x v="5"/>
    <x v="6"/>
    <x v="0"/>
    <x v="3"/>
    <n v="8"/>
    <n v="158414"/>
    <d v="2025-10-19T00:00:00"/>
    <n v="10"/>
    <n v="19"/>
    <n v="2025"/>
    <x v="9"/>
    <s v="Q4"/>
    <x v="0"/>
  </r>
  <r>
    <s v="O110108"/>
    <x v="307"/>
    <x v="5"/>
    <x v="6"/>
    <x v="3"/>
    <x v="3"/>
    <n v="6"/>
    <n v="158366"/>
    <d v="2026-07-09T00:00:00"/>
    <n v="7"/>
    <n v="9"/>
    <n v="2026"/>
    <x v="10"/>
    <s v="Q3"/>
    <x v="3"/>
  </r>
  <r>
    <s v="O108255"/>
    <x v="500"/>
    <x v="3"/>
    <x v="7"/>
    <x v="3"/>
    <x v="2"/>
    <n v="10"/>
    <n v="158337"/>
    <d v="2026-05-17T00:00:00"/>
    <n v="5"/>
    <n v="17"/>
    <n v="2026"/>
    <x v="3"/>
    <s v="Q2"/>
    <x v="3"/>
  </r>
  <r>
    <s v="O107994"/>
    <x v="240"/>
    <x v="0"/>
    <x v="7"/>
    <x v="1"/>
    <x v="1"/>
    <n v="9"/>
    <n v="158180"/>
    <d v="2026-01-05T00:00:00"/>
    <n v="1"/>
    <n v="5"/>
    <n v="2026"/>
    <x v="6"/>
    <s v="Q1"/>
    <x v="1"/>
  </r>
  <r>
    <s v="O109716"/>
    <x v="104"/>
    <x v="10"/>
    <x v="6"/>
    <x v="1"/>
    <x v="1"/>
    <n v="7"/>
    <n v="158074"/>
    <d v="2026-08-14T00:00:00"/>
    <n v="8"/>
    <n v="14"/>
    <n v="2026"/>
    <x v="8"/>
    <s v="Q3"/>
    <x v="1"/>
  </r>
  <r>
    <s v="O100467"/>
    <x v="159"/>
    <x v="6"/>
    <x v="7"/>
    <x v="4"/>
    <x v="1"/>
    <n v="9"/>
    <n v="158029"/>
    <d v="2025-01-29T00:00:00"/>
    <n v="1"/>
    <n v="29"/>
    <n v="2025"/>
    <x v="6"/>
    <s v="Q1"/>
    <x v="4"/>
  </r>
  <r>
    <s v="O111248"/>
    <x v="642"/>
    <x v="5"/>
    <x v="7"/>
    <x v="3"/>
    <x v="3"/>
    <n v="9"/>
    <n v="157900"/>
    <d v="2026-11-15T00:00:00"/>
    <n v="11"/>
    <n v="15"/>
    <n v="2026"/>
    <x v="0"/>
    <s v="Q4"/>
    <x v="3"/>
  </r>
  <r>
    <s v="O110142"/>
    <x v="217"/>
    <x v="4"/>
    <x v="6"/>
    <x v="3"/>
    <x v="3"/>
    <n v="8"/>
    <n v="157857"/>
    <d v="2026-09-09T00:00:00"/>
    <n v="9"/>
    <n v="9"/>
    <n v="2026"/>
    <x v="1"/>
    <s v="Q3"/>
    <x v="3"/>
  </r>
  <r>
    <s v="O106399"/>
    <x v="109"/>
    <x v="8"/>
    <x v="6"/>
    <x v="4"/>
    <x v="3"/>
    <n v="7"/>
    <n v="157798"/>
    <d v="2026-01-24T00:00:00"/>
    <n v="1"/>
    <n v="24"/>
    <n v="2026"/>
    <x v="6"/>
    <s v="Q1"/>
    <x v="4"/>
  </r>
  <r>
    <s v="O111312"/>
    <x v="392"/>
    <x v="0"/>
    <x v="6"/>
    <x v="2"/>
    <x v="0"/>
    <n v="7"/>
    <n v="157745"/>
    <d v="2026-11-19T00:00:00"/>
    <n v="11"/>
    <n v="19"/>
    <n v="2026"/>
    <x v="0"/>
    <s v="Q4"/>
    <x v="2"/>
  </r>
  <r>
    <s v="O110581"/>
    <x v="681"/>
    <x v="2"/>
    <x v="7"/>
    <x v="2"/>
    <x v="1"/>
    <n v="10"/>
    <n v="157723"/>
    <d v="2026-05-10T00:00:00"/>
    <n v="5"/>
    <n v="10"/>
    <n v="2026"/>
    <x v="3"/>
    <s v="Q2"/>
    <x v="2"/>
  </r>
  <r>
    <s v="O111374"/>
    <x v="433"/>
    <x v="5"/>
    <x v="6"/>
    <x v="3"/>
    <x v="2"/>
    <n v="8"/>
    <n v="157532"/>
    <d v="2026-11-22T00:00:00"/>
    <n v="11"/>
    <n v="22"/>
    <n v="2026"/>
    <x v="0"/>
    <s v="Q4"/>
    <x v="3"/>
  </r>
  <r>
    <s v="O109078"/>
    <x v="166"/>
    <x v="5"/>
    <x v="4"/>
    <x v="4"/>
    <x v="0"/>
    <n v="1"/>
    <n v="157428"/>
    <d v="2026-06-07T00:00:00"/>
    <n v="6"/>
    <n v="7"/>
    <n v="2026"/>
    <x v="2"/>
    <s v="Q2"/>
    <x v="4"/>
  </r>
  <r>
    <s v="O109408"/>
    <x v="263"/>
    <x v="8"/>
    <x v="6"/>
    <x v="3"/>
    <x v="2"/>
    <n v="7"/>
    <n v="157256"/>
    <d v="2026-07-26T00:00:00"/>
    <n v="7"/>
    <n v="26"/>
    <n v="2026"/>
    <x v="10"/>
    <s v="Q3"/>
    <x v="3"/>
  </r>
  <r>
    <s v="O104404"/>
    <x v="147"/>
    <x v="2"/>
    <x v="7"/>
    <x v="4"/>
    <x v="2"/>
    <n v="10"/>
    <n v="157155"/>
    <d v="2025-09-25T00:00:00"/>
    <n v="9"/>
    <n v="25"/>
    <n v="2025"/>
    <x v="1"/>
    <s v="Q3"/>
    <x v="4"/>
  </r>
  <r>
    <s v="O109035"/>
    <x v="318"/>
    <x v="9"/>
    <x v="6"/>
    <x v="4"/>
    <x v="2"/>
    <n v="7"/>
    <n v="157146"/>
    <d v="2026-03-07T00:00:00"/>
    <n v="3"/>
    <n v="7"/>
    <n v="2026"/>
    <x v="5"/>
    <s v="Q1"/>
    <x v="4"/>
  </r>
  <r>
    <s v="O110959"/>
    <x v="411"/>
    <x v="2"/>
    <x v="6"/>
    <x v="2"/>
    <x v="3"/>
    <n v="8"/>
    <n v="157137"/>
    <d v="2026-10-28T00:00:00"/>
    <n v="10"/>
    <n v="28"/>
    <n v="2026"/>
    <x v="9"/>
    <s v="Q4"/>
    <x v="2"/>
  </r>
  <r>
    <s v="O108682"/>
    <x v="69"/>
    <x v="9"/>
    <x v="4"/>
    <x v="4"/>
    <x v="1"/>
    <n v="1"/>
    <n v="156995"/>
    <d v="2026-12-06T00:00:00"/>
    <n v="12"/>
    <n v="6"/>
    <n v="2026"/>
    <x v="7"/>
    <s v="Q4"/>
    <x v="4"/>
  </r>
  <r>
    <s v="O102676"/>
    <x v="425"/>
    <x v="5"/>
    <x v="7"/>
    <x v="3"/>
    <x v="2"/>
    <n v="10"/>
    <n v="156992"/>
    <d v="2025-12-06T00:00:00"/>
    <n v="12"/>
    <n v="6"/>
    <n v="2025"/>
    <x v="7"/>
    <s v="Q4"/>
    <x v="3"/>
  </r>
  <r>
    <s v="O104705"/>
    <x v="630"/>
    <x v="5"/>
    <x v="7"/>
    <x v="0"/>
    <x v="1"/>
    <n v="10"/>
    <n v="156983"/>
    <d v="2025-10-13T00:00:00"/>
    <n v="10"/>
    <n v="13"/>
    <n v="2025"/>
    <x v="9"/>
    <s v="Q4"/>
    <x v="0"/>
  </r>
  <r>
    <s v="O106506"/>
    <x v="580"/>
    <x v="9"/>
    <x v="4"/>
    <x v="1"/>
    <x v="2"/>
    <n v="1"/>
    <n v="156927"/>
    <d v="2026-01-31T00:00:00"/>
    <n v="1"/>
    <n v="31"/>
    <n v="2026"/>
    <x v="6"/>
    <s v="Q1"/>
    <x v="1"/>
  </r>
  <r>
    <s v="O108436"/>
    <x v="385"/>
    <x v="0"/>
    <x v="7"/>
    <x v="2"/>
    <x v="1"/>
    <n v="10"/>
    <n v="156880"/>
    <d v="2026-05-28T00:00:00"/>
    <n v="5"/>
    <n v="28"/>
    <n v="2026"/>
    <x v="3"/>
    <s v="Q2"/>
    <x v="2"/>
  </r>
  <r>
    <s v="O108597"/>
    <x v="770"/>
    <x v="5"/>
    <x v="6"/>
    <x v="4"/>
    <x v="1"/>
    <n v="8"/>
    <n v="156769"/>
    <d v="2026-07-06T00:00:00"/>
    <n v="7"/>
    <n v="6"/>
    <n v="2026"/>
    <x v="10"/>
    <s v="Q3"/>
    <x v="4"/>
  </r>
  <r>
    <s v="O110801"/>
    <x v="434"/>
    <x v="5"/>
    <x v="7"/>
    <x v="0"/>
    <x v="0"/>
    <n v="9"/>
    <n v="156744"/>
    <d v="2026-10-19T00:00:00"/>
    <n v="10"/>
    <n v="19"/>
    <n v="2026"/>
    <x v="9"/>
    <s v="Q4"/>
    <x v="0"/>
  </r>
  <r>
    <s v="O106396"/>
    <x v="272"/>
    <x v="4"/>
    <x v="7"/>
    <x v="0"/>
    <x v="3"/>
    <n v="9"/>
    <n v="156710"/>
    <d v="2026-01-24T00:00:00"/>
    <n v="1"/>
    <n v="24"/>
    <n v="2026"/>
    <x v="6"/>
    <s v="Q1"/>
    <x v="0"/>
  </r>
  <r>
    <s v="O111288"/>
    <x v="715"/>
    <x v="8"/>
    <x v="7"/>
    <x v="3"/>
    <x v="1"/>
    <n v="10"/>
    <n v="156535"/>
    <d v="2026-11-17T00:00:00"/>
    <n v="11"/>
    <n v="17"/>
    <n v="2026"/>
    <x v="0"/>
    <s v="Q4"/>
    <x v="3"/>
  </r>
  <r>
    <s v="O102598"/>
    <x v="148"/>
    <x v="6"/>
    <x v="6"/>
    <x v="1"/>
    <x v="2"/>
    <n v="8"/>
    <n v="156508"/>
    <d v="2025-07-06T00:00:00"/>
    <n v="7"/>
    <n v="6"/>
    <n v="2025"/>
    <x v="10"/>
    <s v="Q3"/>
    <x v="1"/>
  </r>
  <r>
    <s v="O104224"/>
    <x v="202"/>
    <x v="9"/>
    <x v="4"/>
    <x v="4"/>
    <x v="2"/>
    <n v="1"/>
    <n v="156506"/>
    <d v="2025-09-14T00:00:00"/>
    <n v="9"/>
    <n v="14"/>
    <n v="2025"/>
    <x v="1"/>
    <s v="Q3"/>
    <x v="4"/>
  </r>
  <r>
    <s v="O109799"/>
    <x v="154"/>
    <x v="10"/>
    <x v="7"/>
    <x v="1"/>
    <x v="1"/>
    <n v="9"/>
    <n v="156379"/>
    <d v="2026-08-19T00:00:00"/>
    <n v="8"/>
    <n v="19"/>
    <n v="2026"/>
    <x v="8"/>
    <s v="Q3"/>
    <x v="1"/>
  </r>
  <r>
    <s v="O103657"/>
    <x v="551"/>
    <x v="6"/>
    <x v="7"/>
    <x v="1"/>
    <x v="0"/>
    <n v="9"/>
    <n v="156358"/>
    <d v="2025-11-08T00:00:00"/>
    <n v="11"/>
    <n v="8"/>
    <n v="2025"/>
    <x v="0"/>
    <s v="Q4"/>
    <x v="1"/>
  </r>
  <r>
    <s v="O105494"/>
    <x v="359"/>
    <x v="2"/>
    <x v="7"/>
    <x v="3"/>
    <x v="0"/>
    <n v="10"/>
    <n v="156337"/>
    <d v="2025-11-30T00:00:00"/>
    <n v="11"/>
    <n v="30"/>
    <n v="2025"/>
    <x v="0"/>
    <s v="Q4"/>
    <x v="3"/>
  </r>
  <r>
    <s v="O111751"/>
    <x v="73"/>
    <x v="8"/>
    <x v="6"/>
    <x v="0"/>
    <x v="3"/>
    <n v="6"/>
    <n v="156324"/>
    <d v="2026-12-15T00:00:00"/>
    <n v="12"/>
    <n v="15"/>
    <n v="2026"/>
    <x v="7"/>
    <s v="Q4"/>
    <x v="0"/>
  </r>
  <r>
    <s v="O101761"/>
    <x v="510"/>
    <x v="4"/>
    <x v="6"/>
    <x v="0"/>
    <x v="3"/>
    <n v="6"/>
    <n v="156133"/>
    <d v="2025-04-17T00:00:00"/>
    <n v="4"/>
    <n v="17"/>
    <n v="2025"/>
    <x v="11"/>
    <s v="Q2"/>
    <x v="0"/>
  </r>
  <r>
    <s v="O109757"/>
    <x v="756"/>
    <x v="10"/>
    <x v="7"/>
    <x v="0"/>
    <x v="1"/>
    <n v="9"/>
    <n v="156045"/>
    <d v="2026-08-16T00:00:00"/>
    <n v="8"/>
    <n v="16"/>
    <n v="2026"/>
    <x v="8"/>
    <s v="Q3"/>
    <x v="0"/>
  </r>
  <r>
    <s v="O109776"/>
    <x v="417"/>
    <x v="10"/>
    <x v="6"/>
    <x v="0"/>
    <x v="2"/>
    <n v="5"/>
    <n v="156025"/>
    <d v="2026-08-17T00:00:00"/>
    <n v="8"/>
    <n v="17"/>
    <n v="2026"/>
    <x v="8"/>
    <s v="Q3"/>
    <x v="0"/>
  </r>
  <r>
    <s v="O108802"/>
    <x v="361"/>
    <x v="5"/>
    <x v="7"/>
    <x v="3"/>
    <x v="2"/>
    <n v="9"/>
    <n v="155967"/>
    <d v="2026-06-19T00:00:00"/>
    <n v="6"/>
    <n v="19"/>
    <n v="2026"/>
    <x v="2"/>
    <s v="Q2"/>
    <x v="3"/>
  </r>
  <r>
    <s v="O103827"/>
    <x v="184"/>
    <x v="8"/>
    <x v="6"/>
    <x v="1"/>
    <x v="3"/>
    <n v="7"/>
    <n v="155947"/>
    <d v="2025-08-21T00:00:00"/>
    <n v="8"/>
    <n v="21"/>
    <n v="2025"/>
    <x v="8"/>
    <s v="Q3"/>
    <x v="1"/>
  </r>
  <r>
    <s v="O103988"/>
    <x v="381"/>
    <x v="8"/>
    <x v="6"/>
    <x v="1"/>
    <x v="1"/>
    <n v="6"/>
    <n v="155925"/>
    <d v="2025-08-31T00:00:00"/>
    <n v="8"/>
    <n v="31"/>
    <n v="2025"/>
    <x v="8"/>
    <s v="Q3"/>
    <x v="1"/>
  </r>
  <r>
    <s v="O106486"/>
    <x v="315"/>
    <x v="2"/>
    <x v="6"/>
    <x v="4"/>
    <x v="1"/>
    <n v="7"/>
    <n v="155852"/>
    <s v="31/11/2025"/>
    <s v=""/>
    <s v=""/>
    <s v=""/>
    <x v="12"/>
    <e v="#VALUE!"/>
    <x v="4"/>
  </r>
  <r>
    <s v="O108149"/>
    <x v="221"/>
    <x v="3"/>
    <x v="7"/>
    <x v="2"/>
    <x v="2"/>
    <n v="10"/>
    <n v="155664"/>
    <d v="2026-11-05T00:00:00"/>
    <n v="11"/>
    <n v="5"/>
    <n v="2026"/>
    <x v="0"/>
    <s v="Q4"/>
    <x v="2"/>
  </r>
  <r>
    <s v="O108429"/>
    <x v="647"/>
    <x v="4"/>
    <x v="7"/>
    <x v="0"/>
    <x v="0"/>
    <n v="10"/>
    <n v="155625"/>
    <d v="2026-05-28T00:00:00"/>
    <n v="5"/>
    <n v="28"/>
    <n v="2026"/>
    <x v="3"/>
    <s v="Q2"/>
    <x v="0"/>
  </r>
  <r>
    <s v="O108833"/>
    <x v="662"/>
    <x v="0"/>
    <x v="4"/>
    <x v="1"/>
    <x v="1"/>
    <n v="1"/>
    <n v="155611"/>
    <d v="2026-06-21T00:00:00"/>
    <n v="6"/>
    <n v="21"/>
    <n v="2026"/>
    <x v="2"/>
    <s v="Q2"/>
    <x v="1"/>
  </r>
  <r>
    <s v="O101114"/>
    <x v="602"/>
    <x v="1"/>
    <x v="6"/>
    <x v="3"/>
    <x v="1"/>
    <n v="8"/>
    <n v="155583"/>
    <d v="2025-09-03T00:00:00"/>
    <n v="9"/>
    <n v="3"/>
    <n v="2025"/>
    <x v="1"/>
    <s v="Q3"/>
    <x v="3"/>
  </r>
  <r>
    <s v="O104208"/>
    <x v="439"/>
    <x v="2"/>
    <x v="6"/>
    <x v="1"/>
    <x v="2"/>
    <n v="8"/>
    <n v="155538"/>
    <d v="2025-09-13T00:00:00"/>
    <n v="9"/>
    <n v="13"/>
    <n v="2025"/>
    <x v="1"/>
    <s v="Q3"/>
    <x v="1"/>
  </r>
  <r>
    <s v="O101864"/>
    <x v="105"/>
    <x v="8"/>
    <x v="6"/>
    <x v="1"/>
    <x v="2"/>
    <n v="5"/>
    <n v="155431"/>
    <d v="2025-04-24T00:00:00"/>
    <n v="4"/>
    <n v="24"/>
    <n v="2025"/>
    <x v="11"/>
    <s v="Q2"/>
    <x v="1"/>
  </r>
  <r>
    <s v="O110551"/>
    <x v="431"/>
    <x v="9"/>
    <x v="6"/>
    <x v="0"/>
    <x v="2"/>
    <n v="8"/>
    <n v="155313"/>
    <d v="2026-03-10T00:00:00"/>
    <n v="3"/>
    <n v="10"/>
    <n v="2026"/>
    <x v="5"/>
    <s v="Q1"/>
    <x v="0"/>
  </r>
  <r>
    <s v="O107149"/>
    <x v="182"/>
    <x v="2"/>
    <x v="6"/>
    <x v="2"/>
    <x v="2"/>
    <n v="5"/>
    <n v="155264"/>
    <d v="2026-11-03T00:00:00"/>
    <n v="11"/>
    <n v="3"/>
    <n v="2026"/>
    <x v="0"/>
    <s v="Q4"/>
    <x v="2"/>
  </r>
  <r>
    <s v="O106068"/>
    <x v="739"/>
    <x v="10"/>
    <x v="7"/>
    <x v="0"/>
    <x v="2"/>
    <n v="10"/>
    <n v="155253"/>
    <d v="2026-04-01T00:00:00"/>
    <n v="4"/>
    <n v="1"/>
    <n v="2026"/>
    <x v="11"/>
    <s v="Q2"/>
    <x v="0"/>
  </r>
  <r>
    <s v="O111696"/>
    <x v="585"/>
    <x v="2"/>
    <x v="7"/>
    <x v="0"/>
    <x v="3"/>
    <n v="9"/>
    <n v="155185"/>
    <d v="2026-12-12T00:00:00"/>
    <n v="12"/>
    <n v="12"/>
    <n v="2026"/>
    <x v="7"/>
    <s v="Q4"/>
    <x v="0"/>
  </r>
  <r>
    <s v="O107052"/>
    <x v="215"/>
    <x v="8"/>
    <x v="6"/>
    <x v="4"/>
    <x v="0"/>
    <n v="5"/>
    <n v="155100"/>
    <d v="2026-05-03T00:00:00"/>
    <n v="5"/>
    <n v="3"/>
    <n v="2026"/>
    <x v="3"/>
    <s v="Q2"/>
    <x v="4"/>
  </r>
  <r>
    <s v="O105454"/>
    <x v="319"/>
    <x v="8"/>
    <x v="7"/>
    <x v="3"/>
    <x v="0"/>
    <n v="10"/>
    <n v="155065"/>
    <d v="2025-11-28T00:00:00"/>
    <n v="11"/>
    <n v="28"/>
    <n v="2025"/>
    <x v="0"/>
    <s v="Q4"/>
    <x v="3"/>
  </r>
  <r>
    <s v="O107405"/>
    <x v="38"/>
    <x v="8"/>
    <x v="7"/>
    <x v="4"/>
    <x v="0"/>
    <n v="9"/>
    <n v="155043"/>
    <d v="2026-03-26T00:00:00"/>
    <n v="3"/>
    <n v="26"/>
    <n v="2026"/>
    <x v="5"/>
    <s v="Q1"/>
    <x v="4"/>
  </r>
  <r>
    <s v="O100019"/>
    <x v="222"/>
    <x v="0"/>
    <x v="6"/>
    <x v="4"/>
    <x v="3"/>
    <n v="8"/>
    <n v="155034"/>
    <d v="2025-02-01T00:00:00"/>
    <n v="2"/>
    <n v="1"/>
    <n v="2025"/>
    <x v="4"/>
    <s v="Q1"/>
    <x v="4"/>
  </r>
  <r>
    <s v="O110298"/>
    <x v="88"/>
    <x v="0"/>
    <x v="7"/>
    <x v="2"/>
    <x v="0"/>
    <n v="9"/>
    <n v="154931"/>
    <d v="2026-09-18T00:00:00"/>
    <n v="9"/>
    <n v="18"/>
    <n v="2026"/>
    <x v="1"/>
    <s v="Q3"/>
    <x v="2"/>
  </r>
  <r>
    <s v="O101461"/>
    <x v="713"/>
    <x v="9"/>
    <x v="7"/>
    <x v="1"/>
    <x v="2"/>
    <n v="9"/>
    <n v="154898"/>
    <d v="2025-03-30T00:00:00"/>
    <n v="3"/>
    <n v="30"/>
    <n v="2025"/>
    <x v="5"/>
    <s v="Q1"/>
    <x v="1"/>
  </r>
  <r>
    <s v="O101523"/>
    <x v="732"/>
    <x v="3"/>
    <x v="7"/>
    <x v="0"/>
    <x v="0"/>
    <n v="9"/>
    <n v="154891"/>
    <d v="2025-03-04T00:00:00"/>
    <n v="3"/>
    <n v="4"/>
    <n v="2025"/>
    <x v="5"/>
    <s v="Q1"/>
    <x v="0"/>
  </r>
  <r>
    <s v="O108335"/>
    <x v="71"/>
    <x v="3"/>
    <x v="4"/>
    <x v="0"/>
    <x v="0"/>
    <n v="1"/>
    <n v="154873"/>
    <d v="2026-05-22T00:00:00"/>
    <n v="5"/>
    <n v="22"/>
    <n v="2026"/>
    <x v="3"/>
    <s v="Q2"/>
    <x v="0"/>
  </r>
  <r>
    <s v="O109653"/>
    <x v="774"/>
    <x v="9"/>
    <x v="7"/>
    <x v="2"/>
    <x v="0"/>
    <n v="9"/>
    <n v="154824"/>
    <d v="2026-10-08T00:00:00"/>
    <n v="10"/>
    <n v="8"/>
    <n v="2026"/>
    <x v="9"/>
    <s v="Q4"/>
    <x v="2"/>
  </r>
  <r>
    <s v="O105001"/>
    <x v="424"/>
    <x v="9"/>
    <x v="7"/>
    <x v="1"/>
    <x v="3"/>
    <n v="9"/>
    <n v="154730"/>
    <d v="2025-10-31T00:00:00"/>
    <n v="10"/>
    <n v="31"/>
    <n v="2025"/>
    <x v="9"/>
    <s v="Q4"/>
    <x v="1"/>
  </r>
  <r>
    <s v="O109647"/>
    <x v="98"/>
    <x v="2"/>
    <x v="4"/>
    <x v="3"/>
    <x v="2"/>
    <n v="1"/>
    <n v="154622"/>
    <d v="2026-10-08T00:00:00"/>
    <n v="10"/>
    <n v="8"/>
    <n v="2026"/>
    <x v="9"/>
    <s v="Q4"/>
    <x v="3"/>
  </r>
  <r>
    <s v="O107565"/>
    <x v="682"/>
    <x v="6"/>
    <x v="6"/>
    <x v="4"/>
    <x v="2"/>
    <n v="6"/>
    <n v="154574"/>
    <d v="2026-05-04T00:00:00"/>
    <n v="5"/>
    <n v="4"/>
    <n v="2026"/>
    <x v="3"/>
    <s v="Q2"/>
    <x v="4"/>
  </r>
  <r>
    <s v="O108599"/>
    <x v="458"/>
    <x v="9"/>
    <x v="6"/>
    <x v="0"/>
    <x v="1"/>
    <n v="6"/>
    <n v="154400"/>
    <d v="2026-07-06T00:00:00"/>
    <n v="7"/>
    <n v="6"/>
    <n v="2026"/>
    <x v="10"/>
    <s v="Q3"/>
    <x v="0"/>
  </r>
  <r>
    <s v="O106007"/>
    <x v="94"/>
    <x v="9"/>
    <x v="6"/>
    <x v="4"/>
    <x v="3"/>
    <n v="7"/>
    <n v="154390"/>
    <d v="2025-12-31T00:00:00"/>
    <n v="12"/>
    <n v="31"/>
    <n v="2025"/>
    <x v="7"/>
    <s v="Q4"/>
    <x v="4"/>
  </r>
  <r>
    <s v="O110628"/>
    <x v="218"/>
    <x v="1"/>
    <x v="6"/>
    <x v="0"/>
    <x v="1"/>
    <n v="5"/>
    <n v="154351"/>
    <d v="2026-08-10T00:00:00"/>
    <n v="8"/>
    <n v="10"/>
    <n v="2026"/>
    <x v="8"/>
    <s v="Q3"/>
    <x v="0"/>
  </r>
  <r>
    <s v="O100534"/>
    <x v="420"/>
    <x v="8"/>
    <x v="6"/>
    <x v="3"/>
    <x v="0"/>
    <n v="8"/>
    <n v="154342"/>
    <d v="2025-02-02T00:00:00"/>
    <n v="2"/>
    <n v="2"/>
    <n v="2025"/>
    <x v="4"/>
    <s v="Q1"/>
    <x v="3"/>
  </r>
  <r>
    <s v="O108830"/>
    <x v="328"/>
    <x v="2"/>
    <x v="7"/>
    <x v="1"/>
    <x v="0"/>
    <n v="10"/>
    <n v="154278"/>
    <d v="2026-06-21T00:00:00"/>
    <n v="6"/>
    <n v="21"/>
    <n v="2026"/>
    <x v="2"/>
    <s v="Q2"/>
    <x v="1"/>
  </r>
  <r>
    <s v="O106643"/>
    <x v="536"/>
    <x v="1"/>
    <x v="6"/>
    <x v="3"/>
    <x v="1"/>
    <n v="7"/>
    <n v="154260"/>
    <d v="2026-08-02T00:00:00"/>
    <n v="8"/>
    <n v="2"/>
    <n v="2026"/>
    <x v="8"/>
    <s v="Q3"/>
    <x v="3"/>
  </r>
  <r>
    <s v="O101737"/>
    <x v="619"/>
    <x v="3"/>
    <x v="6"/>
    <x v="3"/>
    <x v="3"/>
    <n v="7"/>
    <n v="154201"/>
    <d v="2025-04-16T00:00:00"/>
    <n v="4"/>
    <n v="16"/>
    <n v="2025"/>
    <x v="11"/>
    <s v="Q2"/>
    <x v="3"/>
  </r>
  <r>
    <s v="O101052"/>
    <x v="430"/>
    <x v="3"/>
    <x v="6"/>
    <x v="1"/>
    <x v="0"/>
    <n v="7"/>
    <n v="154174"/>
    <d v="2025-05-03T00:00:00"/>
    <n v="5"/>
    <n v="3"/>
    <n v="2025"/>
    <x v="3"/>
    <s v="Q2"/>
    <x v="1"/>
  </r>
  <r>
    <s v="O102481"/>
    <x v="359"/>
    <x v="5"/>
    <x v="7"/>
    <x v="2"/>
    <x v="3"/>
    <n v="9"/>
    <n v="154015"/>
    <d v="2025-05-31T00:00:00"/>
    <n v="5"/>
    <n v="31"/>
    <n v="2025"/>
    <x v="3"/>
    <s v="Q2"/>
    <x v="2"/>
  </r>
  <r>
    <s v="O110258"/>
    <x v="198"/>
    <x v="4"/>
    <x v="6"/>
    <x v="2"/>
    <x v="0"/>
    <n v="8"/>
    <n v="154014"/>
    <d v="2026-09-16T00:00:00"/>
    <n v="9"/>
    <n v="16"/>
    <n v="2026"/>
    <x v="1"/>
    <s v="Q3"/>
    <x v="2"/>
  </r>
  <r>
    <s v="O107381"/>
    <x v="351"/>
    <x v="5"/>
    <x v="6"/>
    <x v="0"/>
    <x v="0"/>
    <n v="8"/>
    <n v="153944"/>
    <d v="2026-03-25T00:00:00"/>
    <n v="3"/>
    <n v="25"/>
    <n v="2026"/>
    <x v="5"/>
    <s v="Q1"/>
    <x v="0"/>
  </r>
  <r>
    <s v="O105004"/>
    <x v="620"/>
    <x v="5"/>
    <x v="7"/>
    <x v="4"/>
    <x v="3"/>
    <n v="10"/>
    <n v="153793"/>
    <d v="2025-10-31T00:00:00"/>
    <n v="10"/>
    <n v="31"/>
    <n v="2025"/>
    <x v="9"/>
    <s v="Q4"/>
    <x v="4"/>
  </r>
  <r>
    <s v="O100709"/>
    <x v="639"/>
    <x v="10"/>
    <x v="7"/>
    <x v="2"/>
    <x v="0"/>
    <n v="9"/>
    <n v="153630"/>
    <d v="2025-02-13T00:00:00"/>
    <n v="2"/>
    <n v="13"/>
    <n v="2025"/>
    <x v="4"/>
    <s v="Q1"/>
    <x v="2"/>
  </r>
  <r>
    <s v="O103801"/>
    <x v="741"/>
    <x v="2"/>
    <x v="7"/>
    <x v="3"/>
    <x v="1"/>
    <n v="10"/>
    <n v="153538"/>
    <d v="2025-08-19T00:00:00"/>
    <n v="8"/>
    <n v="19"/>
    <n v="2025"/>
    <x v="8"/>
    <s v="Q3"/>
    <x v="3"/>
  </r>
  <r>
    <s v="O110371"/>
    <x v="68"/>
    <x v="1"/>
    <x v="7"/>
    <x v="0"/>
    <x v="2"/>
    <n v="10"/>
    <n v="153534"/>
    <d v="2026-09-23T00:00:00"/>
    <n v="9"/>
    <n v="23"/>
    <n v="2026"/>
    <x v="1"/>
    <s v="Q3"/>
    <x v="0"/>
  </r>
  <r>
    <s v="O108666"/>
    <x v="437"/>
    <x v="10"/>
    <x v="6"/>
    <x v="1"/>
    <x v="1"/>
    <n v="6"/>
    <n v="153447"/>
    <d v="2026-11-06T00:00:00"/>
    <n v="11"/>
    <n v="6"/>
    <n v="2026"/>
    <x v="0"/>
    <s v="Q4"/>
    <x v="1"/>
  </r>
  <r>
    <s v="O111736"/>
    <x v="496"/>
    <x v="0"/>
    <x v="4"/>
    <x v="3"/>
    <x v="1"/>
    <n v="1"/>
    <n v="153411"/>
    <d v="2026-12-14T00:00:00"/>
    <n v="12"/>
    <n v="14"/>
    <n v="2026"/>
    <x v="7"/>
    <s v="Q4"/>
    <x v="3"/>
  </r>
  <r>
    <s v="O103835"/>
    <x v="448"/>
    <x v="5"/>
    <x v="6"/>
    <x v="0"/>
    <x v="1"/>
    <n v="7"/>
    <n v="153369"/>
    <d v="2025-08-21T00:00:00"/>
    <n v="8"/>
    <n v="21"/>
    <n v="2025"/>
    <x v="8"/>
    <s v="Q3"/>
    <x v="0"/>
  </r>
  <r>
    <s v="O109217"/>
    <x v="73"/>
    <x v="9"/>
    <x v="6"/>
    <x v="3"/>
    <x v="0"/>
    <n v="8"/>
    <n v="153299"/>
    <d v="2026-07-14T00:00:00"/>
    <n v="7"/>
    <n v="14"/>
    <n v="2026"/>
    <x v="10"/>
    <s v="Q3"/>
    <x v="3"/>
  </r>
  <r>
    <s v="O111545"/>
    <x v="704"/>
    <x v="0"/>
    <x v="6"/>
    <x v="2"/>
    <x v="3"/>
    <n v="5"/>
    <n v="153262"/>
    <d v="2026-03-12T00:00:00"/>
    <n v="3"/>
    <n v="12"/>
    <n v="2026"/>
    <x v="5"/>
    <s v="Q1"/>
    <x v="2"/>
  </r>
  <r>
    <s v="O106884"/>
    <x v="748"/>
    <x v="3"/>
    <x v="6"/>
    <x v="4"/>
    <x v="1"/>
    <n v="5"/>
    <n v="153234"/>
    <d v="2026-02-23T00:00:00"/>
    <n v="2"/>
    <n v="23"/>
    <n v="2026"/>
    <x v="4"/>
    <s v="Q1"/>
    <x v="4"/>
  </r>
  <r>
    <s v="O104161"/>
    <x v="762"/>
    <x v="4"/>
    <x v="6"/>
    <x v="0"/>
    <x v="1"/>
    <n v="5"/>
    <n v="153134"/>
    <d v="2025-10-09T00:00:00"/>
    <n v="10"/>
    <n v="9"/>
    <n v="2025"/>
    <x v="9"/>
    <s v="Q4"/>
    <x v="0"/>
  </r>
  <r>
    <s v="O105022"/>
    <x v="772"/>
    <x v="10"/>
    <x v="6"/>
    <x v="2"/>
    <x v="3"/>
    <n v="5"/>
    <n v="153078"/>
    <d v="2025-02-11T00:00:00"/>
    <n v="2"/>
    <n v="11"/>
    <n v="2025"/>
    <x v="4"/>
    <s v="Q1"/>
    <x v="2"/>
  </r>
  <r>
    <s v="O101058"/>
    <x v="256"/>
    <x v="8"/>
    <x v="7"/>
    <x v="2"/>
    <x v="3"/>
    <n v="9"/>
    <n v="153071"/>
    <d v="2025-06-03T00:00:00"/>
    <n v="6"/>
    <n v="3"/>
    <n v="2025"/>
    <x v="2"/>
    <s v="Q2"/>
    <x v="2"/>
  </r>
  <r>
    <s v="O104706"/>
    <x v="484"/>
    <x v="8"/>
    <x v="6"/>
    <x v="1"/>
    <x v="3"/>
    <n v="7"/>
    <n v="153025"/>
    <d v="2025-10-13T00:00:00"/>
    <n v="10"/>
    <n v="13"/>
    <n v="2025"/>
    <x v="9"/>
    <s v="Q4"/>
    <x v="1"/>
  </r>
  <r>
    <s v="O103936"/>
    <x v="26"/>
    <x v="1"/>
    <x v="6"/>
    <x v="2"/>
    <x v="0"/>
    <n v="6"/>
    <n v="152969"/>
    <d v="2025-08-28T00:00:00"/>
    <n v="8"/>
    <n v="28"/>
    <n v="2025"/>
    <x v="8"/>
    <s v="Q3"/>
    <x v="2"/>
  </r>
  <r>
    <s v="O105179"/>
    <x v="429"/>
    <x v="1"/>
    <x v="6"/>
    <x v="1"/>
    <x v="2"/>
    <n v="8"/>
    <n v="152770"/>
    <d v="2025-11-11T00:00:00"/>
    <n v="11"/>
    <n v="11"/>
    <n v="2025"/>
    <x v="0"/>
    <s v="Q4"/>
    <x v="1"/>
  </r>
  <r>
    <s v="O103781"/>
    <x v="691"/>
    <x v="9"/>
    <x v="7"/>
    <x v="1"/>
    <x v="2"/>
    <n v="10"/>
    <n v="152743"/>
    <d v="2025-08-18T00:00:00"/>
    <n v="8"/>
    <n v="18"/>
    <n v="2025"/>
    <x v="8"/>
    <m/>
    <x v="1"/>
  </r>
  <r>
    <s v="O107081"/>
    <x v="464"/>
    <x v="6"/>
    <x v="7"/>
    <x v="2"/>
    <x v="0"/>
    <n v="9"/>
    <n v="152721"/>
    <d v="2026-07-03T00:00:00"/>
    <n v="7"/>
    <n v="3"/>
    <n v="2026"/>
    <x v="10"/>
    <s v="Q3"/>
    <x v="2"/>
  </r>
  <r>
    <s v="O100639"/>
    <x v="695"/>
    <x v="6"/>
    <x v="7"/>
    <x v="2"/>
    <x v="0"/>
    <n v="9"/>
    <n v="152654"/>
    <d v="2025-08-02T00:00:00"/>
    <n v="8"/>
    <n v="2"/>
    <n v="2025"/>
    <x v="8"/>
    <s v="Q3"/>
    <x v="2"/>
  </r>
  <r>
    <s v="O106389"/>
    <x v="352"/>
    <x v="10"/>
    <x v="7"/>
    <x v="2"/>
    <x v="2"/>
    <n v="10"/>
    <n v="152632"/>
    <d v="2026-01-24T00:00:00"/>
    <n v="1"/>
    <n v="24"/>
    <n v="2026"/>
    <x v="6"/>
    <s v="Q1"/>
    <x v="2"/>
  </r>
  <r>
    <s v="O105350"/>
    <x v="285"/>
    <x v="1"/>
    <x v="4"/>
    <x v="3"/>
    <x v="3"/>
    <n v="1"/>
    <n v="152432"/>
    <d v="2025-11-21T00:00:00"/>
    <n v="11"/>
    <n v="21"/>
    <n v="2025"/>
    <x v="0"/>
    <s v="Q4"/>
    <x v="3"/>
  </r>
  <r>
    <s v="O110204"/>
    <x v="583"/>
    <x v="3"/>
    <x v="7"/>
    <x v="2"/>
    <x v="2"/>
    <n v="10"/>
    <n v="152410"/>
    <d v="2026-12-09T00:00:00"/>
    <n v="12"/>
    <n v="9"/>
    <n v="2026"/>
    <x v="7"/>
    <s v="Q4"/>
    <x v="2"/>
  </r>
  <r>
    <s v="O110439"/>
    <x v="361"/>
    <x v="2"/>
    <x v="6"/>
    <x v="0"/>
    <x v="1"/>
    <n v="7"/>
    <n v="152381"/>
    <d v="2026-09-27T00:00:00"/>
    <n v="9"/>
    <n v="27"/>
    <n v="2026"/>
    <x v="1"/>
    <s v="Q3"/>
    <x v="0"/>
  </r>
  <r>
    <s v="O110681"/>
    <x v="712"/>
    <x v="10"/>
    <x v="6"/>
    <x v="4"/>
    <x v="2"/>
    <n v="8"/>
    <n v="152362"/>
    <d v="2026-11-10T00:00:00"/>
    <n v="11"/>
    <n v="10"/>
    <n v="2026"/>
    <x v="0"/>
    <s v="Q4"/>
    <x v="4"/>
  </r>
  <r>
    <s v="O106975"/>
    <x v="602"/>
    <x v="8"/>
    <x v="6"/>
    <x v="3"/>
    <x v="0"/>
    <n v="8"/>
    <n v="152288"/>
    <d v="2026-02-28T00:00:00"/>
    <n v="2"/>
    <n v="28"/>
    <n v="2026"/>
    <x v="4"/>
    <s v="Q1"/>
    <x v="3"/>
  </r>
  <r>
    <s v="O109956"/>
    <x v="301"/>
    <x v="6"/>
    <x v="7"/>
    <x v="3"/>
    <x v="2"/>
    <n v="10"/>
    <n v="152276"/>
    <d v="2026-08-28T00:00:00"/>
    <n v="8"/>
    <n v="28"/>
    <n v="2026"/>
    <x v="8"/>
    <s v="Q3"/>
    <x v="3"/>
  </r>
  <r>
    <s v="O108069"/>
    <x v="501"/>
    <x v="4"/>
    <x v="6"/>
    <x v="2"/>
    <x v="0"/>
    <n v="8"/>
    <n v="152236"/>
    <d v="2026-06-05T00:00:00"/>
    <n v="6"/>
    <n v="5"/>
    <n v="2026"/>
    <x v="2"/>
    <s v="Q2"/>
    <x v="2"/>
  </r>
  <r>
    <s v="O111132"/>
    <x v="15"/>
    <x v="3"/>
    <x v="7"/>
    <x v="0"/>
    <x v="2"/>
    <n v="9"/>
    <n v="151974"/>
    <d v="2026-08-11T00:00:00"/>
    <n v="8"/>
    <n v="11"/>
    <n v="2026"/>
    <x v="8"/>
    <s v="Q3"/>
    <x v="0"/>
  </r>
  <r>
    <s v="O110888"/>
    <x v="668"/>
    <x v="5"/>
    <x v="7"/>
    <x v="0"/>
    <x v="3"/>
    <n v="9"/>
    <n v="151953"/>
    <d v="2026-10-24T00:00:00"/>
    <n v="10"/>
    <n v="24"/>
    <n v="2026"/>
    <x v="9"/>
    <s v="Q4"/>
    <x v="0"/>
  </r>
  <r>
    <s v="O101026"/>
    <x v="330"/>
    <x v="5"/>
    <x v="6"/>
    <x v="3"/>
    <x v="3"/>
    <n v="8"/>
    <n v="151932"/>
    <d v="2025-04-03T00:00:00"/>
    <n v="4"/>
    <n v="3"/>
    <n v="2025"/>
    <x v="11"/>
    <s v="Q2"/>
    <x v="3"/>
  </r>
  <r>
    <s v="O107844"/>
    <x v="258"/>
    <x v="4"/>
    <x v="6"/>
    <x v="0"/>
    <x v="2"/>
    <n v="5"/>
    <n v="151835"/>
    <d v="2026-04-22T00:00:00"/>
    <n v="4"/>
    <n v="22"/>
    <n v="2026"/>
    <x v="11"/>
    <m/>
    <x v="0"/>
  </r>
  <r>
    <s v="O104105"/>
    <x v="509"/>
    <x v="5"/>
    <x v="7"/>
    <x v="2"/>
    <x v="0"/>
    <n v="9"/>
    <n v="151830"/>
    <d v="2025-07-09T00:00:00"/>
    <n v="7"/>
    <n v="9"/>
    <n v="2025"/>
    <x v="10"/>
    <s v="Q3"/>
    <x v="2"/>
  </r>
  <r>
    <s v="O107037"/>
    <x v="34"/>
    <x v="2"/>
    <x v="7"/>
    <x v="3"/>
    <x v="2"/>
    <n v="9"/>
    <n v="151830"/>
    <d v="2026-04-03T00:00:00"/>
    <n v="4"/>
    <n v="3"/>
    <n v="2026"/>
    <x v="11"/>
    <s v="Q2"/>
    <x v="3"/>
  </r>
  <r>
    <s v="O109639"/>
    <x v="314"/>
    <x v="9"/>
    <x v="6"/>
    <x v="3"/>
    <x v="3"/>
    <n v="6"/>
    <n v="151776"/>
    <d v="2026-09-08T00:00:00"/>
    <n v="9"/>
    <n v="8"/>
    <n v="2026"/>
    <x v="1"/>
    <s v="Q3"/>
    <x v="3"/>
  </r>
  <r>
    <s v="O106750"/>
    <x v="345"/>
    <x v="0"/>
    <x v="7"/>
    <x v="2"/>
    <x v="1"/>
    <n v="9"/>
    <n v="151669"/>
    <d v="2026-02-15T00:00:00"/>
    <n v="2"/>
    <n v="15"/>
    <n v="2026"/>
    <x v="4"/>
    <s v="Q1"/>
    <x v="2"/>
  </r>
  <r>
    <s v="O107956"/>
    <x v="758"/>
    <x v="10"/>
    <x v="6"/>
    <x v="4"/>
    <x v="1"/>
    <n v="7"/>
    <n v="151444"/>
    <d v="2026-04-29T00:00:00"/>
    <n v="4"/>
    <n v="29"/>
    <n v="2026"/>
    <x v="11"/>
    <s v="Q2"/>
    <x v="4"/>
  </r>
  <r>
    <s v="O104957"/>
    <x v="558"/>
    <x v="5"/>
    <x v="7"/>
    <x v="4"/>
    <x v="3"/>
    <n v="9"/>
    <n v="151367"/>
    <d v="2025-10-29T00:00:00"/>
    <n v="10"/>
    <n v="29"/>
    <n v="2025"/>
    <x v="9"/>
    <s v="Q4"/>
    <x v="4"/>
  </r>
  <r>
    <s v="O110322"/>
    <x v="752"/>
    <x v="9"/>
    <x v="7"/>
    <x v="4"/>
    <x v="1"/>
    <n v="9"/>
    <n v="151335"/>
    <d v="2026-09-20T00:00:00"/>
    <n v="9"/>
    <n v="20"/>
    <n v="2026"/>
    <x v="1"/>
    <s v="Q3"/>
    <x v="4"/>
  </r>
  <r>
    <s v="O107155"/>
    <x v="220"/>
    <x v="1"/>
    <x v="7"/>
    <x v="2"/>
    <x v="3"/>
    <n v="9"/>
    <n v="151247"/>
    <d v="2026-11-03T00:00:00"/>
    <n v="11"/>
    <n v="3"/>
    <n v="2026"/>
    <x v="0"/>
    <s v="Q4"/>
    <x v="2"/>
  </r>
  <r>
    <s v="O107643"/>
    <x v="347"/>
    <x v="9"/>
    <x v="6"/>
    <x v="0"/>
    <x v="1"/>
    <n v="5"/>
    <n v="151228"/>
    <d v="2026-10-04T00:00:00"/>
    <n v="10"/>
    <n v="4"/>
    <n v="2026"/>
    <x v="9"/>
    <s v="Q4"/>
    <x v="0"/>
  </r>
  <r>
    <s v="O110799"/>
    <x v="455"/>
    <x v="2"/>
    <x v="4"/>
    <x v="4"/>
    <x v="0"/>
    <n v="1"/>
    <n v="151225"/>
    <d v="2026-10-19T00:00:00"/>
    <n v="10"/>
    <n v="19"/>
    <n v="2026"/>
    <x v="9"/>
    <s v="Q4"/>
    <x v="4"/>
  </r>
  <r>
    <s v="O106821"/>
    <x v="276"/>
    <x v="5"/>
    <x v="6"/>
    <x v="3"/>
    <x v="1"/>
    <n v="5"/>
    <n v="151081"/>
    <m/>
    <s v=""/>
    <s v=""/>
    <s v=""/>
    <x v="12"/>
    <s v="Q1"/>
    <x v="3"/>
  </r>
  <r>
    <s v="O109122"/>
    <x v="793"/>
    <x v="5"/>
    <x v="6"/>
    <x v="0"/>
    <x v="0"/>
    <n v="5"/>
    <n v="150968"/>
    <d v="2026-09-07T00:00:00"/>
    <n v="9"/>
    <n v="7"/>
    <n v="2026"/>
    <x v="1"/>
    <s v="Q3"/>
    <x v="0"/>
  </r>
  <r>
    <s v="O105758"/>
    <x v="377"/>
    <x v="5"/>
    <x v="6"/>
    <x v="3"/>
    <x v="0"/>
    <n v="7"/>
    <n v="150676"/>
    <d v="2025-12-16T00:00:00"/>
    <n v="12"/>
    <n v="16"/>
    <n v="2025"/>
    <x v="7"/>
    <s v="Q4"/>
    <x v="3"/>
  </r>
  <r>
    <s v="O102795"/>
    <x v="733"/>
    <x v="5"/>
    <x v="6"/>
    <x v="2"/>
    <x v="2"/>
    <n v="7"/>
    <n v="150676"/>
    <d v="2025-06-19T00:00:00"/>
    <n v="6"/>
    <n v="19"/>
    <n v="2025"/>
    <x v="2"/>
    <s v="Q2"/>
    <x v="2"/>
  </r>
  <r>
    <s v="O104064"/>
    <x v="518"/>
    <x v="5"/>
    <x v="7"/>
    <x v="0"/>
    <x v="3"/>
    <n v="10"/>
    <n v="150662"/>
    <d v="2025-04-09T00:00:00"/>
    <n v="4"/>
    <n v="9"/>
    <n v="2025"/>
    <x v="11"/>
    <s v="Q2"/>
    <x v="0"/>
  </r>
  <r>
    <s v="O108703"/>
    <x v="51"/>
    <x v="2"/>
    <x v="7"/>
    <x v="4"/>
    <x v="1"/>
    <n v="10"/>
    <n v="150590"/>
    <d v="2026-06-13T00:00:00"/>
    <n v="6"/>
    <n v="13"/>
    <n v="2026"/>
    <x v="2"/>
    <m/>
    <x v="4"/>
  </r>
  <r>
    <s v="O107095"/>
    <x v="702"/>
    <x v="4"/>
    <x v="7"/>
    <x v="2"/>
    <x v="0"/>
    <n v="10"/>
    <n v="150580"/>
    <d v="2026-07-03T00:00:00"/>
    <n v="7"/>
    <n v="3"/>
    <n v="2026"/>
    <x v="10"/>
    <s v="Q3"/>
    <x v="2"/>
  </r>
  <r>
    <s v="O103980"/>
    <x v="383"/>
    <x v="4"/>
    <x v="6"/>
    <x v="2"/>
    <x v="2"/>
    <n v="6"/>
    <n v="150578"/>
    <d v="2025-08-30T00:00:00"/>
    <n v="8"/>
    <n v="30"/>
    <n v="2025"/>
    <x v="8"/>
    <s v="Q3"/>
    <x v="2"/>
  </r>
  <r>
    <s v="O107230"/>
    <x v="488"/>
    <x v="9"/>
    <x v="6"/>
    <x v="4"/>
    <x v="0"/>
    <n v="8"/>
    <n v="150559"/>
    <d v="2026-03-16T00:00:00"/>
    <n v="3"/>
    <n v="16"/>
    <n v="2026"/>
    <x v="5"/>
    <s v="Q1"/>
    <x v="4"/>
  </r>
  <r>
    <s v="O108941"/>
    <x v="534"/>
    <x v="3"/>
    <x v="6"/>
    <x v="4"/>
    <x v="0"/>
    <n v="8"/>
    <n v="150533"/>
    <d v="2026-06-28T00:00:00"/>
    <n v="6"/>
    <n v="28"/>
    <n v="2026"/>
    <x v="2"/>
    <s v="Q2"/>
    <x v="4"/>
  </r>
  <r>
    <s v="O101489"/>
    <x v="580"/>
    <x v="5"/>
    <x v="7"/>
    <x v="3"/>
    <x v="2"/>
    <n v="9"/>
    <n v="150389"/>
    <d v="2025-01-04T00:00:00"/>
    <n v="1"/>
    <n v="4"/>
    <n v="2025"/>
    <x v="6"/>
    <s v="Q1"/>
    <x v="3"/>
  </r>
  <r>
    <s v="O106062"/>
    <x v="761"/>
    <x v="0"/>
    <x v="7"/>
    <x v="0"/>
    <x v="0"/>
    <n v="10"/>
    <n v="150266"/>
    <d v="2026-04-01T00:00:00"/>
    <n v="4"/>
    <n v="1"/>
    <n v="2026"/>
    <x v="11"/>
    <s v="Q2"/>
    <x v="0"/>
  </r>
  <r>
    <s v="O111827"/>
    <x v="746"/>
    <x v="4"/>
    <x v="7"/>
    <x v="0"/>
    <x v="2"/>
    <n v="9"/>
    <n v="150263"/>
    <d v="2026-12-20T00:00:00"/>
    <n v="12"/>
    <n v="20"/>
    <n v="2026"/>
    <x v="7"/>
    <s v="Q4"/>
    <x v="0"/>
  </r>
  <r>
    <s v="O102104"/>
    <x v="283"/>
    <x v="4"/>
    <x v="4"/>
    <x v="2"/>
    <x v="3"/>
    <n v="1"/>
    <n v="150216"/>
    <d v="2025-08-05T00:00:00"/>
    <n v="8"/>
    <n v="5"/>
    <n v="2025"/>
    <x v="8"/>
    <s v="Q3"/>
    <x v="2"/>
  </r>
  <r>
    <s v="O100667"/>
    <x v="502"/>
    <x v="3"/>
    <x v="7"/>
    <x v="0"/>
    <x v="1"/>
    <n v="9"/>
    <n v="150186"/>
    <d v="2025-10-02T00:00:00"/>
    <n v="10"/>
    <n v="2"/>
    <n v="2025"/>
    <x v="9"/>
    <s v="Q4"/>
    <x v="0"/>
  </r>
  <r>
    <s v="O106566"/>
    <x v="783"/>
    <x v="9"/>
    <x v="7"/>
    <x v="1"/>
    <x v="3"/>
    <n v="9"/>
    <n v="150150"/>
    <d v="2026-03-02T00:00:00"/>
    <n v="3"/>
    <n v="2"/>
    <n v="2026"/>
    <x v="5"/>
    <s v="Q1"/>
    <x v="1"/>
  </r>
  <r>
    <s v="O107144"/>
    <x v="162"/>
    <x v="4"/>
    <x v="7"/>
    <x v="0"/>
    <x v="1"/>
    <n v="9"/>
    <n v="150122"/>
    <d v="2026-10-03T00:00:00"/>
    <n v="10"/>
    <n v="3"/>
    <n v="2026"/>
    <x v="9"/>
    <s v="Q4"/>
    <x v="0"/>
  </r>
  <r>
    <s v="O105275"/>
    <x v="672"/>
    <x v="1"/>
    <x v="6"/>
    <x v="3"/>
    <x v="2"/>
    <n v="6"/>
    <n v="150049"/>
    <d v="2025-11-17T00:00:00"/>
    <n v="11"/>
    <n v="17"/>
    <n v="2025"/>
    <x v="0"/>
    <s v="Q4"/>
    <x v="3"/>
  </r>
  <r>
    <s v="O106772"/>
    <x v="653"/>
    <x v="5"/>
    <x v="5"/>
    <x v="0"/>
    <x v="3"/>
    <n v="1"/>
    <n v="149993"/>
    <d v="2026-02-16T00:00:00"/>
    <n v="2"/>
    <n v="16"/>
    <n v="2026"/>
    <x v="4"/>
    <s v="Q1"/>
    <x v="0"/>
  </r>
  <r>
    <s v="O103429"/>
    <x v="609"/>
    <x v="8"/>
    <x v="5"/>
    <x v="3"/>
    <x v="2"/>
    <n v="1"/>
    <n v="149968"/>
    <d v="2025-07-28T00:00:00"/>
    <n v="7"/>
    <n v="28"/>
    <n v="2025"/>
    <x v="10"/>
    <s v="Q3"/>
    <x v="3"/>
  </r>
  <r>
    <s v="O110583"/>
    <x v="625"/>
    <x v="6"/>
    <x v="6"/>
    <x v="1"/>
    <x v="3"/>
    <n v="7"/>
    <n v="149944"/>
    <d v="2026-05-10T00:00:00"/>
    <n v="5"/>
    <n v="10"/>
    <n v="2026"/>
    <x v="3"/>
    <s v="Q2"/>
    <x v="1"/>
  </r>
  <r>
    <s v="O108545"/>
    <x v="326"/>
    <x v="6"/>
    <x v="7"/>
    <x v="4"/>
    <x v="3"/>
    <n v="9"/>
    <n v="149927"/>
    <d v="2026-04-06T00:00:00"/>
    <n v="4"/>
    <n v="6"/>
    <n v="2026"/>
    <x v="11"/>
    <s v="Q2"/>
    <x v="4"/>
  </r>
  <r>
    <s v="O107664"/>
    <x v="68"/>
    <x v="5"/>
    <x v="6"/>
    <x v="4"/>
    <x v="1"/>
    <n v="5"/>
    <n v="149880"/>
    <d v="2026-11-04T00:00:00"/>
    <n v="11"/>
    <n v="4"/>
    <n v="2026"/>
    <x v="0"/>
    <s v="Q4"/>
    <x v="4"/>
  </r>
  <r>
    <s v="O111568"/>
    <x v="668"/>
    <x v="9"/>
    <x v="6"/>
    <x v="3"/>
    <x v="3"/>
    <n v="6"/>
    <n v="149848"/>
    <d v="2026-04-12T00:00:00"/>
    <n v="4"/>
    <n v="12"/>
    <n v="2026"/>
    <x v="11"/>
    <s v="Q2"/>
    <x v="3"/>
  </r>
  <r>
    <s v="O103170"/>
    <x v="6"/>
    <x v="9"/>
    <x v="7"/>
    <x v="3"/>
    <x v="1"/>
    <n v="9"/>
    <n v="149661"/>
    <d v="2025-12-07T00:00:00"/>
    <n v="12"/>
    <n v="7"/>
    <n v="2025"/>
    <x v="7"/>
    <s v="Q4"/>
    <x v="3"/>
  </r>
  <r>
    <s v="O104721"/>
    <x v="564"/>
    <x v="8"/>
    <x v="7"/>
    <x v="0"/>
    <x v="1"/>
    <n v="9"/>
    <n v="149607"/>
    <d v="2025-10-14T00:00:00"/>
    <n v="10"/>
    <n v="14"/>
    <n v="2025"/>
    <x v="9"/>
    <s v="Q4"/>
    <x v="0"/>
  </r>
  <r>
    <s v="O100872"/>
    <x v="531"/>
    <x v="0"/>
    <x v="7"/>
    <x v="2"/>
    <x v="0"/>
    <n v="10"/>
    <n v="149556"/>
    <d v="2025-02-22T00:00:00"/>
    <n v="2"/>
    <n v="22"/>
    <n v="2025"/>
    <x v="4"/>
    <s v="Q1"/>
    <x v="2"/>
  </r>
  <r>
    <s v="O106112"/>
    <x v="399"/>
    <x v="4"/>
    <x v="7"/>
    <x v="3"/>
    <x v="1"/>
    <n v="9"/>
    <n v="149431"/>
    <d v="2026-07-01T00:00:00"/>
    <n v="7"/>
    <n v="1"/>
    <n v="2026"/>
    <x v="10"/>
    <s v="Q3"/>
    <x v="3"/>
  </r>
  <r>
    <s v="O102769"/>
    <x v="640"/>
    <x v="1"/>
    <x v="6"/>
    <x v="2"/>
    <x v="1"/>
    <n v="5"/>
    <n v="149400"/>
    <d v="2025-06-18T00:00:00"/>
    <n v="6"/>
    <n v="18"/>
    <n v="2025"/>
    <x v="2"/>
    <s v="Q2"/>
    <x v="2"/>
  </r>
  <r>
    <s v="O105524"/>
    <x v="145"/>
    <x v="10"/>
    <x v="6"/>
    <x v="1"/>
    <x v="0"/>
    <n v="6"/>
    <n v="149328"/>
    <d v="2025-02-12T00:00:00"/>
    <n v="2"/>
    <n v="12"/>
    <n v="2025"/>
    <x v="4"/>
    <m/>
    <x v="1"/>
  </r>
  <r>
    <s v="O107268"/>
    <x v="477"/>
    <x v="6"/>
    <x v="7"/>
    <x v="0"/>
    <x v="2"/>
    <n v="8"/>
    <n v="149303"/>
    <d v="2026-03-18T00:00:00"/>
    <n v="3"/>
    <n v="18"/>
    <n v="2026"/>
    <x v="5"/>
    <s v="Q1"/>
    <x v="0"/>
  </r>
  <r>
    <s v="O103966"/>
    <x v="669"/>
    <x v="10"/>
    <x v="4"/>
    <x v="0"/>
    <x v="3"/>
    <n v="1"/>
    <n v="149232"/>
    <d v="2025-08-29T00:00:00"/>
    <n v="8"/>
    <n v="29"/>
    <n v="2025"/>
    <x v="8"/>
    <s v="Q3"/>
    <x v="0"/>
  </r>
  <r>
    <s v="O109843"/>
    <x v="202"/>
    <x v="0"/>
    <x v="7"/>
    <x v="0"/>
    <x v="3"/>
    <n v="10"/>
    <n v="148959"/>
    <d v="2026-08-21T00:00:00"/>
    <n v="8"/>
    <n v="21"/>
    <n v="2026"/>
    <x v="8"/>
    <s v="Q3"/>
    <x v="0"/>
  </r>
  <r>
    <s v="O105225"/>
    <x v="685"/>
    <x v="1"/>
    <x v="7"/>
    <x v="1"/>
    <x v="1"/>
    <n v="8"/>
    <n v="148940"/>
    <d v="2025-11-14T00:00:00"/>
    <n v="11"/>
    <n v="14"/>
    <n v="2025"/>
    <x v="0"/>
    <s v="Q4"/>
    <x v="1"/>
  </r>
  <r>
    <s v="O111684"/>
    <x v="788"/>
    <x v="0"/>
    <x v="7"/>
    <x v="2"/>
    <x v="0"/>
    <n v="9"/>
    <n v="148916"/>
    <d v="2026-11-12T00:00:00"/>
    <n v="11"/>
    <n v="12"/>
    <n v="2026"/>
    <x v="0"/>
    <s v="Q4"/>
    <x v="2"/>
  </r>
  <r>
    <s v="O103996"/>
    <x v="198"/>
    <x v="4"/>
    <x v="6"/>
    <x v="3"/>
    <x v="3"/>
    <n v="6"/>
    <n v="148880"/>
    <d v="2025-08-31T00:00:00"/>
    <n v="8"/>
    <n v="31"/>
    <n v="2025"/>
    <x v="8"/>
    <s v="Q3"/>
    <x v="3"/>
  </r>
  <r>
    <s v="O106706"/>
    <x v="589"/>
    <x v="0"/>
    <x v="5"/>
    <x v="1"/>
    <x v="0"/>
    <n v="1"/>
    <n v="148878"/>
    <d v="2026-12-02T00:00:00"/>
    <n v="12"/>
    <n v="2"/>
    <n v="2026"/>
    <x v="7"/>
    <s v="Q4"/>
    <x v="1"/>
  </r>
  <r>
    <s v="O100627"/>
    <x v="493"/>
    <x v="8"/>
    <x v="6"/>
    <x v="0"/>
    <x v="0"/>
    <n v="6"/>
    <n v="148857"/>
    <d v="2025-08-02T00:00:00"/>
    <n v="8"/>
    <n v="2"/>
    <n v="2025"/>
    <x v="8"/>
    <s v="Q3"/>
    <x v="0"/>
  </r>
  <r>
    <s v="O106751"/>
    <x v="304"/>
    <x v="8"/>
    <x v="7"/>
    <x v="4"/>
    <x v="2"/>
    <n v="8"/>
    <n v="148800"/>
    <d v="2026-02-15T00:00:00"/>
    <n v="2"/>
    <n v="15"/>
    <n v="2026"/>
    <x v="4"/>
    <s v="Q1"/>
    <x v="4"/>
  </r>
  <r>
    <s v="O111448"/>
    <x v="617"/>
    <x v="4"/>
    <x v="7"/>
    <x v="0"/>
    <x v="0"/>
    <n v="8"/>
    <n v="148753"/>
    <d v="2026-11-27T00:00:00"/>
    <n v="11"/>
    <n v="27"/>
    <n v="2026"/>
    <x v="0"/>
    <s v="Q4"/>
    <x v="0"/>
  </r>
  <r>
    <s v="O111743"/>
    <x v="731"/>
    <x v="8"/>
    <x v="7"/>
    <x v="2"/>
    <x v="1"/>
    <n v="9"/>
    <n v="148660"/>
    <d v="2026-12-15T00:00:00"/>
    <n v="12"/>
    <n v="15"/>
    <n v="2026"/>
    <x v="7"/>
    <s v="Q4"/>
    <x v="2"/>
  </r>
  <r>
    <s v="O110226"/>
    <x v="590"/>
    <x v="1"/>
    <x v="6"/>
    <x v="0"/>
    <x v="0"/>
    <n v="7"/>
    <n v="148547"/>
    <d v="2026-09-14T00:00:00"/>
    <n v="9"/>
    <n v="14"/>
    <n v="2026"/>
    <x v="1"/>
    <s v="Q3"/>
    <x v="0"/>
  </r>
  <r>
    <s v="O105304"/>
    <x v="165"/>
    <x v="6"/>
    <x v="5"/>
    <x v="1"/>
    <x v="1"/>
    <n v="1"/>
    <n v="148494"/>
    <d v="2025-11-19T00:00:00"/>
    <n v="11"/>
    <n v="19"/>
    <n v="2025"/>
    <x v="0"/>
    <s v="Q4"/>
    <x v="1"/>
  </r>
  <r>
    <s v="O105516"/>
    <x v="533"/>
    <x v="10"/>
    <x v="4"/>
    <x v="1"/>
    <x v="2"/>
    <n v="1"/>
    <n v="148472"/>
    <d v="2025-02-12T00:00:00"/>
    <n v="2"/>
    <n v="12"/>
    <n v="2025"/>
    <x v="4"/>
    <s v="Q1"/>
    <x v="1"/>
  </r>
  <r>
    <s v="O110034"/>
    <x v="226"/>
    <x v="4"/>
    <x v="5"/>
    <x v="4"/>
    <x v="1"/>
    <n v="1"/>
    <n v="148435"/>
    <d v="2026-02-09T00:00:00"/>
    <n v="2"/>
    <n v="9"/>
    <n v="2026"/>
    <x v="4"/>
    <s v="Q1"/>
    <x v="4"/>
  </r>
  <r>
    <s v="O109285"/>
    <x v="711"/>
    <x v="1"/>
    <x v="5"/>
    <x v="4"/>
    <x v="2"/>
    <n v="1"/>
    <n v="148433"/>
    <d v="2026-07-19T00:00:00"/>
    <n v="7"/>
    <n v="19"/>
    <n v="2026"/>
    <x v="10"/>
    <s v="Q3"/>
    <x v="4"/>
  </r>
  <r>
    <s v="O100697"/>
    <x v="285"/>
    <x v="2"/>
    <x v="7"/>
    <x v="0"/>
    <x v="3"/>
    <n v="9"/>
    <n v="148432"/>
    <d v="2025-12-02T00:00:00"/>
    <n v="12"/>
    <n v="2"/>
    <n v="2025"/>
    <x v="7"/>
    <s v="Q4"/>
    <x v="0"/>
  </r>
  <r>
    <s v="O100454"/>
    <x v="489"/>
    <x v="6"/>
    <x v="5"/>
    <x v="1"/>
    <x v="0"/>
    <n v="1"/>
    <n v="148416"/>
    <d v="2025-01-28T00:00:00"/>
    <n v="1"/>
    <n v="28"/>
    <n v="2025"/>
    <x v="6"/>
    <s v="Q1"/>
    <x v="1"/>
  </r>
  <r>
    <s v="O100150"/>
    <x v="29"/>
    <x v="4"/>
    <x v="7"/>
    <x v="2"/>
    <x v="1"/>
    <n v="10"/>
    <n v="148362"/>
    <d v="2025-10-01T00:00:00"/>
    <n v="10"/>
    <n v="1"/>
    <n v="2025"/>
    <x v="9"/>
    <s v="Q4"/>
    <x v="2"/>
  </r>
  <r>
    <s v="O101304"/>
    <x v="28"/>
    <x v="3"/>
    <x v="6"/>
    <x v="2"/>
    <x v="1"/>
    <n v="6"/>
    <n v="148289"/>
    <d v="2025-03-21T00:00:00"/>
    <n v="3"/>
    <n v="21"/>
    <n v="2025"/>
    <x v="5"/>
    <s v="Q1"/>
    <x v="2"/>
  </r>
  <r>
    <s v="O102052"/>
    <x v="65"/>
    <x v="0"/>
    <x v="6"/>
    <x v="4"/>
    <x v="3"/>
    <n v="5"/>
    <n v="148210"/>
    <d v="2025-05-05T00:00:00"/>
    <n v="5"/>
    <n v="5"/>
    <n v="2025"/>
    <x v="3"/>
    <s v="Q2"/>
    <x v="4"/>
  </r>
  <r>
    <s v="O100942"/>
    <x v="595"/>
    <x v="4"/>
    <x v="6"/>
    <x v="0"/>
    <x v="2"/>
    <n v="6"/>
    <n v="148178"/>
    <d v="2025-02-27T00:00:00"/>
    <n v="2"/>
    <n v="27"/>
    <n v="2025"/>
    <x v="4"/>
    <s v="Q1"/>
    <x v="0"/>
  </r>
  <r>
    <s v="O109281"/>
    <x v="404"/>
    <x v="2"/>
    <x v="7"/>
    <x v="1"/>
    <x v="2"/>
    <n v="10"/>
    <n v="148173"/>
    <d v="2026-07-18T00:00:00"/>
    <n v="7"/>
    <n v="18"/>
    <n v="2026"/>
    <x v="10"/>
    <s v="Q3"/>
    <x v="1"/>
  </r>
  <r>
    <s v="O109512"/>
    <x v="560"/>
    <x v="1"/>
    <x v="6"/>
    <x v="1"/>
    <x v="2"/>
    <n v="7"/>
    <n v="148133"/>
    <d v="2026-01-08T00:00:00"/>
    <n v="1"/>
    <n v="8"/>
    <n v="2026"/>
    <x v="6"/>
    <s v="Q1"/>
    <x v="1"/>
  </r>
  <r>
    <s v="O110044"/>
    <x v="531"/>
    <x v="6"/>
    <x v="6"/>
    <x v="3"/>
    <x v="0"/>
    <n v="5"/>
    <n v="148129"/>
    <d v="2026-03-09T00:00:00"/>
    <n v="3"/>
    <n v="9"/>
    <n v="2026"/>
    <x v="5"/>
    <s v="Q1"/>
    <x v="3"/>
  </r>
  <r>
    <s v="O106561"/>
    <x v="157"/>
    <x v="3"/>
    <x v="7"/>
    <x v="3"/>
    <x v="2"/>
    <n v="10"/>
    <n v="148059"/>
    <d v="2026-03-02T00:00:00"/>
    <n v="3"/>
    <n v="2"/>
    <n v="2026"/>
    <x v="5"/>
    <s v="Q1"/>
    <x v="3"/>
  </r>
  <r>
    <s v="O110150"/>
    <x v="399"/>
    <x v="8"/>
    <x v="7"/>
    <x v="3"/>
    <x v="2"/>
    <n v="8"/>
    <n v="148040"/>
    <d v="2026-09-09T00:00:00"/>
    <n v="9"/>
    <n v="9"/>
    <n v="2026"/>
    <x v="1"/>
    <s v="Q3"/>
    <x v="3"/>
  </r>
  <r>
    <s v="O104141"/>
    <x v="96"/>
    <x v="4"/>
    <x v="7"/>
    <x v="0"/>
    <x v="0"/>
    <n v="9"/>
    <n v="148007"/>
    <d v="2025-09-09T00:00:00"/>
    <n v="9"/>
    <n v="9"/>
    <n v="2025"/>
    <x v="1"/>
    <s v="Q3"/>
    <x v="0"/>
  </r>
  <r>
    <s v="O102288"/>
    <x v="504"/>
    <x v="3"/>
    <x v="7"/>
    <x v="2"/>
    <x v="0"/>
    <n v="10"/>
    <n v="148002"/>
    <d v="2025-05-19T00:00:00"/>
    <n v="5"/>
    <n v="19"/>
    <n v="2025"/>
    <x v="3"/>
    <s v="Q2"/>
    <x v="2"/>
  </r>
  <r>
    <s v="O100502"/>
    <x v="162"/>
    <x v="8"/>
    <x v="6"/>
    <x v="2"/>
    <x v="0"/>
    <n v="5"/>
    <n v="147969"/>
    <d v="2025-01-31T00:00:00"/>
    <n v="1"/>
    <n v="31"/>
    <n v="2025"/>
    <x v="6"/>
    <s v="Q1"/>
    <x v="2"/>
  </r>
  <r>
    <s v="O107400"/>
    <x v="749"/>
    <x v="1"/>
    <x v="7"/>
    <x v="0"/>
    <x v="1"/>
    <n v="9"/>
    <n v="147797"/>
    <d v="2026-03-26T00:00:00"/>
    <n v="3"/>
    <n v="26"/>
    <n v="2026"/>
    <x v="5"/>
    <m/>
    <x v="0"/>
  </r>
  <r>
    <s v="O105086"/>
    <x v="391"/>
    <x v="5"/>
    <x v="6"/>
    <x v="1"/>
    <x v="2"/>
    <n v="6"/>
    <n v="147758"/>
    <d v="2025-05-11T00:00:00"/>
    <n v="5"/>
    <n v="11"/>
    <n v="2025"/>
    <x v="3"/>
    <s v="Q2"/>
    <x v="1"/>
  </r>
  <r>
    <s v="O103658"/>
    <x v="604"/>
    <x v="6"/>
    <x v="6"/>
    <x v="0"/>
    <x v="3"/>
    <n v="5"/>
    <n v="147621"/>
    <d v="2025-11-08T00:00:00"/>
    <n v="11"/>
    <n v="8"/>
    <n v="2025"/>
    <x v="0"/>
    <s v="Q4"/>
    <x v="0"/>
  </r>
  <r>
    <s v="O103681"/>
    <x v="781"/>
    <x v="0"/>
    <x v="4"/>
    <x v="1"/>
    <x v="1"/>
    <n v="1"/>
    <n v="147486"/>
    <d v="2025-12-08T00:00:00"/>
    <n v="12"/>
    <n v="8"/>
    <n v="2025"/>
    <x v="7"/>
    <s v="Q4"/>
    <x v="1"/>
  </r>
  <r>
    <s v="O103061"/>
    <x v="713"/>
    <x v="6"/>
    <x v="7"/>
    <x v="2"/>
    <x v="0"/>
    <n v="8"/>
    <n v="147414"/>
    <d v="2025-05-07T00:00:00"/>
    <n v="5"/>
    <n v="7"/>
    <n v="2025"/>
    <x v="3"/>
    <s v="Q2"/>
    <x v="2"/>
  </r>
  <r>
    <s v="O108901"/>
    <x v="614"/>
    <x v="1"/>
    <x v="7"/>
    <x v="8"/>
    <x v="3"/>
    <n v="8"/>
    <n v="147398"/>
    <d v="2026-06-25T00:00:00"/>
    <n v="6"/>
    <n v="25"/>
    <n v="2026"/>
    <x v="2"/>
    <s v="Q2"/>
    <x v="2"/>
  </r>
  <r>
    <s v="O101049"/>
    <x v="496"/>
    <x v="6"/>
    <x v="5"/>
    <x v="4"/>
    <x v="3"/>
    <n v="1"/>
    <n v="147358"/>
    <d v="2025-05-03T00:00:00"/>
    <n v="5"/>
    <n v="3"/>
    <n v="2025"/>
    <x v="3"/>
    <s v="Q2"/>
    <x v="4"/>
  </r>
  <r>
    <s v="O107943"/>
    <x v="301"/>
    <x v="6"/>
    <x v="5"/>
    <x v="4"/>
    <x v="3"/>
    <n v="1"/>
    <n v="147348"/>
    <d v="2026-04-28T00:00:00"/>
    <n v="4"/>
    <n v="28"/>
    <n v="2026"/>
    <x v="11"/>
    <s v="Q2"/>
    <x v="4"/>
  </r>
  <r>
    <s v="O110014"/>
    <x v="706"/>
    <x v="10"/>
    <x v="7"/>
    <x v="3"/>
    <x v="0"/>
    <n v="9"/>
    <n v="147311"/>
    <d v="2026-01-09T00:00:00"/>
    <n v="1"/>
    <n v="9"/>
    <n v="2026"/>
    <x v="6"/>
    <s v="Q1"/>
    <x v="3"/>
  </r>
  <r>
    <s v="O106010"/>
    <x v="287"/>
    <x v="1"/>
    <x v="7"/>
    <x v="4"/>
    <x v="1"/>
    <n v="9"/>
    <n v="147293"/>
    <d v="2026-01-01T00:00:00"/>
    <n v="1"/>
    <n v="1"/>
    <n v="2026"/>
    <x v="6"/>
    <s v="Q1"/>
    <x v="4"/>
  </r>
  <r>
    <s v="O102454"/>
    <x v="780"/>
    <x v="3"/>
    <x v="7"/>
    <x v="4"/>
    <x v="0"/>
    <n v="9"/>
    <n v="147267"/>
    <d v="2025-05-30T00:00:00"/>
    <n v="5"/>
    <n v="30"/>
    <n v="2025"/>
    <x v="3"/>
    <s v="Q2"/>
    <x v="4"/>
  </r>
  <r>
    <s v="O101347"/>
    <x v="158"/>
    <x v="9"/>
    <x v="7"/>
    <x v="2"/>
    <x v="3"/>
    <n v="10"/>
    <n v="147202"/>
    <d v="2025-03-23T00:00:00"/>
    <n v="3"/>
    <n v="23"/>
    <n v="2025"/>
    <x v="5"/>
    <s v="Q1"/>
    <x v="2"/>
  </r>
  <r>
    <s v="O104784"/>
    <x v="8"/>
    <x v="5"/>
    <x v="7"/>
    <x v="2"/>
    <x v="3"/>
    <n v="8"/>
    <n v="147192"/>
    <d v="2025-10-18T00:00:00"/>
    <n v="10"/>
    <n v="18"/>
    <n v="2025"/>
    <x v="9"/>
    <s v="Q4"/>
    <x v="2"/>
  </r>
  <r>
    <s v="O104525"/>
    <x v="198"/>
    <x v="5"/>
    <x v="5"/>
    <x v="2"/>
    <x v="3"/>
    <n v="1"/>
    <n v="147176"/>
    <d v="2025-02-10T00:00:00"/>
    <n v="2"/>
    <n v="10"/>
    <n v="2025"/>
    <x v="4"/>
    <s v="Q1"/>
    <x v="2"/>
  </r>
  <r>
    <s v="O101548"/>
    <x v="645"/>
    <x v="6"/>
    <x v="6"/>
    <x v="3"/>
    <x v="2"/>
    <n v="5"/>
    <n v="147146"/>
    <d v="2025-04-04T00:00:00"/>
    <n v="4"/>
    <n v="4"/>
    <n v="2025"/>
    <x v="11"/>
    <s v="Q2"/>
    <x v="3"/>
  </r>
  <r>
    <s v="O103304"/>
    <x v="525"/>
    <x v="1"/>
    <x v="7"/>
    <x v="3"/>
    <x v="1"/>
    <n v="9"/>
    <n v="147094"/>
    <d v="2025-07-20T00:00:00"/>
    <n v="7"/>
    <n v="20"/>
    <n v="2025"/>
    <x v="10"/>
    <s v="Q3"/>
    <x v="3"/>
  </r>
  <r>
    <s v="O110281"/>
    <x v="121"/>
    <x v="9"/>
    <x v="7"/>
    <x v="0"/>
    <x v="1"/>
    <n v="9"/>
    <n v="147042"/>
    <d v="2026-09-17T00:00:00"/>
    <n v="9"/>
    <n v="17"/>
    <n v="2026"/>
    <x v="1"/>
    <s v="Q3"/>
    <x v="0"/>
  </r>
  <r>
    <s v="O105864"/>
    <x v="8"/>
    <x v="1"/>
    <x v="6"/>
    <x v="3"/>
    <x v="2"/>
    <n v="6"/>
    <n v="146903"/>
    <d v="2025-12-23T00:00:00"/>
    <n v="12"/>
    <n v="23"/>
    <n v="2025"/>
    <x v="7"/>
    <s v="Q4"/>
    <x v="3"/>
  </r>
  <r>
    <s v="O110327"/>
    <x v="775"/>
    <x v="0"/>
    <x v="7"/>
    <x v="0"/>
    <x v="1"/>
    <n v="9"/>
    <n v="146876"/>
    <d v="2026-09-20T00:00:00"/>
    <n v="9"/>
    <n v="20"/>
    <n v="2026"/>
    <x v="1"/>
    <s v="Q3"/>
    <x v="0"/>
  </r>
  <r>
    <s v="O110461"/>
    <x v="528"/>
    <x v="8"/>
    <x v="6"/>
    <x v="0"/>
    <x v="2"/>
    <n v="7"/>
    <n v="146871"/>
    <d v="2026-09-28T00:00:00"/>
    <n v="9"/>
    <n v="28"/>
    <n v="2026"/>
    <x v="1"/>
    <s v="Q3"/>
    <x v="0"/>
  </r>
  <r>
    <s v="O101129"/>
    <x v="760"/>
    <x v="8"/>
    <x v="7"/>
    <x v="3"/>
    <x v="4"/>
    <n v="9"/>
    <n v="146842"/>
    <d v="2025-10-03T00:00:00"/>
    <n v="10"/>
    <n v="3"/>
    <n v="2025"/>
    <x v="9"/>
    <s v="Q4"/>
    <x v="3"/>
  </r>
  <r>
    <s v="O101676"/>
    <x v="41"/>
    <x v="6"/>
    <x v="7"/>
    <x v="0"/>
    <x v="1"/>
    <n v="9"/>
    <n v="146765"/>
    <d v="2025-12-04T00:00:00"/>
    <n v="12"/>
    <n v="4"/>
    <n v="2025"/>
    <x v="7"/>
    <s v="Q4"/>
    <x v="0"/>
  </r>
  <r>
    <s v="O109699"/>
    <x v="674"/>
    <x v="10"/>
    <x v="6"/>
    <x v="2"/>
    <x v="0"/>
    <n v="5"/>
    <n v="146732"/>
    <d v="2026-08-13T00:00:00"/>
    <n v="8"/>
    <n v="13"/>
    <n v="2026"/>
    <x v="8"/>
    <s v="Q3"/>
    <x v="2"/>
  </r>
  <r>
    <s v="O109012"/>
    <x v="331"/>
    <x v="10"/>
    <x v="7"/>
    <x v="1"/>
    <x v="0"/>
    <n v="8"/>
    <n v="146728"/>
    <d v="2026-02-07T00:00:00"/>
    <n v="2"/>
    <n v="7"/>
    <n v="2026"/>
    <x v="4"/>
    <s v="Q1"/>
    <x v="1"/>
  </r>
  <r>
    <s v="O101547"/>
    <x v="755"/>
    <x v="10"/>
    <x v="4"/>
    <x v="2"/>
    <x v="2"/>
    <n v="1"/>
    <n v="146663"/>
    <d v="2025-04-04T00:00:00"/>
    <n v="4"/>
    <n v="4"/>
    <n v="2025"/>
    <x v="11"/>
    <s v="Q2"/>
    <x v="2"/>
  </r>
  <r>
    <s v="O109031"/>
    <x v="0"/>
    <x v="1"/>
    <x v="7"/>
    <x v="0"/>
    <x v="0"/>
    <n v="8"/>
    <n v="146483"/>
    <d v="2026-03-07T00:00:00"/>
    <n v="3"/>
    <n v="7"/>
    <n v="2026"/>
    <x v="5"/>
    <s v="Q1"/>
    <x v="0"/>
  </r>
  <r>
    <s v="O106796"/>
    <x v="792"/>
    <x v="8"/>
    <x v="7"/>
    <x v="4"/>
    <x v="1"/>
    <n v="9"/>
    <n v="146430"/>
    <d v="2026-02-17T00:00:00"/>
    <n v="2"/>
    <n v="17"/>
    <n v="2026"/>
    <x v="4"/>
    <s v="Q1"/>
    <x v="4"/>
  </r>
  <r>
    <s v="O110826"/>
    <x v="236"/>
    <x v="6"/>
    <x v="6"/>
    <x v="2"/>
    <x v="0"/>
    <n v="5"/>
    <n v="146374"/>
    <d v="2026-10-20T00:00:00"/>
    <n v="10"/>
    <n v="20"/>
    <n v="2026"/>
    <x v="9"/>
    <s v="Q4"/>
    <x v="2"/>
  </r>
  <r>
    <s v="O109789"/>
    <x v="390"/>
    <x v="9"/>
    <x v="6"/>
    <x v="3"/>
    <x v="2"/>
    <n v="6"/>
    <n v="146367"/>
    <d v="2026-08-18T00:00:00"/>
    <n v="8"/>
    <n v="18"/>
    <n v="2026"/>
    <x v="8"/>
    <s v="Q3"/>
    <x v="3"/>
  </r>
  <r>
    <s v="O105626"/>
    <x v="480"/>
    <x v="6"/>
    <x v="5"/>
    <x v="4"/>
    <x v="0"/>
    <n v="1"/>
    <n v="146318"/>
    <d v="2025-08-12T00:00:00"/>
    <n v="8"/>
    <n v="12"/>
    <n v="2025"/>
    <x v="8"/>
    <s v="Q3"/>
    <x v="4"/>
  </r>
  <r>
    <s v="O102364"/>
    <x v="485"/>
    <x v="7"/>
    <x v="6"/>
    <x v="3"/>
    <x v="3"/>
    <n v="6"/>
    <n v="146263"/>
    <d v="2025-05-24T00:00:00"/>
    <n v="5"/>
    <n v="24"/>
    <n v="2025"/>
    <x v="3"/>
    <s v="Q2"/>
    <x v="3"/>
  </r>
  <r>
    <s v="O110484"/>
    <x v="78"/>
    <x v="4"/>
    <x v="7"/>
    <x v="0"/>
    <x v="3"/>
    <n v="10"/>
    <n v="146231"/>
    <d v="2026-09-29T00:00:00"/>
    <n v="9"/>
    <n v="29"/>
    <n v="2026"/>
    <x v="1"/>
    <s v="Q3"/>
    <x v="0"/>
  </r>
  <r>
    <s v="O102311"/>
    <x v="648"/>
    <x v="3"/>
    <x v="6"/>
    <x v="3"/>
    <x v="2"/>
    <n v="5"/>
    <n v="146228"/>
    <d v="2025-05-21T00:00:00"/>
    <n v="5"/>
    <n v="21"/>
    <n v="2025"/>
    <x v="3"/>
    <s v="Q2"/>
    <x v="3"/>
  </r>
  <r>
    <s v="O106718"/>
    <x v="313"/>
    <x v="10"/>
    <x v="6"/>
    <x v="0"/>
    <x v="3"/>
    <n v="7"/>
    <n v="146183"/>
    <d v="2026-02-13T00:00:00"/>
    <n v="2"/>
    <n v="13"/>
    <n v="2026"/>
    <x v="4"/>
    <s v="Q1"/>
    <x v="0"/>
  </r>
  <r>
    <s v="O108687"/>
    <x v="489"/>
    <x v="6"/>
    <x v="7"/>
    <x v="4"/>
    <x v="1"/>
    <n v="8"/>
    <n v="146181"/>
    <d v="2026-12-06T00:00:00"/>
    <n v="12"/>
    <n v="6"/>
    <n v="2026"/>
    <x v="7"/>
    <s v="Q4"/>
    <x v="4"/>
  </r>
  <r>
    <s v="O102549"/>
    <x v="792"/>
    <x v="3"/>
    <x v="7"/>
    <x v="4"/>
    <x v="0"/>
    <n v="9"/>
    <n v="146062"/>
    <d v="2025-04-06T00:00:00"/>
    <n v="4"/>
    <n v="6"/>
    <n v="2025"/>
    <x v="11"/>
    <s v="Q2"/>
    <x v="4"/>
  </r>
  <r>
    <s v="O100836"/>
    <x v="603"/>
    <x v="8"/>
    <x v="7"/>
    <x v="3"/>
    <x v="0"/>
    <n v="10"/>
    <n v="146029"/>
    <d v="2025-02-20T00:00:00"/>
    <n v="2"/>
    <n v="20"/>
    <n v="2025"/>
    <x v="4"/>
    <s v="Q1"/>
    <x v="3"/>
  </r>
  <r>
    <s v="O100376"/>
    <x v="177"/>
    <x v="8"/>
    <x v="7"/>
    <x v="1"/>
    <x v="1"/>
    <n v="8"/>
    <n v="146016"/>
    <d v="2025-01-23T00:00:00"/>
    <n v="1"/>
    <n v="23"/>
    <n v="2025"/>
    <x v="6"/>
    <s v="Q1"/>
    <x v="1"/>
  </r>
  <r>
    <s v="O106458"/>
    <x v="333"/>
    <x v="0"/>
    <x v="7"/>
    <x v="3"/>
    <x v="2"/>
    <n v="8"/>
    <n v="146004"/>
    <d v="2026-01-28T00:00:00"/>
    <n v="1"/>
    <n v="28"/>
    <n v="2026"/>
    <x v="6"/>
    <s v="Q1"/>
    <x v="3"/>
  </r>
  <r>
    <s v="O103087"/>
    <x v="390"/>
    <x v="5"/>
    <x v="7"/>
    <x v="4"/>
    <x v="1"/>
    <n v="10"/>
    <n v="145838"/>
    <d v="2025-07-07T00:00:00"/>
    <n v="7"/>
    <n v="7"/>
    <n v="2025"/>
    <x v="10"/>
    <s v="Q3"/>
    <x v="4"/>
  </r>
  <r>
    <s v="O101241"/>
    <x v="412"/>
    <x v="0"/>
    <x v="5"/>
    <x v="1"/>
    <x v="1"/>
    <n v="1"/>
    <n v="145831"/>
    <d v="2025-03-17T00:00:00"/>
    <n v="3"/>
    <n v="17"/>
    <n v="2025"/>
    <x v="5"/>
    <s v="Q1"/>
    <x v="1"/>
  </r>
  <r>
    <s v="O106339"/>
    <x v="320"/>
    <x v="1"/>
    <x v="6"/>
    <x v="1"/>
    <x v="2"/>
    <n v="5"/>
    <n v="145767"/>
    <d v="2026-01-21T00:00:00"/>
    <n v="1"/>
    <n v="21"/>
    <n v="2026"/>
    <x v="6"/>
    <s v="Q1"/>
    <x v="1"/>
  </r>
  <r>
    <s v="O101657"/>
    <x v="495"/>
    <x v="9"/>
    <x v="6"/>
    <x v="3"/>
    <x v="2"/>
    <n v="5"/>
    <n v="145743"/>
    <d v="2025-11-04T00:00:00"/>
    <n v="11"/>
    <n v="4"/>
    <n v="2025"/>
    <x v="0"/>
    <s v="Q4"/>
    <x v="3"/>
  </r>
  <r>
    <s v="O110825"/>
    <x v="242"/>
    <x v="4"/>
    <x v="4"/>
    <x v="1"/>
    <x v="3"/>
    <n v="1"/>
    <n v="145695"/>
    <d v="2026-10-20T00:00:00"/>
    <n v="10"/>
    <n v="20"/>
    <n v="2026"/>
    <x v="9"/>
    <s v="Q4"/>
    <x v="1"/>
  </r>
  <r>
    <s v="O109082"/>
    <x v="12"/>
    <x v="3"/>
    <x v="6"/>
    <x v="0"/>
    <x v="0"/>
    <n v="6"/>
    <n v="145598"/>
    <d v="2026-06-07T00:00:00"/>
    <n v="6"/>
    <n v="7"/>
    <n v="2026"/>
    <x v="2"/>
    <s v="Q2"/>
    <x v="0"/>
  </r>
  <r>
    <s v="O103892"/>
    <x v="523"/>
    <x v="5"/>
    <x v="6"/>
    <x v="2"/>
    <x v="1"/>
    <n v="5"/>
    <n v="145591"/>
    <d v="2025-08-25T00:00:00"/>
    <n v="8"/>
    <n v="25"/>
    <n v="2025"/>
    <x v="8"/>
    <s v="Q3"/>
    <x v="2"/>
  </r>
  <r>
    <s v="O100932"/>
    <x v="208"/>
    <x v="0"/>
    <x v="5"/>
    <x v="0"/>
    <x v="3"/>
    <n v="1"/>
    <n v="145306"/>
    <d v="2025-02-26T00:00:00"/>
    <n v="2"/>
    <n v="26"/>
    <n v="2025"/>
    <x v="4"/>
    <s v="Q1"/>
    <x v="0"/>
  </r>
  <r>
    <s v="O103967"/>
    <x v="210"/>
    <x v="9"/>
    <x v="7"/>
    <x v="1"/>
    <x v="0"/>
    <n v="8"/>
    <n v="145219"/>
    <d v="2025-08-29T00:00:00"/>
    <n v="8"/>
    <n v="29"/>
    <n v="2025"/>
    <x v="8"/>
    <s v="Q3"/>
    <x v="1"/>
  </r>
  <r>
    <s v="O108782"/>
    <x v="604"/>
    <x v="2"/>
    <x v="5"/>
    <x v="1"/>
    <x v="2"/>
    <n v="1"/>
    <n v="145176"/>
    <d v="2026-06-18T00:00:00"/>
    <n v="6"/>
    <n v="18"/>
    <n v="2026"/>
    <x v="2"/>
    <s v="Q2"/>
    <x v="1"/>
  </r>
  <r>
    <s v="O109825"/>
    <x v="25"/>
    <x v="10"/>
    <x v="6"/>
    <x v="3"/>
    <x v="3"/>
    <n v="7"/>
    <n v="145112"/>
    <d v="2026-08-20T00:00:00"/>
    <n v="8"/>
    <n v="20"/>
    <n v="2026"/>
    <x v="8"/>
    <s v="Q3"/>
    <x v="3"/>
  </r>
  <r>
    <s v="O111422"/>
    <x v="497"/>
    <x v="9"/>
    <x v="7"/>
    <x v="2"/>
    <x v="3"/>
    <n v="10"/>
    <n v="145086"/>
    <d v="2026-11-25T00:00:00"/>
    <n v="11"/>
    <n v="25"/>
    <n v="2026"/>
    <x v="0"/>
    <s v="Q4"/>
    <x v="2"/>
  </r>
  <r>
    <s v="O100927"/>
    <x v="194"/>
    <x v="4"/>
    <x v="7"/>
    <x v="2"/>
    <x v="1"/>
    <n v="9"/>
    <n v="145067"/>
    <d v="2025-02-26T00:00:00"/>
    <n v="2"/>
    <n v="26"/>
    <n v="2025"/>
    <x v="4"/>
    <s v="Q1"/>
    <x v="2"/>
  </r>
  <r>
    <s v="O103785"/>
    <x v="729"/>
    <x v="10"/>
    <x v="4"/>
    <x v="1"/>
    <x v="0"/>
    <n v="1"/>
    <n v="144989"/>
    <d v="2025-08-18T00:00:00"/>
    <n v="8"/>
    <n v="18"/>
    <n v="2025"/>
    <x v="8"/>
    <s v="Q3"/>
    <x v="1"/>
  </r>
  <r>
    <s v="O100763"/>
    <x v="756"/>
    <x v="5"/>
    <x v="7"/>
    <x v="1"/>
    <x v="2"/>
    <n v="8"/>
    <n v="144912"/>
    <d v="2025-02-16T00:00:00"/>
    <n v="2"/>
    <n v="16"/>
    <n v="2025"/>
    <x v="4"/>
    <s v="Q1"/>
    <x v="1"/>
  </r>
  <r>
    <s v="O104778"/>
    <x v="727"/>
    <x v="5"/>
    <x v="7"/>
    <x v="1"/>
    <x v="3"/>
    <n v="9"/>
    <n v="144742"/>
    <d v="2025-10-18T00:00:00"/>
    <n v="10"/>
    <n v="18"/>
    <n v="2025"/>
    <x v="9"/>
    <s v="Q4"/>
    <x v="1"/>
  </r>
  <r>
    <s v="O111412"/>
    <x v="538"/>
    <x v="9"/>
    <x v="7"/>
    <x v="1"/>
    <x v="3"/>
    <n v="9"/>
    <n v="144739"/>
    <d v="2026-11-25T00:00:00"/>
    <n v="11"/>
    <n v="25"/>
    <n v="2026"/>
    <x v="0"/>
    <m/>
    <x v="1"/>
  </r>
  <r>
    <s v="O106605"/>
    <x v="243"/>
    <x v="5"/>
    <x v="6"/>
    <x v="4"/>
    <x v="2"/>
    <n v="5"/>
    <n v="144731"/>
    <d v="2026-06-02T00:00:00"/>
    <n v="6"/>
    <n v="2"/>
    <n v="2026"/>
    <x v="2"/>
    <s v="Q2"/>
    <x v="4"/>
  </r>
  <r>
    <s v="O103981"/>
    <x v="733"/>
    <x v="2"/>
    <x v="5"/>
    <x v="4"/>
    <x v="0"/>
    <n v="1"/>
    <n v="144540"/>
    <d v="2025-08-30T00:00:00"/>
    <n v="8"/>
    <n v="30"/>
    <n v="2025"/>
    <x v="8"/>
    <s v="Q3"/>
    <x v="4"/>
  </r>
  <r>
    <s v="O105756"/>
    <x v="400"/>
    <x v="4"/>
    <x v="7"/>
    <x v="3"/>
    <x v="1"/>
    <n v="10"/>
    <n v="144511"/>
    <d v="2025-12-16T00:00:00"/>
    <n v="12"/>
    <n v="16"/>
    <n v="2025"/>
    <x v="7"/>
    <s v="Q4"/>
    <x v="3"/>
  </r>
  <r>
    <s v="O103708"/>
    <x v="633"/>
    <x v="10"/>
    <x v="7"/>
    <x v="4"/>
    <x v="3"/>
    <n v="8"/>
    <n v="144504"/>
    <d v="2025-08-14T00:00:00"/>
    <n v="8"/>
    <n v="14"/>
    <n v="2025"/>
    <x v="8"/>
    <s v="Q3"/>
    <x v="4"/>
  </r>
  <r>
    <s v="O105505"/>
    <x v="731"/>
    <x v="10"/>
    <x v="7"/>
    <x v="2"/>
    <x v="0"/>
    <n v="8"/>
    <n v="144451"/>
    <d v="2025-01-12T00:00:00"/>
    <n v="1"/>
    <n v="12"/>
    <n v="2025"/>
    <x v="6"/>
    <s v="Q1"/>
    <x v="2"/>
  </r>
  <r>
    <s v="O107611"/>
    <x v="202"/>
    <x v="2"/>
    <x v="7"/>
    <x v="1"/>
    <x v="1"/>
    <n v="8"/>
    <n v="144425"/>
    <d v="2026-08-04T00:00:00"/>
    <n v="8"/>
    <n v="4"/>
    <n v="2026"/>
    <x v="8"/>
    <s v="Q3"/>
    <x v="1"/>
  </r>
  <r>
    <s v="O105462"/>
    <x v="740"/>
    <x v="4"/>
    <x v="7"/>
    <x v="1"/>
    <x v="3"/>
    <n v="9"/>
    <n v="144389"/>
    <d v="2025-11-28T00:00:00"/>
    <n v="11"/>
    <n v="28"/>
    <n v="2025"/>
    <x v="0"/>
    <s v="Q4"/>
    <x v="1"/>
  </r>
  <r>
    <s v="O101693"/>
    <x v="55"/>
    <x v="6"/>
    <x v="7"/>
    <x v="4"/>
    <x v="1"/>
    <n v="10"/>
    <n v="144310"/>
    <d v="2025-04-13T00:00:00"/>
    <n v="4"/>
    <n v="13"/>
    <n v="2025"/>
    <x v="11"/>
    <s v="Q2"/>
    <x v="4"/>
  </r>
  <r>
    <s v="O105316"/>
    <x v="520"/>
    <x v="2"/>
    <x v="6"/>
    <x v="0"/>
    <x v="1"/>
    <n v="5"/>
    <n v="144288"/>
    <d v="2025-11-19T00:00:00"/>
    <n v="11"/>
    <n v="19"/>
    <n v="2025"/>
    <x v="0"/>
    <s v="Q4"/>
    <x v="0"/>
  </r>
  <r>
    <s v="O111181"/>
    <x v="664"/>
    <x v="0"/>
    <x v="4"/>
    <x v="4"/>
    <x v="3"/>
    <n v="1"/>
    <n v="144286"/>
    <d v="2026-11-11T00:00:00"/>
    <n v="11"/>
    <n v="11"/>
    <n v="2026"/>
    <x v="0"/>
    <s v="Q4"/>
    <x v="4"/>
  </r>
  <r>
    <s v="O100144"/>
    <x v="306"/>
    <x v="5"/>
    <x v="7"/>
    <x v="4"/>
    <x v="2"/>
    <n v="9"/>
    <n v="144222"/>
    <d v="2025-09-01T00:00:00"/>
    <n v="9"/>
    <n v="1"/>
    <n v="2025"/>
    <x v="1"/>
    <s v="Q3"/>
    <x v="4"/>
  </r>
  <r>
    <s v="O105830"/>
    <x v="690"/>
    <x v="6"/>
    <x v="6"/>
    <x v="2"/>
    <x v="2"/>
    <n v="7"/>
    <n v="144163"/>
    <d v="2025-12-21T00:00:00"/>
    <n v="12"/>
    <n v="21"/>
    <n v="2025"/>
    <x v="7"/>
    <s v="Q4"/>
    <x v="2"/>
  </r>
  <r>
    <s v="O105031"/>
    <x v="271"/>
    <x v="10"/>
    <x v="7"/>
    <x v="1"/>
    <x v="2"/>
    <n v="8"/>
    <n v="144070"/>
    <d v="2025-02-11T00:00:00"/>
    <n v="2"/>
    <n v="11"/>
    <n v="2025"/>
    <x v="4"/>
    <s v="Q1"/>
    <x v="1"/>
  </r>
  <r>
    <s v="O107869"/>
    <x v="418"/>
    <x v="2"/>
    <x v="7"/>
    <x v="4"/>
    <x v="2"/>
    <n v="9"/>
    <n v="144031"/>
    <d v="2026-04-24T00:00:00"/>
    <n v="4"/>
    <n v="24"/>
    <n v="2026"/>
    <x v="11"/>
    <s v="Q2"/>
    <x v="4"/>
  </r>
  <r>
    <s v="O101277"/>
    <x v="656"/>
    <x v="1"/>
    <x v="7"/>
    <x v="4"/>
    <x v="1"/>
    <n v="8"/>
    <n v="144026"/>
    <d v="2025-03-19T00:00:00"/>
    <n v="3"/>
    <n v="19"/>
    <n v="2025"/>
    <x v="5"/>
    <s v="Q1"/>
    <x v="4"/>
  </r>
  <r>
    <s v="O105369"/>
    <x v="699"/>
    <x v="9"/>
    <x v="4"/>
    <x v="1"/>
    <x v="2"/>
    <n v="1"/>
    <n v="143942"/>
    <d v="2025-11-23T00:00:00"/>
    <n v="11"/>
    <n v="23"/>
    <n v="2025"/>
    <x v="0"/>
    <s v="Q4"/>
    <x v="1"/>
  </r>
  <r>
    <s v="O109818"/>
    <x v="299"/>
    <x v="9"/>
    <x v="6"/>
    <x v="0"/>
    <x v="2"/>
    <n v="5"/>
    <n v="143931"/>
    <d v="2026-08-20T00:00:00"/>
    <n v="8"/>
    <n v="20"/>
    <n v="2026"/>
    <x v="8"/>
    <s v="Q3"/>
    <x v="0"/>
  </r>
  <r>
    <s v="O108583"/>
    <x v="712"/>
    <x v="0"/>
    <x v="5"/>
    <x v="2"/>
    <x v="1"/>
    <n v="1"/>
    <n v="143921"/>
    <d v="2026-06-06T00:00:00"/>
    <n v="6"/>
    <n v="6"/>
    <n v="2026"/>
    <x v="2"/>
    <s v="Q2"/>
    <x v="2"/>
  </r>
  <r>
    <s v="O104198"/>
    <x v="0"/>
    <x v="10"/>
    <x v="7"/>
    <x v="3"/>
    <x v="3"/>
    <n v="10"/>
    <n v="143846"/>
    <d v="2025-12-09T00:00:00"/>
    <n v="12"/>
    <n v="9"/>
    <n v="2025"/>
    <x v="7"/>
    <s v="Q4"/>
    <x v="3"/>
  </r>
  <r>
    <s v="O107424"/>
    <x v="257"/>
    <x v="0"/>
    <x v="7"/>
    <x v="4"/>
    <x v="2"/>
    <n v="8"/>
    <n v="143826"/>
    <d v="2026-03-27T00:00:00"/>
    <n v="3"/>
    <n v="27"/>
    <n v="2026"/>
    <x v="5"/>
    <s v="Q1"/>
    <x v="4"/>
  </r>
  <r>
    <s v="O103392"/>
    <x v="708"/>
    <x v="6"/>
    <x v="5"/>
    <x v="0"/>
    <x v="2"/>
    <n v="1"/>
    <n v="143795"/>
    <d v="2025-07-26T00:00:00"/>
    <n v="7"/>
    <n v="26"/>
    <n v="2025"/>
    <x v="10"/>
    <s v="Q3"/>
    <x v="0"/>
  </r>
  <r>
    <s v="O103347"/>
    <x v="392"/>
    <x v="1"/>
    <x v="7"/>
    <x v="2"/>
    <x v="3"/>
    <n v="8"/>
    <n v="143781"/>
    <d v="2025-07-23T00:00:00"/>
    <n v="7"/>
    <n v="23"/>
    <n v="2025"/>
    <x v="10"/>
    <s v="Q3"/>
    <x v="2"/>
  </r>
  <r>
    <s v="O103861"/>
    <x v="565"/>
    <x v="5"/>
    <x v="5"/>
    <x v="2"/>
    <x v="2"/>
    <n v="1"/>
    <n v="143703"/>
    <d v="2025-08-23T00:00:00"/>
    <n v="8"/>
    <n v="23"/>
    <n v="2025"/>
    <x v="8"/>
    <s v="Q3"/>
    <x v="2"/>
  </r>
  <r>
    <s v="O107821"/>
    <x v="273"/>
    <x v="5"/>
    <x v="7"/>
    <x v="2"/>
    <x v="0"/>
    <n v="9"/>
    <n v="143684"/>
    <d v="2026-04-21T00:00:00"/>
    <n v="4"/>
    <n v="21"/>
    <n v="2026"/>
    <x v="11"/>
    <s v="Q2"/>
    <x v="2"/>
  </r>
  <r>
    <s v="O103661"/>
    <x v="308"/>
    <x v="10"/>
    <x v="6"/>
    <x v="0"/>
    <x v="3"/>
    <n v="5"/>
    <n v="143653"/>
    <d v="2025-11-08T00:00:00"/>
    <n v="11"/>
    <n v="8"/>
    <n v="2025"/>
    <x v="0"/>
    <s v="Q4"/>
    <x v="0"/>
  </r>
  <r>
    <s v="O104299"/>
    <x v="652"/>
    <x v="6"/>
    <x v="6"/>
    <x v="4"/>
    <x v="2"/>
    <n v="6"/>
    <n v="143633"/>
    <d v="2025-09-19T00:00:00"/>
    <n v="9"/>
    <n v="19"/>
    <n v="2025"/>
    <x v="1"/>
    <s v="Q3"/>
    <x v="4"/>
  </r>
  <r>
    <s v="O103916"/>
    <x v="212"/>
    <x v="10"/>
    <x v="7"/>
    <x v="2"/>
    <x v="1"/>
    <n v="9"/>
    <n v="143580"/>
    <d v="2025-08-26T00:00:00"/>
    <n v="8"/>
    <n v="26"/>
    <n v="2025"/>
    <x v="8"/>
    <s v="Q3"/>
    <x v="2"/>
  </r>
  <r>
    <s v="O104180"/>
    <x v="771"/>
    <x v="10"/>
    <x v="7"/>
    <x v="4"/>
    <x v="2"/>
    <n v="10"/>
    <n v="143574"/>
    <d v="2025-11-09T00:00:00"/>
    <n v="11"/>
    <n v="9"/>
    <n v="2025"/>
    <x v="0"/>
    <s v="Q4"/>
    <x v="4"/>
  </r>
  <r>
    <s v="O104376"/>
    <x v="191"/>
    <x v="9"/>
    <x v="6"/>
    <x v="1"/>
    <x v="0"/>
    <n v="5"/>
    <n v="143491"/>
    <d v="2025-09-23T00:00:00"/>
    <n v="9"/>
    <n v="23"/>
    <n v="2025"/>
    <x v="1"/>
    <s v="Q3"/>
    <x v="1"/>
  </r>
  <r>
    <s v="O109164"/>
    <x v="342"/>
    <x v="4"/>
    <x v="7"/>
    <x v="2"/>
    <x v="3"/>
    <n v="10"/>
    <n v="143441"/>
    <d v="2026-11-07T00:00:00"/>
    <n v="11"/>
    <n v="7"/>
    <n v="2026"/>
    <x v="0"/>
    <s v="Q4"/>
    <x v="2"/>
  </r>
  <r>
    <s v="O107174"/>
    <x v="221"/>
    <x v="4"/>
    <x v="4"/>
    <x v="0"/>
    <x v="1"/>
    <n v="1"/>
    <n v="143439"/>
    <d v="2026-12-03T00:00:00"/>
    <n v="12"/>
    <n v="3"/>
    <n v="2026"/>
    <x v="7"/>
    <s v="Q4"/>
    <x v="0"/>
  </r>
  <r>
    <s v="O108569"/>
    <x v="712"/>
    <x v="1"/>
    <x v="6"/>
    <x v="4"/>
    <x v="1"/>
    <n v="6"/>
    <n v="143339"/>
    <d v="2026-05-06T00:00:00"/>
    <n v="5"/>
    <n v="6"/>
    <n v="2026"/>
    <x v="3"/>
    <s v="Q2"/>
    <x v="4"/>
  </r>
  <r>
    <s v="O109549"/>
    <x v="643"/>
    <x v="5"/>
    <x v="6"/>
    <x v="2"/>
    <x v="2"/>
    <n v="5"/>
    <n v="143305"/>
    <d v="2026-04-08T00:00:00"/>
    <n v="4"/>
    <n v="8"/>
    <n v="2026"/>
    <x v="11"/>
    <s v="Q2"/>
    <x v="2"/>
  </r>
  <r>
    <s v="O102100"/>
    <x v="183"/>
    <x v="10"/>
    <x v="7"/>
    <x v="1"/>
    <x v="2"/>
    <n v="9"/>
    <n v="143181"/>
    <d v="2025-08-05T00:00:00"/>
    <n v="8"/>
    <n v="5"/>
    <n v="2025"/>
    <x v="8"/>
    <s v="Q3"/>
    <x v="1"/>
  </r>
  <r>
    <s v="O103583"/>
    <x v="671"/>
    <x v="0"/>
    <x v="7"/>
    <x v="3"/>
    <x v="1"/>
    <n v="8"/>
    <n v="143146"/>
    <d v="2025-06-08T00:00:00"/>
    <n v="6"/>
    <n v="8"/>
    <n v="2025"/>
    <x v="2"/>
    <s v="Q2"/>
    <x v="3"/>
  </r>
  <r>
    <s v="O108189"/>
    <x v="491"/>
    <x v="3"/>
    <x v="6"/>
    <x v="2"/>
    <x v="2"/>
    <n v="5"/>
    <n v="143110"/>
    <d v="2026-05-13T00:00:00"/>
    <n v="5"/>
    <n v="13"/>
    <n v="2026"/>
    <x v="3"/>
    <m/>
    <x v="2"/>
  </r>
  <r>
    <s v="O104346"/>
    <x v="669"/>
    <x v="6"/>
    <x v="7"/>
    <x v="0"/>
    <x v="0"/>
    <n v="10"/>
    <n v="143048"/>
    <d v="2025-09-21T00:00:00"/>
    <n v="9"/>
    <n v="21"/>
    <n v="2025"/>
    <x v="1"/>
    <s v="Q3"/>
    <x v="0"/>
  </r>
  <r>
    <s v="O109291"/>
    <x v="49"/>
    <x v="2"/>
    <x v="6"/>
    <x v="4"/>
    <x v="2"/>
    <n v="7"/>
    <n v="142908"/>
    <d v="2026-07-19T00:00:00"/>
    <n v="7"/>
    <n v="19"/>
    <n v="2026"/>
    <x v="10"/>
    <s v="Q3"/>
    <x v="4"/>
  </r>
  <r>
    <s v="O110508"/>
    <x v="615"/>
    <x v="10"/>
    <x v="6"/>
    <x v="1"/>
    <x v="1"/>
    <n v="7"/>
    <n v="142653"/>
    <d v="2026-01-10T00:00:00"/>
    <n v="1"/>
    <n v="10"/>
    <n v="2026"/>
    <x v="6"/>
    <s v="Q1"/>
    <x v="1"/>
  </r>
  <r>
    <s v="O103717"/>
    <x v="653"/>
    <x v="4"/>
    <x v="7"/>
    <x v="4"/>
    <x v="0"/>
    <n v="9"/>
    <n v="142541"/>
    <d v="2025-08-14T00:00:00"/>
    <n v="8"/>
    <n v="14"/>
    <n v="2025"/>
    <x v="8"/>
    <s v="Q3"/>
    <x v="4"/>
  </r>
  <r>
    <s v="O100555"/>
    <x v="94"/>
    <x v="2"/>
    <x v="5"/>
    <x v="0"/>
    <x v="2"/>
    <n v="1"/>
    <n v="142506"/>
    <d v="2025-03-02T00:00:00"/>
    <n v="3"/>
    <n v="2"/>
    <n v="2025"/>
    <x v="5"/>
    <s v="Q1"/>
    <x v="0"/>
  </r>
  <r>
    <s v="O109181"/>
    <x v="762"/>
    <x v="10"/>
    <x v="6"/>
    <x v="3"/>
    <x v="0"/>
    <n v="6"/>
    <n v="142385"/>
    <d v="2026-12-07T00:00:00"/>
    <n v="12"/>
    <n v="7"/>
    <n v="2026"/>
    <x v="7"/>
    <s v="Q4"/>
    <x v="3"/>
  </r>
  <r>
    <s v="O103683"/>
    <x v="568"/>
    <x v="3"/>
    <x v="4"/>
    <x v="3"/>
    <x v="0"/>
    <n v="1"/>
    <n v="142253"/>
    <d v="2025-12-08T00:00:00"/>
    <n v="12"/>
    <n v="8"/>
    <n v="2025"/>
    <x v="7"/>
    <s v="Q4"/>
    <x v="3"/>
  </r>
  <r>
    <s v="O109514"/>
    <x v="646"/>
    <x v="4"/>
    <x v="4"/>
    <x v="4"/>
    <x v="0"/>
    <n v="1"/>
    <n v="142164"/>
    <d v="2026-01-08T00:00:00"/>
    <n v="1"/>
    <n v="8"/>
    <n v="2026"/>
    <x v="6"/>
    <s v="Q1"/>
    <x v="4"/>
  </r>
  <r>
    <s v="O111547"/>
    <x v="498"/>
    <x v="6"/>
    <x v="6"/>
    <x v="1"/>
    <x v="0"/>
    <n v="5"/>
    <n v="142146"/>
    <d v="2026-03-12T00:00:00"/>
    <n v="3"/>
    <n v="12"/>
    <n v="2026"/>
    <x v="5"/>
    <s v="Q1"/>
    <x v="1"/>
  </r>
  <r>
    <s v="O100060"/>
    <x v="336"/>
    <x v="8"/>
    <x v="7"/>
    <x v="3"/>
    <x v="3"/>
    <n v="9"/>
    <n v="142085"/>
    <d v="2025-04-01T00:00:00"/>
    <n v="4"/>
    <n v="1"/>
    <n v="2025"/>
    <x v="11"/>
    <s v="Q2"/>
    <x v="3"/>
  </r>
  <r>
    <s v="O101147"/>
    <x v="97"/>
    <x v="0"/>
    <x v="4"/>
    <x v="3"/>
    <x v="0"/>
    <n v="1"/>
    <n v="141913"/>
    <d v="2025-11-03T00:00:00"/>
    <n v="11"/>
    <n v="3"/>
    <n v="2025"/>
    <x v="0"/>
    <s v="Q4"/>
    <x v="3"/>
  </r>
  <r>
    <s v="O100619"/>
    <x v="429"/>
    <x v="6"/>
    <x v="4"/>
    <x v="0"/>
    <x v="1"/>
    <n v="1"/>
    <n v="141902"/>
    <d v="2025-07-02T00:00:00"/>
    <n v="7"/>
    <n v="2"/>
    <n v="2025"/>
    <x v="10"/>
    <s v="Q3"/>
    <x v="0"/>
  </r>
  <r>
    <s v="O106724"/>
    <x v="182"/>
    <x v="10"/>
    <x v="6"/>
    <x v="2"/>
    <x v="1"/>
    <n v="7"/>
    <n v="141792"/>
    <d v="2026-02-13T00:00:00"/>
    <n v="2"/>
    <n v="13"/>
    <n v="2026"/>
    <x v="4"/>
    <s v="Q1"/>
    <x v="2"/>
  </r>
  <r>
    <s v="O108411"/>
    <x v="196"/>
    <x v="1"/>
    <x v="6"/>
    <x v="0"/>
    <x v="1"/>
    <n v="6"/>
    <n v="141761"/>
    <d v="2026-05-26T00:00:00"/>
    <n v="5"/>
    <n v="26"/>
    <n v="2026"/>
    <x v="3"/>
    <s v="Q2"/>
    <x v="0"/>
  </r>
  <r>
    <s v="O101510"/>
    <x v="406"/>
    <x v="8"/>
    <x v="4"/>
    <x v="1"/>
    <x v="2"/>
    <n v="1"/>
    <n v="141606"/>
    <d v="2025-02-04T00:00:00"/>
    <n v="2"/>
    <n v="4"/>
    <n v="2025"/>
    <x v="4"/>
    <s v="Q1"/>
    <x v="1"/>
  </r>
  <r>
    <s v="O111538"/>
    <x v="475"/>
    <x v="5"/>
    <x v="6"/>
    <x v="4"/>
    <x v="2"/>
    <n v="5"/>
    <n v="141576"/>
    <d v="2026-02-12T00:00:00"/>
    <n v="2"/>
    <n v="12"/>
    <n v="2026"/>
    <x v="4"/>
    <s v="Q1"/>
    <x v="4"/>
  </r>
  <r>
    <s v="O111033"/>
    <x v="260"/>
    <x v="8"/>
    <x v="7"/>
    <x v="2"/>
    <x v="3"/>
    <n v="9"/>
    <n v="141322"/>
    <d v="2026-02-11T00:00:00"/>
    <n v="2"/>
    <n v="11"/>
    <n v="2026"/>
    <x v="4"/>
    <s v="Q1"/>
    <x v="2"/>
  </r>
  <r>
    <s v="O106811"/>
    <x v="552"/>
    <x v="3"/>
    <x v="4"/>
    <x v="3"/>
    <x v="1"/>
    <n v="1"/>
    <n v="141307"/>
    <d v="2026-02-18T00:00:00"/>
    <n v="2"/>
    <n v="18"/>
    <n v="2026"/>
    <x v="4"/>
    <s v="Q1"/>
    <x v="3"/>
  </r>
  <r>
    <s v="O105393"/>
    <x v="298"/>
    <x v="5"/>
    <x v="5"/>
    <x v="4"/>
    <x v="3"/>
    <n v="1"/>
    <n v="141287"/>
    <d v="2025-11-24T00:00:00"/>
    <n v="11"/>
    <n v="24"/>
    <n v="2025"/>
    <x v="0"/>
    <s v="Q4"/>
    <x v="4"/>
  </r>
  <r>
    <s v="O111815"/>
    <x v="201"/>
    <x v="3"/>
    <x v="7"/>
    <x v="4"/>
    <x v="3"/>
    <n v="8"/>
    <n v="141201"/>
    <d v="2026-12-19T00:00:00"/>
    <n v="12"/>
    <n v="19"/>
    <n v="2026"/>
    <x v="7"/>
    <s v="Q4"/>
    <x v="4"/>
  </r>
  <r>
    <s v="O108072"/>
    <x v="503"/>
    <x v="3"/>
    <x v="7"/>
    <x v="3"/>
    <x v="0"/>
    <n v="9"/>
    <n v="141182"/>
    <d v="2026-06-05T00:00:00"/>
    <n v="6"/>
    <n v="5"/>
    <n v="2026"/>
    <x v="2"/>
    <s v="Q2"/>
    <x v="3"/>
  </r>
  <r>
    <s v="O102650"/>
    <x v="139"/>
    <x v="6"/>
    <x v="6"/>
    <x v="3"/>
    <x v="2"/>
    <n v="5"/>
    <n v="141164"/>
    <d v="2025-10-06T00:00:00"/>
    <n v="10"/>
    <n v="6"/>
    <n v="2025"/>
    <x v="9"/>
    <s v="Q4"/>
    <x v="3"/>
  </r>
  <r>
    <s v="O109786"/>
    <x v="181"/>
    <x v="10"/>
    <x v="4"/>
    <x v="3"/>
    <x v="1"/>
    <n v="1"/>
    <n v="141118"/>
    <d v="2026-08-18T00:00:00"/>
    <n v="8"/>
    <n v="18"/>
    <n v="2026"/>
    <x v="8"/>
    <s v="Q3"/>
    <x v="3"/>
  </r>
  <r>
    <s v="O100956"/>
    <x v="269"/>
    <x v="0"/>
    <x v="7"/>
    <x v="2"/>
    <x v="2"/>
    <n v="9"/>
    <n v="141061"/>
    <d v="2025-02-28T00:00:00"/>
    <n v="2"/>
    <n v="28"/>
    <n v="2025"/>
    <x v="4"/>
    <s v="Q1"/>
    <x v="2"/>
  </r>
  <r>
    <s v="O103768"/>
    <x v="440"/>
    <x v="9"/>
    <x v="6"/>
    <x v="0"/>
    <x v="0"/>
    <n v="7"/>
    <n v="141054"/>
    <d v="2025-08-17T00:00:00"/>
    <n v="8"/>
    <n v="17"/>
    <n v="2025"/>
    <x v="8"/>
    <s v="Q3"/>
    <x v="0"/>
  </r>
  <r>
    <s v="O101000"/>
    <x v="225"/>
    <x v="0"/>
    <x v="6"/>
    <x v="0"/>
    <x v="2"/>
    <n v="7"/>
    <n v="140994"/>
    <d v="2025-02-03T00:00:00"/>
    <n v="2"/>
    <n v="3"/>
    <n v="2025"/>
    <x v="4"/>
    <s v="Q1"/>
    <x v="0"/>
  </r>
  <r>
    <s v="O102344"/>
    <x v="384"/>
    <x v="0"/>
    <x v="7"/>
    <x v="3"/>
    <x v="2"/>
    <n v="9"/>
    <n v="140988"/>
    <d v="2025-05-23T00:00:00"/>
    <n v="5"/>
    <n v="23"/>
    <n v="2025"/>
    <x v="3"/>
    <s v="Q2"/>
    <x v="3"/>
  </r>
  <r>
    <s v="O102910"/>
    <x v="503"/>
    <x v="1"/>
    <x v="7"/>
    <x v="1"/>
    <x v="1"/>
    <n v="9"/>
    <n v="140845"/>
    <d v="2025-06-26T00:00:00"/>
    <n v="6"/>
    <n v="26"/>
    <n v="2025"/>
    <x v="2"/>
    <s v="Q2"/>
    <x v="1"/>
  </r>
  <r>
    <s v="O103843"/>
    <x v="308"/>
    <x v="9"/>
    <x v="6"/>
    <x v="3"/>
    <x v="3"/>
    <n v="7"/>
    <n v="140767"/>
    <d v="2025-08-22T00:00:00"/>
    <n v="8"/>
    <n v="22"/>
    <n v="2025"/>
    <x v="8"/>
    <s v="Q3"/>
    <x v="3"/>
  </r>
  <r>
    <s v="O104347"/>
    <x v="578"/>
    <x v="6"/>
    <x v="4"/>
    <x v="1"/>
    <x v="2"/>
    <n v="1"/>
    <n v="140737"/>
    <d v="2025-09-22T00:00:00"/>
    <n v="9"/>
    <n v="22"/>
    <n v="2025"/>
    <x v="1"/>
    <s v="Q3"/>
    <x v="1"/>
  </r>
  <r>
    <s v="O109964"/>
    <x v="487"/>
    <x v="0"/>
    <x v="6"/>
    <x v="4"/>
    <x v="2"/>
    <n v="7"/>
    <n v="140649"/>
    <d v="2026-08-29T00:00:00"/>
    <n v="8"/>
    <n v="29"/>
    <n v="2026"/>
    <x v="8"/>
    <s v="Q3"/>
    <x v="4"/>
  </r>
  <r>
    <s v="O101054"/>
    <x v="173"/>
    <x v="8"/>
    <x v="4"/>
    <x v="2"/>
    <x v="2"/>
    <n v="1"/>
    <n v="140631"/>
    <d v="2025-05-03T00:00:00"/>
    <n v="5"/>
    <n v="3"/>
    <n v="2025"/>
    <x v="3"/>
    <s v="Q2"/>
    <x v="2"/>
  </r>
  <r>
    <s v="O110785"/>
    <x v="719"/>
    <x v="3"/>
    <x v="4"/>
    <x v="1"/>
    <x v="0"/>
    <n v="1"/>
    <n v="140628"/>
    <d v="2026-10-18T00:00:00"/>
    <n v="10"/>
    <n v="18"/>
    <n v="2026"/>
    <x v="9"/>
    <s v="Q4"/>
    <x v="1"/>
  </r>
  <r>
    <s v="O111642"/>
    <x v="297"/>
    <x v="0"/>
    <x v="5"/>
    <x v="3"/>
    <x v="2"/>
    <n v="1"/>
    <n v="140571"/>
    <d v="2026-09-12T00:00:00"/>
    <n v="9"/>
    <n v="12"/>
    <n v="2026"/>
    <x v="1"/>
    <s v="Q3"/>
    <x v="3"/>
  </r>
  <r>
    <s v="O107721"/>
    <x v="528"/>
    <x v="1"/>
    <x v="6"/>
    <x v="2"/>
    <x v="1"/>
    <n v="6"/>
    <n v="140411"/>
    <d v="2026-04-15T00:00:00"/>
    <n v="4"/>
    <n v="15"/>
    <n v="2026"/>
    <x v="11"/>
    <s v="Q2"/>
    <x v="2"/>
  </r>
  <r>
    <s v="O102289"/>
    <x v="6"/>
    <x v="5"/>
    <x v="6"/>
    <x v="3"/>
    <x v="2"/>
    <n v="7"/>
    <n v="140396"/>
    <d v="2025-05-20T00:00:00"/>
    <n v="5"/>
    <n v="20"/>
    <n v="2025"/>
    <x v="3"/>
    <s v="Q2"/>
    <x v="3"/>
  </r>
  <r>
    <s v="O105602"/>
    <x v="745"/>
    <x v="8"/>
    <x v="7"/>
    <x v="0"/>
    <x v="2"/>
    <n v="10"/>
    <n v="140395"/>
    <d v="2025-07-12T00:00:00"/>
    <n v="7"/>
    <n v="12"/>
    <n v="2025"/>
    <x v="10"/>
    <s v="Q3"/>
    <x v="0"/>
  </r>
  <r>
    <s v="O109600"/>
    <x v="210"/>
    <x v="2"/>
    <x v="7"/>
    <x v="0"/>
    <x v="0"/>
    <n v="10"/>
    <n v="140316"/>
    <d v="2026-07-08T00:00:00"/>
    <n v="7"/>
    <n v="8"/>
    <n v="2026"/>
    <x v="10"/>
    <s v="Q3"/>
    <x v="0"/>
  </r>
  <r>
    <s v="O111381"/>
    <x v="206"/>
    <x v="0"/>
    <x v="6"/>
    <x v="4"/>
    <x v="1"/>
    <n v="5"/>
    <n v="140313"/>
    <d v="2026-11-23T00:00:00"/>
    <n v="11"/>
    <n v="23"/>
    <n v="2026"/>
    <x v="0"/>
    <s v="Q4"/>
    <x v="4"/>
  </r>
  <r>
    <s v="O111630"/>
    <x v="733"/>
    <x v="6"/>
    <x v="7"/>
    <x v="3"/>
    <x v="3"/>
    <n v="9"/>
    <n v="140303"/>
    <d v="2026-08-12T00:00:00"/>
    <n v="8"/>
    <n v="12"/>
    <n v="2026"/>
    <x v="8"/>
    <s v="Q3"/>
    <x v="3"/>
  </r>
  <r>
    <s v="O102325"/>
    <x v="18"/>
    <x v="4"/>
    <x v="5"/>
    <x v="2"/>
    <x v="2"/>
    <n v="1"/>
    <n v="140294"/>
    <d v="2025-05-22T00:00:00"/>
    <n v="5"/>
    <n v="22"/>
    <n v="2025"/>
    <x v="3"/>
    <s v="Q2"/>
    <x v="2"/>
  </r>
  <r>
    <s v="O106956"/>
    <x v="459"/>
    <x v="0"/>
    <x v="7"/>
    <x v="1"/>
    <x v="1"/>
    <n v="8"/>
    <n v="140272"/>
    <d v="2026-02-27T00:00:00"/>
    <n v="2"/>
    <n v="27"/>
    <n v="2026"/>
    <x v="4"/>
    <s v="Q1"/>
    <x v="1"/>
  </r>
  <r>
    <s v="O104759"/>
    <x v="794"/>
    <x v="10"/>
    <x v="6"/>
    <x v="3"/>
    <x v="2"/>
    <n v="5"/>
    <n v="140244"/>
    <d v="2025-10-17T00:00:00"/>
    <n v="10"/>
    <n v="17"/>
    <n v="2025"/>
    <x v="9"/>
    <s v="Q4"/>
    <x v="3"/>
  </r>
  <r>
    <s v="O111480"/>
    <x v="691"/>
    <x v="4"/>
    <x v="5"/>
    <x v="3"/>
    <x v="3"/>
    <n v="1"/>
    <n v="140202"/>
    <d v="2026-11-29T00:00:00"/>
    <n v="11"/>
    <n v="29"/>
    <n v="2026"/>
    <x v="0"/>
    <m/>
    <x v="3"/>
  </r>
  <r>
    <s v="O104339"/>
    <x v="617"/>
    <x v="0"/>
    <x v="7"/>
    <x v="1"/>
    <x v="2"/>
    <n v="9"/>
    <n v="140161"/>
    <d v="2025-09-21T00:00:00"/>
    <n v="9"/>
    <n v="21"/>
    <n v="2025"/>
    <x v="1"/>
    <s v="Q3"/>
    <x v="1"/>
  </r>
  <r>
    <s v="O109406"/>
    <x v="346"/>
    <x v="1"/>
    <x v="7"/>
    <x v="2"/>
    <x v="3"/>
    <n v="10"/>
    <n v="140108"/>
    <d v="2026-07-26T00:00:00"/>
    <n v="7"/>
    <n v="26"/>
    <n v="2026"/>
    <x v="10"/>
    <m/>
    <x v="2"/>
  </r>
  <r>
    <s v="O100642"/>
    <x v="182"/>
    <x v="9"/>
    <x v="7"/>
    <x v="0"/>
    <x v="0"/>
    <n v="8"/>
    <n v="140087"/>
    <d v="2025-08-02T00:00:00"/>
    <n v="8"/>
    <n v="2"/>
    <n v="2025"/>
    <x v="8"/>
    <s v="Q3"/>
    <x v="0"/>
  </r>
  <r>
    <s v="O111963"/>
    <x v="11"/>
    <x v="9"/>
    <x v="7"/>
    <x v="1"/>
    <x v="0"/>
    <n v="10"/>
    <n v="140076"/>
    <d v="2026-12-28T00:00:00"/>
    <n v="12"/>
    <n v="28"/>
    <n v="2026"/>
    <x v="7"/>
    <s v="Q4"/>
    <x v="1"/>
  </r>
  <r>
    <s v="O109509"/>
    <x v="538"/>
    <x v="8"/>
    <x v="7"/>
    <x v="2"/>
    <x v="1"/>
    <n v="8"/>
    <n v="139979"/>
    <d v="2026-01-08T00:00:00"/>
    <n v="1"/>
    <n v="8"/>
    <n v="2026"/>
    <x v="6"/>
    <m/>
    <x v="2"/>
  </r>
  <r>
    <s v="O103688"/>
    <x v="546"/>
    <x v="2"/>
    <x v="7"/>
    <x v="1"/>
    <x v="0"/>
    <n v="9"/>
    <n v="139924"/>
    <d v="2025-08-13T00:00:00"/>
    <n v="8"/>
    <n v="13"/>
    <n v="2025"/>
    <x v="8"/>
    <s v="Q3"/>
    <x v="1"/>
  </r>
  <r>
    <s v="O108320"/>
    <x v="709"/>
    <x v="4"/>
    <x v="6"/>
    <x v="4"/>
    <x v="0"/>
    <n v="7"/>
    <n v="139837"/>
    <d v="2026-05-21T00:00:00"/>
    <n v="5"/>
    <n v="21"/>
    <n v="2026"/>
    <x v="3"/>
    <s v="Q2"/>
    <x v="4"/>
  </r>
  <r>
    <s v="O104140"/>
    <x v="490"/>
    <x v="1"/>
    <x v="6"/>
    <x v="3"/>
    <x v="0"/>
    <n v="6"/>
    <n v="139806"/>
    <d v="2025-09-09T00:00:00"/>
    <n v="9"/>
    <n v="9"/>
    <n v="2025"/>
    <x v="1"/>
    <s v="Q3"/>
    <x v="3"/>
  </r>
  <r>
    <s v="O106416"/>
    <x v="574"/>
    <x v="4"/>
    <x v="6"/>
    <x v="2"/>
    <x v="3"/>
    <n v="5"/>
    <n v="139791"/>
    <d v="2026-01-25T00:00:00"/>
    <n v="1"/>
    <n v="25"/>
    <n v="2026"/>
    <x v="6"/>
    <s v="Q1"/>
    <x v="2"/>
  </r>
  <r>
    <s v="O103667"/>
    <x v="173"/>
    <x v="9"/>
    <x v="5"/>
    <x v="2"/>
    <x v="1"/>
    <n v="1"/>
    <n v="139724"/>
    <d v="2025-11-08T00:00:00"/>
    <n v="11"/>
    <n v="8"/>
    <n v="2025"/>
    <x v="0"/>
    <s v="Q4"/>
    <x v="2"/>
  </r>
  <r>
    <s v="O105331"/>
    <x v="230"/>
    <x v="6"/>
    <x v="7"/>
    <x v="3"/>
    <x v="3"/>
    <n v="8"/>
    <n v="139709"/>
    <d v="2025-11-20T00:00:00"/>
    <n v="11"/>
    <n v="20"/>
    <n v="2025"/>
    <x v="0"/>
    <s v="Q4"/>
    <x v="3"/>
  </r>
  <r>
    <s v="O100341"/>
    <x v="110"/>
    <x v="4"/>
    <x v="6"/>
    <x v="4"/>
    <x v="2"/>
    <n v="5"/>
    <n v="139615"/>
    <d v="2025-01-21T00:00:00"/>
    <n v="1"/>
    <n v="21"/>
    <n v="2025"/>
    <x v="6"/>
    <s v="Q1"/>
    <x v="4"/>
  </r>
  <r>
    <s v="O106209"/>
    <x v="124"/>
    <x v="6"/>
    <x v="7"/>
    <x v="0"/>
    <x v="2"/>
    <n v="10"/>
    <n v="139564"/>
    <d v="2026-01-13T00:00:00"/>
    <n v="1"/>
    <n v="13"/>
    <n v="2026"/>
    <x v="6"/>
    <s v="Q1"/>
    <x v="0"/>
  </r>
  <r>
    <s v="O105120"/>
    <x v="209"/>
    <x v="2"/>
    <x v="7"/>
    <x v="3"/>
    <x v="3"/>
    <n v="10"/>
    <n v="139549"/>
    <d v="2025-08-11T00:00:00"/>
    <n v="8"/>
    <n v="11"/>
    <n v="2025"/>
    <x v="8"/>
    <s v="Q3"/>
    <x v="3"/>
  </r>
  <r>
    <s v="O110821"/>
    <x v="468"/>
    <x v="10"/>
    <x v="6"/>
    <x v="0"/>
    <x v="3"/>
    <n v="5"/>
    <n v="139499"/>
    <d v="2026-10-20T00:00:00"/>
    <n v="10"/>
    <n v="20"/>
    <n v="2026"/>
    <x v="9"/>
    <s v="Q4"/>
    <x v="0"/>
  </r>
  <r>
    <s v="O103221"/>
    <x v="425"/>
    <x v="9"/>
    <x v="6"/>
    <x v="1"/>
    <x v="1"/>
    <n v="5"/>
    <n v="139488"/>
    <d v="2025-07-15T00:00:00"/>
    <n v="7"/>
    <n v="15"/>
    <n v="2025"/>
    <x v="10"/>
    <s v="Q3"/>
    <x v="1"/>
  </r>
  <r>
    <s v="O102840"/>
    <x v="652"/>
    <x v="2"/>
    <x v="7"/>
    <x v="3"/>
    <x v="3"/>
    <n v="8"/>
    <n v="139375"/>
    <d v="2025-06-22T00:00:00"/>
    <n v="6"/>
    <n v="22"/>
    <n v="2025"/>
    <x v="2"/>
    <s v="Q2"/>
    <x v="3"/>
  </r>
  <r>
    <s v="O100126"/>
    <x v="359"/>
    <x v="8"/>
    <x v="6"/>
    <x v="3"/>
    <x v="2"/>
    <n v="6"/>
    <n v="139372"/>
    <d v="2025-08-01T00:00:00"/>
    <n v="8"/>
    <n v="1"/>
    <n v="2025"/>
    <x v="8"/>
    <s v="Q3"/>
    <x v="3"/>
  </r>
  <r>
    <s v="O104542"/>
    <x v="741"/>
    <x v="5"/>
    <x v="6"/>
    <x v="4"/>
    <x v="1"/>
    <n v="7"/>
    <n v="139293"/>
    <d v="2025-03-10T00:00:00"/>
    <n v="3"/>
    <n v="10"/>
    <n v="2025"/>
    <x v="5"/>
    <s v="Q1"/>
    <x v="4"/>
  </r>
  <r>
    <s v="O104112"/>
    <x v="773"/>
    <x v="9"/>
    <x v="6"/>
    <x v="2"/>
    <x v="2"/>
    <n v="5"/>
    <n v="139286"/>
    <d v="2025-07-09T00:00:00"/>
    <n v="7"/>
    <n v="9"/>
    <n v="2025"/>
    <x v="10"/>
    <s v="Q3"/>
    <x v="2"/>
  </r>
  <r>
    <s v="O100137"/>
    <x v="514"/>
    <x v="1"/>
    <x v="6"/>
    <x v="4"/>
    <x v="0"/>
    <n v="7"/>
    <n v="139282"/>
    <d v="2025-09-01T00:00:00"/>
    <n v="9"/>
    <n v="1"/>
    <n v="2025"/>
    <x v="1"/>
    <m/>
    <x v="4"/>
  </r>
  <r>
    <s v="O101084"/>
    <x v="322"/>
    <x v="5"/>
    <x v="5"/>
    <x v="2"/>
    <x v="3"/>
    <n v="1"/>
    <n v="139230"/>
    <d v="2025-07-03T00:00:00"/>
    <n v="7"/>
    <n v="3"/>
    <n v="2025"/>
    <x v="10"/>
    <s v="Q3"/>
    <x v="2"/>
  </r>
  <r>
    <s v="O103003"/>
    <x v="316"/>
    <x v="4"/>
    <x v="7"/>
    <x v="1"/>
    <x v="1"/>
    <n v="10"/>
    <n v="139212"/>
    <d v="2025-02-07T00:00:00"/>
    <n v="2"/>
    <n v="7"/>
    <n v="2025"/>
    <x v="4"/>
    <s v="Q1"/>
    <x v="1"/>
  </r>
  <r>
    <s v="O103523"/>
    <x v="193"/>
    <x v="10"/>
    <x v="7"/>
    <x v="3"/>
    <x v="3"/>
    <n v="10"/>
    <n v="139183"/>
    <d v="2025-02-08T00:00:00"/>
    <n v="2"/>
    <n v="8"/>
    <n v="2025"/>
    <x v="4"/>
    <s v="Q1"/>
    <x v="3"/>
  </r>
  <r>
    <s v="O108904"/>
    <x v="376"/>
    <x v="6"/>
    <x v="4"/>
    <x v="0"/>
    <x v="0"/>
    <n v="1"/>
    <n v="139113"/>
    <d v="2026-06-25T00:00:00"/>
    <n v="6"/>
    <n v="25"/>
    <n v="2026"/>
    <x v="2"/>
    <s v="Q2"/>
    <x v="0"/>
  </r>
  <r>
    <s v="O107871"/>
    <x v="104"/>
    <x v="6"/>
    <x v="5"/>
    <x v="3"/>
    <x v="0"/>
    <n v="1"/>
    <n v="139099"/>
    <d v="2026-04-24T00:00:00"/>
    <n v="4"/>
    <n v="24"/>
    <n v="2026"/>
    <x v="11"/>
    <s v="Q2"/>
    <x v="3"/>
  </r>
  <r>
    <s v="O100767"/>
    <x v="478"/>
    <x v="8"/>
    <x v="4"/>
    <x v="1"/>
    <x v="3"/>
    <n v="1"/>
    <n v="139067"/>
    <d v="2025-02-16T00:00:00"/>
    <n v="2"/>
    <n v="16"/>
    <n v="2025"/>
    <x v="4"/>
    <s v="Q1"/>
    <x v="1"/>
  </r>
  <r>
    <s v="O104397"/>
    <x v="711"/>
    <x v="9"/>
    <x v="7"/>
    <x v="4"/>
    <x v="3"/>
    <n v="9"/>
    <n v="139048"/>
    <d v="2025-09-25T00:00:00"/>
    <n v="9"/>
    <n v="25"/>
    <n v="2025"/>
    <x v="1"/>
    <s v="Q3"/>
    <x v="4"/>
  </r>
  <r>
    <s v="O102442"/>
    <x v="106"/>
    <x v="8"/>
    <x v="6"/>
    <x v="0"/>
    <x v="1"/>
    <n v="5"/>
    <n v="139016"/>
    <d v="2025-05-29T00:00:00"/>
    <n v="5"/>
    <n v="29"/>
    <n v="2025"/>
    <x v="3"/>
    <s v="Q2"/>
    <x v="0"/>
  </r>
  <r>
    <s v="O109365"/>
    <x v="614"/>
    <x v="6"/>
    <x v="7"/>
    <x v="10"/>
    <x v="2"/>
    <n v="10"/>
    <n v="138973"/>
    <d v="2026-07-23T00:00:00"/>
    <n v="7"/>
    <n v="23"/>
    <n v="2026"/>
    <x v="10"/>
    <s v="Q3"/>
    <x v="1"/>
  </r>
  <r>
    <s v="O105215"/>
    <x v="1"/>
    <x v="9"/>
    <x v="7"/>
    <x v="4"/>
    <x v="1"/>
    <n v="8"/>
    <n v="138924"/>
    <d v="2025-11-13T00:00:00"/>
    <n v="11"/>
    <n v="13"/>
    <n v="2025"/>
    <x v="0"/>
    <s v="Q4"/>
    <x v="4"/>
  </r>
  <r>
    <s v="O100068"/>
    <x v="192"/>
    <x v="5"/>
    <x v="4"/>
    <x v="1"/>
    <x v="2"/>
    <n v="1"/>
    <n v="138904"/>
    <d v="2025-05-01T00:00:00"/>
    <n v="5"/>
    <n v="1"/>
    <n v="2025"/>
    <x v="3"/>
    <s v="Q2"/>
    <x v="1"/>
  </r>
  <r>
    <s v="O110961"/>
    <x v="708"/>
    <x v="3"/>
    <x v="7"/>
    <x v="3"/>
    <x v="3"/>
    <n v="10"/>
    <n v="138899"/>
    <d v="2026-10-28T00:00:00"/>
    <n v="10"/>
    <n v="28"/>
    <n v="2026"/>
    <x v="9"/>
    <s v="Q4"/>
    <x v="3"/>
  </r>
  <r>
    <s v="O101407"/>
    <x v="374"/>
    <x v="3"/>
    <x v="5"/>
    <x v="1"/>
    <x v="1"/>
    <n v="1"/>
    <n v="138745"/>
    <d v="2025-03-27T00:00:00"/>
    <n v="3"/>
    <n v="27"/>
    <n v="2025"/>
    <x v="5"/>
    <s v="Q1"/>
    <x v="1"/>
  </r>
  <r>
    <s v="O110358"/>
    <x v="693"/>
    <x v="4"/>
    <x v="7"/>
    <x v="3"/>
    <x v="3"/>
    <n v="9"/>
    <n v="138726"/>
    <d v="2026-09-22T00:00:00"/>
    <n v="9"/>
    <n v="22"/>
    <n v="2026"/>
    <x v="1"/>
    <s v="Q3"/>
    <x v="3"/>
  </r>
  <r>
    <s v="O106586"/>
    <x v="186"/>
    <x v="6"/>
    <x v="7"/>
    <x v="3"/>
    <x v="0"/>
    <n v="8"/>
    <n v="138715"/>
    <d v="2026-05-02T00:00:00"/>
    <n v="5"/>
    <n v="2"/>
    <n v="2026"/>
    <x v="3"/>
    <s v="Q2"/>
    <x v="3"/>
  </r>
  <r>
    <s v="O103508"/>
    <x v="55"/>
    <x v="0"/>
    <x v="6"/>
    <x v="2"/>
    <x v="1"/>
    <n v="5"/>
    <n v="138695"/>
    <d v="2025-02-08T00:00:00"/>
    <n v="2"/>
    <n v="8"/>
    <n v="2025"/>
    <x v="4"/>
    <s v="Q1"/>
    <x v="2"/>
  </r>
  <r>
    <s v="O107159"/>
    <x v="778"/>
    <x v="2"/>
    <x v="7"/>
    <x v="4"/>
    <x v="2"/>
    <n v="10"/>
    <n v="138681"/>
    <d v="2026-11-03T00:00:00"/>
    <n v="11"/>
    <n v="3"/>
    <n v="2026"/>
    <x v="0"/>
    <s v="Q4"/>
    <x v="4"/>
  </r>
  <r>
    <s v="O101152"/>
    <x v="405"/>
    <x v="0"/>
    <x v="5"/>
    <x v="2"/>
    <x v="1"/>
    <n v="1"/>
    <n v="138667"/>
    <d v="2025-11-03T00:00:00"/>
    <n v="11"/>
    <n v="3"/>
    <n v="2025"/>
    <x v="0"/>
    <s v="Q4"/>
    <x v="2"/>
  </r>
  <r>
    <s v="O110490"/>
    <x v="475"/>
    <x v="5"/>
    <x v="7"/>
    <x v="6"/>
    <x v="2"/>
    <n v="9"/>
    <n v="138657"/>
    <d v="2026-09-30T00:00:00"/>
    <n v="9"/>
    <n v="30"/>
    <n v="2026"/>
    <x v="1"/>
    <s v="Q3"/>
    <x v="4"/>
  </r>
  <r>
    <s v="O108733"/>
    <x v="56"/>
    <x v="5"/>
    <x v="7"/>
    <x v="1"/>
    <x v="2"/>
    <n v="9"/>
    <n v="138649"/>
    <d v="2026-06-15T00:00:00"/>
    <n v="6"/>
    <n v="15"/>
    <n v="2026"/>
    <x v="2"/>
    <s v="Q2"/>
    <x v="1"/>
  </r>
  <r>
    <s v="O102738"/>
    <x v="163"/>
    <x v="3"/>
    <x v="6"/>
    <x v="8"/>
    <x v="0"/>
    <n v="6"/>
    <n v="138622"/>
    <d v="2025-06-16T00:00:00"/>
    <n v="6"/>
    <n v="16"/>
    <n v="2025"/>
    <x v="2"/>
    <s v="Q2"/>
    <x v="2"/>
  </r>
  <r>
    <s v="O101628"/>
    <x v="316"/>
    <x v="4"/>
    <x v="6"/>
    <x v="2"/>
    <x v="3"/>
    <n v="6"/>
    <n v="138568"/>
    <d v="2025-04-09T00:00:00"/>
    <n v="4"/>
    <n v="9"/>
    <n v="2025"/>
    <x v="11"/>
    <s v="Q2"/>
    <x v="2"/>
  </r>
  <r>
    <s v="O100229"/>
    <x v="711"/>
    <x v="1"/>
    <x v="5"/>
    <x v="4"/>
    <x v="3"/>
    <n v="1"/>
    <n v="138539"/>
    <d v="2025-01-14T00:00:00"/>
    <n v="1"/>
    <n v="14"/>
    <n v="2025"/>
    <x v="6"/>
    <s v="Q1"/>
    <x v="4"/>
  </r>
  <r>
    <s v="O103989"/>
    <x v="521"/>
    <x v="4"/>
    <x v="7"/>
    <x v="2"/>
    <x v="1"/>
    <n v="10"/>
    <n v="138536"/>
    <d v="2025-08-31T00:00:00"/>
    <n v="8"/>
    <n v="31"/>
    <n v="2025"/>
    <x v="8"/>
    <s v="Q3"/>
    <x v="2"/>
  </r>
  <r>
    <s v="O102000"/>
    <x v="276"/>
    <x v="2"/>
    <x v="7"/>
    <x v="0"/>
    <x v="3"/>
    <n v="8"/>
    <n v="138470"/>
    <d v="2025-02-05T00:00:00"/>
    <n v="2"/>
    <n v="5"/>
    <n v="2025"/>
    <x v="4"/>
    <s v="Q1"/>
    <x v="0"/>
  </r>
  <r>
    <s v="O101149"/>
    <x v="428"/>
    <x v="3"/>
    <x v="5"/>
    <x v="1"/>
    <x v="3"/>
    <n v="1"/>
    <n v="138415"/>
    <d v="2025-11-03T00:00:00"/>
    <n v="11"/>
    <n v="3"/>
    <n v="2025"/>
    <x v="0"/>
    <s v="Q4"/>
    <x v="1"/>
  </r>
  <r>
    <s v="O102282"/>
    <x v="697"/>
    <x v="2"/>
    <x v="7"/>
    <x v="0"/>
    <x v="1"/>
    <n v="8"/>
    <n v="138361"/>
    <d v="2025-05-19T00:00:00"/>
    <n v="5"/>
    <n v="19"/>
    <n v="2025"/>
    <x v="3"/>
    <s v="Q2"/>
    <x v="0"/>
  </r>
  <r>
    <s v="O103479"/>
    <x v="30"/>
    <x v="6"/>
    <x v="6"/>
    <x v="4"/>
    <x v="1"/>
    <n v="-1"/>
    <n v="138317"/>
    <d v="2025-07-31T00:00:00"/>
    <n v="7"/>
    <n v="31"/>
    <n v="2025"/>
    <x v="10"/>
    <s v="Q3"/>
    <x v="4"/>
  </r>
  <r>
    <s v="O111337"/>
    <x v="516"/>
    <x v="10"/>
    <x v="7"/>
    <x v="1"/>
    <x v="3"/>
    <n v="9"/>
    <n v="138305"/>
    <d v="2026-11-20T00:00:00"/>
    <n v="11"/>
    <n v="20"/>
    <n v="2026"/>
    <x v="0"/>
    <s v="Q4"/>
    <x v="1"/>
  </r>
  <r>
    <s v="O108385"/>
    <x v="654"/>
    <x v="10"/>
    <x v="7"/>
    <x v="1"/>
    <x v="0"/>
    <n v="8"/>
    <n v="138243"/>
    <d v="2026-05-25T00:00:00"/>
    <n v="5"/>
    <n v="25"/>
    <n v="2026"/>
    <x v="3"/>
    <s v="Q2"/>
    <x v="1"/>
  </r>
  <r>
    <s v="O100252"/>
    <x v="642"/>
    <x v="9"/>
    <x v="7"/>
    <x v="0"/>
    <x v="1"/>
    <n v="9"/>
    <n v="138171"/>
    <d v="2025-01-16T00:00:00"/>
    <n v="1"/>
    <n v="16"/>
    <n v="2025"/>
    <x v="6"/>
    <s v="Q1"/>
    <x v="0"/>
  </r>
  <r>
    <s v="O101901"/>
    <x v="540"/>
    <x v="6"/>
    <x v="6"/>
    <x v="0"/>
    <x v="1"/>
    <n v="7"/>
    <n v="138067"/>
    <d v="2025-04-26T00:00:00"/>
    <n v="4"/>
    <n v="26"/>
    <n v="2025"/>
    <x v="11"/>
    <s v="Q2"/>
    <x v="0"/>
  </r>
  <r>
    <s v="O107774"/>
    <x v="357"/>
    <x v="9"/>
    <x v="7"/>
    <x v="0"/>
    <x v="0"/>
    <n v="9"/>
    <n v="138052"/>
    <d v="2026-04-18T00:00:00"/>
    <n v="4"/>
    <n v="18"/>
    <n v="2026"/>
    <x v="11"/>
    <s v="Q2"/>
    <x v="0"/>
  </r>
  <r>
    <s v="O106985"/>
    <x v="489"/>
    <x v="5"/>
    <x v="5"/>
    <x v="2"/>
    <x v="0"/>
    <n v="1"/>
    <n v="138022"/>
    <d v="2026-01-03T00:00:00"/>
    <n v="1"/>
    <n v="3"/>
    <n v="2026"/>
    <x v="6"/>
    <s v="Q1"/>
    <x v="2"/>
  </r>
  <r>
    <s v="O100040"/>
    <x v="566"/>
    <x v="1"/>
    <x v="6"/>
    <x v="1"/>
    <x v="0"/>
    <n v="7"/>
    <n v="137950"/>
    <d v="2025-03-01T00:00:00"/>
    <n v="3"/>
    <n v="1"/>
    <n v="2025"/>
    <x v="5"/>
    <s v="Q1"/>
    <x v="1"/>
  </r>
  <r>
    <s v="O103554"/>
    <x v="561"/>
    <x v="5"/>
    <x v="6"/>
    <x v="1"/>
    <x v="2"/>
    <n v="6"/>
    <n v="137949"/>
    <d v="2025-04-08T00:00:00"/>
    <n v="4"/>
    <n v="8"/>
    <n v="2025"/>
    <x v="11"/>
    <s v="Q2"/>
    <x v="1"/>
  </r>
  <r>
    <s v="O111292"/>
    <x v="188"/>
    <x v="4"/>
    <x v="7"/>
    <x v="1"/>
    <x v="2"/>
    <n v="9"/>
    <n v="137914"/>
    <d v="2026-11-17T00:00:00"/>
    <n v="11"/>
    <n v="17"/>
    <n v="2026"/>
    <x v="0"/>
    <s v="Q4"/>
    <x v="1"/>
  </r>
  <r>
    <s v="O107522"/>
    <x v="132"/>
    <x v="4"/>
    <x v="6"/>
    <x v="4"/>
    <x v="2"/>
    <n v="5"/>
    <n v="137890"/>
    <d v="2026-02-04T00:00:00"/>
    <n v="2"/>
    <n v="4"/>
    <n v="2026"/>
    <x v="4"/>
    <s v="Q1"/>
    <x v="4"/>
  </r>
  <r>
    <s v="O106986"/>
    <x v="731"/>
    <x v="0"/>
    <x v="7"/>
    <x v="0"/>
    <x v="1"/>
    <n v="8"/>
    <n v="137848"/>
    <d v="2026-01-03T00:00:00"/>
    <n v="1"/>
    <n v="3"/>
    <n v="2026"/>
    <x v="6"/>
    <s v="Q1"/>
    <x v="0"/>
  </r>
  <r>
    <s v="O111372"/>
    <x v="386"/>
    <x v="3"/>
    <x v="7"/>
    <x v="0"/>
    <x v="2"/>
    <n v="8"/>
    <n v="137846"/>
    <d v="2026-11-22T00:00:00"/>
    <n v="11"/>
    <n v="22"/>
    <n v="2026"/>
    <x v="0"/>
    <s v="Q4"/>
    <x v="0"/>
  </r>
  <r>
    <s v="O104377"/>
    <x v="750"/>
    <x v="0"/>
    <x v="7"/>
    <x v="3"/>
    <x v="0"/>
    <n v="9"/>
    <n v="137823"/>
    <d v="2025-09-23T00:00:00"/>
    <n v="9"/>
    <n v="23"/>
    <n v="2025"/>
    <x v="1"/>
    <s v="Q3"/>
    <x v="3"/>
  </r>
  <r>
    <s v="O107474"/>
    <x v="372"/>
    <x v="2"/>
    <x v="6"/>
    <x v="0"/>
    <x v="1"/>
    <n v="6"/>
    <n v="137816"/>
    <d v="2026-03-31T00:00:00"/>
    <n v="3"/>
    <n v="31"/>
    <n v="2026"/>
    <x v="5"/>
    <s v="Q1"/>
    <x v="0"/>
  </r>
  <r>
    <s v="O105834"/>
    <x v="625"/>
    <x v="10"/>
    <x v="6"/>
    <x v="1"/>
    <x v="3"/>
    <n v="7"/>
    <n v="137762"/>
    <d v="2025-12-21T00:00:00"/>
    <n v="12"/>
    <n v="21"/>
    <n v="2025"/>
    <x v="7"/>
    <s v="Q4"/>
    <x v="1"/>
  </r>
  <r>
    <s v="O103106"/>
    <x v="227"/>
    <x v="10"/>
    <x v="6"/>
    <x v="2"/>
    <x v="0"/>
    <n v="7"/>
    <n v="137749"/>
    <d v="2025-08-07T00:00:00"/>
    <n v="8"/>
    <n v="7"/>
    <n v="2025"/>
    <x v="8"/>
    <s v="Q3"/>
    <x v="2"/>
  </r>
  <r>
    <s v="O103187"/>
    <x v="591"/>
    <x v="1"/>
    <x v="7"/>
    <x v="2"/>
    <x v="3"/>
    <n v="9"/>
    <n v="137645"/>
    <d v="2025-07-13T00:00:00"/>
    <n v="7"/>
    <n v="13"/>
    <n v="2025"/>
    <x v="10"/>
    <s v="Q3"/>
    <x v="2"/>
  </r>
  <r>
    <s v="O104594"/>
    <x v="449"/>
    <x v="2"/>
    <x v="7"/>
    <x v="3"/>
    <x v="2"/>
    <n v="9"/>
    <n v="137595"/>
    <d v="2025-07-10T00:00:00"/>
    <n v="7"/>
    <n v="10"/>
    <n v="2025"/>
    <x v="10"/>
    <s v="Q3"/>
    <x v="3"/>
  </r>
  <r>
    <s v="O103748"/>
    <x v="672"/>
    <x v="3"/>
    <x v="7"/>
    <x v="3"/>
    <x v="3"/>
    <n v="10"/>
    <n v="137594"/>
    <d v="2025-08-16T00:00:00"/>
    <n v="8"/>
    <n v="16"/>
    <n v="2025"/>
    <x v="8"/>
    <s v="Q3"/>
    <x v="3"/>
  </r>
  <r>
    <s v="O102599"/>
    <x v="321"/>
    <x v="4"/>
    <x v="7"/>
    <x v="2"/>
    <x v="0"/>
    <n v="10"/>
    <n v="137585"/>
    <d v="2025-07-06T00:00:00"/>
    <n v="7"/>
    <n v="6"/>
    <n v="2025"/>
    <x v="10"/>
    <s v="Q3"/>
    <x v="2"/>
  </r>
  <r>
    <s v="O102407"/>
    <x v="243"/>
    <x v="0"/>
    <x v="7"/>
    <x v="0"/>
    <x v="0"/>
    <n v="8"/>
    <n v="137521"/>
    <d v="2025-05-27T00:00:00"/>
    <n v="5"/>
    <n v="27"/>
    <n v="2025"/>
    <x v="3"/>
    <s v="Q2"/>
    <x v="0"/>
  </r>
  <r>
    <s v="O100224"/>
    <x v="506"/>
    <x v="8"/>
    <x v="7"/>
    <x v="0"/>
    <x v="1"/>
    <n v="8"/>
    <n v="137518"/>
    <d v="2025-01-14T00:00:00"/>
    <n v="1"/>
    <n v="14"/>
    <n v="2025"/>
    <x v="6"/>
    <s v="Q1"/>
    <x v="0"/>
  </r>
  <r>
    <s v="O111946"/>
    <x v="412"/>
    <x v="9"/>
    <x v="5"/>
    <x v="4"/>
    <x v="2"/>
    <n v="1"/>
    <n v="137419"/>
    <d v="2026-12-27T00:00:00"/>
    <n v="12"/>
    <n v="27"/>
    <n v="2026"/>
    <x v="7"/>
    <s v="Q4"/>
    <x v="4"/>
  </r>
  <r>
    <s v="O107420"/>
    <x v="53"/>
    <x v="3"/>
    <x v="4"/>
    <x v="2"/>
    <x v="2"/>
    <n v="1"/>
    <n v="137341"/>
    <d v="2026-03-27T00:00:00"/>
    <n v="3"/>
    <n v="27"/>
    <n v="2026"/>
    <x v="5"/>
    <s v="Q1"/>
    <x v="2"/>
  </r>
  <r>
    <s v="O106915"/>
    <x v="403"/>
    <x v="4"/>
    <x v="7"/>
    <x v="1"/>
    <x v="1"/>
    <n v="8"/>
    <n v="137325"/>
    <d v="2026-02-25T00:00:00"/>
    <n v="2"/>
    <n v="25"/>
    <n v="2026"/>
    <x v="4"/>
    <s v="Q1"/>
    <x v="1"/>
  </r>
  <r>
    <s v="O110616"/>
    <x v="140"/>
    <x v="1"/>
    <x v="6"/>
    <x v="2"/>
    <x v="2"/>
    <n v="5"/>
    <n v="137244"/>
    <d v="2026-07-10T00:00:00"/>
    <n v="7"/>
    <n v="10"/>
    <n v="2026"/>
    <x v="10"/>
    <s v="Q3"/>
    <x v="2"/>
  </r>
  <r>
    <s v="O105422"/>
    <x v="714"/>
    <x v="4"/>
    <x v="7"/>
    <x v="3"/>
    <x v="0"/>
    <n v="8"/>
    <n v="137150"/>
    <d v="2025-11-26T00:00:00"/>
    <n v="11"/>
    <n v="26"/>
    <n v="2025"/>
    <x v="0"/>
    <s v="Q4"/>
    <x v="3"/>
  </r>
  <r>
    <s v="O111587"/>
    <x v="555"/>
    <x v="6"/>
    <x v="7"/>
    <x v="0"/>
    <x v="3"/>
    <n v="9"/>
    <n v="137077"/>
    <d v="2026-05-12T00:00:00"/>
    <n v="5"/>
    <n v="12"/>
    <n v="2026"/>
    <x v="3"/>
    <s v="Q2"/>
    <x v="0"/>
  </r>
  <r>
    <s v="O110964"/>
    <x v="141"/>
    <x v="9"/>
    <x v="7"/>
    <x v="3"/>
    <x v="2"/>
    <n v="8"/>
    <n v="137067"/>
    <d v="2026-10-29T00:00:00"/>
    <n v="10"/>
    <n v="29"/>
    <n v="2026"/>
    <x v="9"/>
    <s v="Q4"/>
    <x v="3"/>
  </r>
  <r>
    <s v="O101306"/>
    <x v="421"/>
    <x v="6"/>
    <x v="5"/>
    <x v="0"/>
    <x v="3"/>
    <n v="1"/>
    <n v="136998"/>
    <d v="2025-03-21T00:00:00"/>
    <n v="3"/>
    <n v="21"/>
    <n v="2025"/>
    <x v="5"/>
    <s v="Q1"/>
    <x v="0"/>
  </r>
  <r>
    <s v="O102975"/>
    <x v="610"/>
    <x v="5"/>
    <x v="7"/>
    <x v="1"/>
    <x v="0"/>
    <n v="8"/>
    <n v="136950"/>
    <d v="2025-06-30T00:00:00"/>
    <n v="6"/>
    <n v="30"/>
    <n v="2025"/>
    <x v="2"/>
    <s v="Q2"/>
    <x v="1"/>
  </r>
  <r>
    <s v="O105998"/>
    <x v="380"/>
    <x v="6"/>
    <x v="4"/>
    <x v="1"/>
    <x v="0"/>
    <n v="1"/>
    <n v="136870"/>
    <d v="2025-12-31T00:00:00"/>
    <n v="12"/>
    <n v="31"/>
    <n v="2025"/>
    <x v="7"/>
    <s v="Q4"/>
    <x v="1"/>
  </r>
  <r>
    <s v="O100988"/>
    <x v="245"/>
    <x v="9"/>
    <x v="6"/>
    <x v="2"/>
    <x v="0"/>
    <n v="6"/>
    <n v="136743"/>
    <d v="2025-01-03T00:00:00"/>
    <n v="1"/>
    <n v="3"/>
    <n v="2025"/>
    <x v="6"/>
    <s v="Q1"/>
    <x v="2"/>
  </r>
  <r>
    <s v="O100740"/>
    <x v="291"/>
    <x v="1"/>
    <x v="7"/>
    <x v="4"/>
    <x v="2"/>
    <n v="10"/>
    <n v="136716"/>
    <d v="2025-02-14T00:00:00"/>
    <n v="2"/>
    <n v="14"/>
    <n v="2025"/>
    <x v="4"/>
    <s v="Q1"/>
    <x v="4"/>
  </r>
  <r>
    <s v="O106987"/>
    <x v="386"/>
    <x v="6"/>
    <x v="6"/>
    <x v="0"/>
    <x v="2"/>
    <n v="5"/>
    <n v="136653"/>
    <d v="2026-01-03T00:00:00"/>
    <n v="1"/>
    <n v="3"/>
    <n v="2026"/>
    <x v="6"/>
    <s v="Q1"/>
    <x v="0"/>
  </r>
  <r>
    <s v="O107117"/>
    <x v="9"/>
    <x v="6"/>
    <x v="4"/>
    <x v="4"/>
    <x v="1"/>
    <n v="1"/>
    <n v="136611"/>
    <d v="2026-09-03T00:00:00"/>
    <n v="9"/>
    <n v="3"/>
    <n v="2026"/>
    <x v="1"/>
    <s v="Q3"/>
    <x v="4"/>
  </r>
  <r>
    <s v="O104307"/>
    <x v="346"/>
    <x v="10"/>
    <x v="6"/>
    <x v="4"/>
    <x v="2"/>
    <n v="5"/>
    <n v="136602"/>
    <d v="2025-09-19T00:00:00"/>
    <n v="9"/>
    <n v="19"/>
    <n v="2025"/>
    <x v="1"/>
    <m/>
    <x v="4"/>
  </r>
  <r>
    <s v="O106278"/>
    <x v="785"/>
    <x v="0"/>
    <x v="7"/>
    <x v="1"/>
    <x v="0"/>
    <n v="8"/>
    <n v="136511"/>
    <d v="2026-01-17T00:00:00"/>
    <n v="1"/>
    <n v="17"/>
    <n v="2026"/>
    <x v="6"/>
    <s v="Q1"/>
    <x v="1"/>
  </r>
  <r>
    <s v="O102536"/>
    <x v="174"/>
    <x v="9"/>
    <x v="5"/>
    <x v="3"/>
    <x v="3"/>
    <n v="1"/>
    <n v="136506"/>
    <d v="2025-04-06T00:00:00"/>
    <n v="4"/>
    <n v="6"/>
    <n v="2025"/>
    <x v="11"/>
    <s v="Q2"/>
    <x v="3"/>
  </r>
  <r>
    <s v="O110851"/>
    <x v="227"/>
    <x v="0"/>
    <x v="6"/>
    <x v="4"/>
    <x v="0"/>
    <n v="7"/>
    <n v="136332"/>
    <d v="2026-10-22T00:00:00"/>
    <n v="10"/>
    <n v="22"/>
    <n v="2026"/>
    <x v="9"/>
    <s v="Q4"/>
    <x v="4"/>
  </r>
  <r>
    <s v="O110513"/>
    <x v="132"/>
    <x v="6"/>
    <x v="7"/>
    <x v="2"/>
    <x v="0"/>
    <n v="10"/>
    <n v="136263"/>
    <d v="2026-01-10T00:00:00"/>
    <n v="1"/>
    <n v="10"/>
    <n v="2026"/>
    <x v="6"/>
    <s v="Q1"/>
    <x v="2"/>
  </r>
  <r>
    <s v="O106708"/>
    <x v="347"/>
    <x v="1"/>
    <x v="6"/>
    <x v="3"/>
    <x v="1"/>
    <n v="5"/>
    <n v="136197"/>
    <d v="2026-12-02T00:00:00"/>
    <n v="12"/>
    <n v="2"/>
    <n v="2026"/>
    <x v="7"/>
    <s v="Q4"/>
    <x v="3"/>
  </r>
  <r>
    <s v="O111229"/>
    <x v="724"/>
    <x v="2"/>
    <x v="7"/>
    <x v="4"/>
    <x v="2"/>
    <n v="9"/>
    <n v="136182"/>
    <d v="2026-11-14T00:00:00"/>
    <n v="11"/>
    <n v="14"/>
    <n v="2026"/>
    <x v="0"/>
    <s v="Q4"/>
    <x v="4"/>
  </r>
  <r>
    <s v="O110153"/>
    <x v="555"/>
    <x v="4"/>
    <x v="7"/>
    <x v="3"/>
    <x v="1"/>
    <n v="8"/>
    <n v="136154"/>
    <d v="2026-09-09T00:00:00"/>
    <n v="9"/>
    <n v="9"/>
    <n v="2026"/>
    <x v="1"/>
    <s v="Q3"/>
    <x v="3"/>
  </r>
  <r>
    <s v="O109662"/>
    <x v="307"/>
    <x v="9"/>
    <x v="7"/>
    <x v="1"/>
    <x v="2"/>
    <n v="8"/>
    <n v="136095"/>
    <d v="2026-10-08T00:00:00"/>
    <n v="10"/>
    <n v="8"/>
    <n v="2026"/>
    <x v="9"/>
    <s v="Q4"/>
    <x v="1"/>
  </r>
  <r>
    <s v="O102376"/>
    <x v="269"/>
    <x v="0"/>
    <x v="7"/>
    <x v="0"/>
    <x v="2"/>
    <n v="10"/>
    <n v="136086"/>
    <d v="2025-05-25T00:00:00"/>
    <n v="5"/>
    <n v="25"/>
    <n v="2025"/>
    <x v="3"/>
    <s v="Q2"/>
    <x v="0"/>
  </r>
  <r>
    <s v="O100828"/>
    <x v="293"/>
    <x v="2"/>
    <x v="7"/>
    <x v="4"/>
    <x v="2"/>
    <n v="8"/>
    <n v="136078"/>
    <d v="2025-02-20T00:00:00"/>
    <n v="2"/>
    <n v="20"/>
    <n v="2025"/>
    <x v="4"/>
    <s v="Q1"/>
    <x v="4"/>
  </r>
  <r>
    <s v="O105200"/>
    <x v="351"/>
    <x v="2"/>
    <x v="7"/>
    <x v="4"/>
    <x v="1"/>
    <n v="8"/>
    <n v="136057"/>
    <d v="2025-12-11T00:00:00"/>
    <n v="12"/>
    <n v="11"/>
    <n v="2025"/>
    <x v="7"/>
    <s v="Q4"/>
    <x v="4"/>
  </r>
  <r>
    <s v="O105268"/>
    <x v="214"/>
    <x v="6"/>
    <x v="6"/>
    <x v="1"/>
    <x v="0"/>
    <n v="5"/>
    <n v="136043"/>
    <d v="2025-11-16T00:00:00"/>
    <n v="11"/>
    <n v="16"/>
    <n v="2025"/>
    <x v="0"/>
    <s v="Q4"/>
    <x v="1"/>
  </r>
  <r>
    <s v="O104526"/>
    <x v="367"/>
    <x v="8"/>
    <x v="6"/>
    <x v="4"/>
    <x v="2"/>
    <n v="5"/>
    <n v="136041"/>
    <d v="2025-02-10T00:00:00"/>
    <n v="2"/>
    <n v="10"/>
    <n v="2025"/>
    <x v="4"/>
    <s v="Q1"/>
    <x v="4"/>
  </r>
  <r>
    <s v="O108134"/>
    <x v="52"/>
    <x v="10"/>
    <x v="7"/>
    <x v="1"/>
    <x v="3"/>
    <n v="8"/>
    <n v="135953"/>
    <d v="2026-10-05T00:00:00"/>
    <n v="10"/>
    <n v="5"/>
    <n v="2026"/>
    <x v="9"/>
    <s v="Q4"/>
    <x v="1"/>
  </r>
  <r>
    <s v="O109577"/>
    <x v="663"/>
    <x v="2"/>
    <x v="4"/>
    <x v="0"/>
    <x v="2"/>
    <n v="1"/>
    <n v="135952"/>
    <d v="2026-05-08T00:00:00"/>
    <n v="5"/>
    <n v="8"/>
    <n v="2026"/>
    <x v="3"/>
    <s v="Q2"/>
    <x v="0"/>
  </r>
  <r>
    <s v="O110546"/>
    <x v="260"/>
    <x v="8"/>
    <x v="7"/>
    <x v="2"/>
    <x v="0"/>
    <n v="8"/>
    <n v="135888"/>
    <d v="2026-03-10T00:00:00"/>
    <n v="3"/>
    <n v="10"/>
    <n v="2026"/>
    <x v="5"/>
    <s v="Q1"/>
    <x v="2"/>
  </r>
  <r>
    <s v="O108656"/>
    <x v="458"/>
    <x v="5"/>
    <x v="6"/>
    <x v="0"/>
    <x v="0"/>
    <n v="6"/>
    <n v="135873"/>
    <d v="2026-10-06T00:00:00"/>
    <n v="10"/>
    <n v="6"/>
    <n v="2026"/>
    <x v="9"/>
    <s v="Q4"/>
    <x v="0"/>
  </r>
  <r>
    <s v="O103303"/>
    <x v="170"/>
    <x v="2"/>
    <x v="6"/>
    <x v="4"/>
    <x v="0"/>
    <n v="5"/>
    <n v="135816"/>
    <d v="2025-07-20T00:00:00"/>
    <n v="7"/>
    <n v="20"/>
    <n v="2025"/>
    <x v="10"/>
    <s v="Q3"/>
    <x v="4"/>
  </r>
  <r>
    <s v="O110259"/>
    <x v="546"/>
    <x v="10"/>
    <x v="5"/>
    <x v="0"/>
    <x v="2"/>
    <n v="1"/>
    <n v="135814"/>
    <d v="2026-09-16T00:00:00"/>
    <n v="9"/>
    <n v="16"/>
    <n v="2026"/>
    <x v="1"/>
    <s v="Q3"/>
    <x v="0"/>
  </r>
  <r>
    <s v="O102184"/>
    <x v="310"/>
    <x v="5"/>
    <x v="7"/>
    <x v="0"/>
    <x v="3"/>
    <n v="9"/>
    <n v="135753"/>
    <d v="2025-05-13T00:00:00"/>
    <n v="5"/>
    <n v="13"/>
    <n v="2025"/>
    <x v="3"/>
    <s v="Q2"/>
    <x v="0"/>
  </r>
  <r>
    <s v="O108565"/>
    <x v="144"/>
    <x v="4"/>
    <x v="6"/>
    <x v="3"/>
    <x v="2"/>
    <n v="5"/>
    <n v="135748"/>
    <d v="2026-05-06T00:00:00"/>
    <n v="5"/>
    <n v="6"/>
    <n v="2026"/>
    <x v="3"/>
    <s v="Q2"/>
    <x v="3"/>
  </r>
  <r>
    <s v="O109715"/>
    <x v="443"/>
    <x v="8"/>
    <x v="6"/>
    <x v="4"/>
    <x v="1"/>
    <n v="6"/>
    <n v="135636"/>
    <d v="2026-08-14T00:00:00"/>
    <n v="8"/>
    <n v="14"/>
    <n v="2026"/>
    <x v="8"/>
    <m/>
    <x v="4"/>
  </r>
  <r>
    <s v="O102270"/>
    <x v="554"/>
    <x v="9"/>
    <x v="6"/>
    <x v="3"/>
    <x v="1"/>
    <n v="6"/>
    <n v="135585"/>
    <d v="2025-05-18T00:00:00"/>
    <n v="5"/>
    <n v="18"/>
    <n v="2025"/>
    <x v="3"/>
    <s v="Q2"/>
    <x v="3"/>
  </r>
  <r>
    <s v="O105862"/>
    <x v="36"/>
    <x v="10"/>
    <x v="6"/>
    <x v="0"/>
    <x v="1"/>
    <n v="5"/>
    <n v="135568"/>
    <d v="2025-12-23T00:00:00"/>
    <n v="12"/>
    <n v="23"/>
    <n v="2025"/>
    <x v="7"/>
    <s v="Q4"/>
    <x v="0"/>
  </r>
  <r>
    <s v="O104790"/>
    <x v="529"/>
    <x v="4"/>
    <x v="7"/>
    <x v="0"/>
    <x v="0"/>
    <n v="10"/>
    <n v="135524"/>
    <d v="2025-10-18T00:00:00"/>
    <n v="10"/>
    <n v="18"/>
    <n v="2025"/>
    <x v="9"/>
    <s v="Q4"/>
    <x v="0"/>
  </r>
  <r>
    <s v="O107898"/>
    <x v="205"/>
    <x v="2"/>
    <x v="6"/>
    <x v="0"/>
    <x v="1"/>
    <n v="7"/>
    <n v="135524"/>
    <d v="2026-04-25T00:00:00"/>
    <n v="4"/>
    <n v="25"/>
    <n v="2026"/>
    <x v="11"/>
    <s v="Q2"/>
    <x v="0"/>
  </r>
  <r>
    <s v="O100713"/>
    <x v="742"/>
    <x v="4"/>
    <x v="6"/>
    <x v="0"/>
    <x v="1"/>
    <n v="5"/>
    <n v="135312"/>
    <d v="2025-02-13T00:00:00"/>
    <n v="2"/>
    <n v="13"/>
    <n v="2025"/>
    <x v="4"/>
    <s v="Q1"/>
    <x v="0"/>
  </r>
  <r>
    <s v="O108118"/>
    <x v="392"/>
    <x v="2"/>
    <x v="7"/>
    <x v="2"/>
    <x v="3"/>
    <n v="8"/>
    <n v="135303"/>
    <d v="2026-09-05T00:00:00"/>
    <n v="9"/>
    <n v="5"/>
    <n v="2026"/>
    <x v="1"/>
    <s v="Q3"/>
    <x v="2"/>
  </r>
  <r>
    <s v="O109103"/>
    <x v="617"/>
    <x v="2"/>
    <x v="7"/>
    <x v="3"/>
    <x v="2"/>
    <n v="9"/>
    <n v="135234"/>
    <d v="2026-07-07T00:00:00"/>
    <n v="7"/>
    <n v="7"/>
    <n v="2026"/>
    <x v="10"/>
    <s v="Q3"/>
    <x v="3"/>
  </r>
  <r>
    <s v="O100567"/>
    <x v="307"/>
    <x v="8"/>
    <x v="7"/>
    <x v="3"/>
    <x v="0"/>
    <n v="10"/>
    <n v="135199"/>
    <d v="2025-04-02T00:00:00"/>
    <n v="4"/>
    <n v="2"/>
    <n v="2025"/>
    <x v="11"/>
    <s v="Q2"/>
    <x v="3"/>
  </r>
  <r>
    <s v="O100394"/>
    <x v="341"/>
    <x v="3"/>
    <x v="4"/>
    <x v="2"/>
    <x v="2"/>
    <n v="1"/>
    <n v="135120"/>
    <d v="2025-01-24T00:00:00"/>
    <n v="1"/>
    <n v="24"/>
    <n v="2025"/>
    <x v="6"/>
    <m/>
    <x v="2"/>
  </r>
  <r>
    <s v="O105480"/>
    <x v="154"/>
    <x v="9"/>
    <x v="7"/>
    <x v="3"/>
    <x v="3"/>
    <n v="10"/>
    <n v="135057"/>
    <d v="2025-11-29T00:00:00"/>
    <n v="11"/>
    <n v="29"/>
    <n v="2025"/>
    <x v="0"/>
    <s v="Q4"/>
    <x v="3"/>
  </r>
  <r>
    <s v="O104936"/>
    <x v="752"/>
    <x v="3"/>
    <x v="7"/>
    <x v="3"/>
    <x v="2"/>
    <n v="8"/>
    <n v="134983"/>
    <d v="2025-10-27T00:00:00"/>
    <n v="10"/>
    <n v="27"/>
    <n v="2025"/>
    <x v="9"/>
    <s v="Q4"/>
    <x v="3"/>
  </r>
  <r>
    <s v="O108554"/>
    <x v="343"/>
    <x v="4"/>
    <x v="7"/>
    <x v="2"/>
    <x v="2"/>
    <n v="8"/>
    <n v="134926"/>
    <d v="2026-04-06T00:00:00"/>
    <n v="4"/>
    <n v="6"/>
    <n v="2026"/>
    <x v="11"/>
    <s v="Q2"/>
    <x v="2"/>
  </r>
  <r>
    <s v="O109675"/>
    <x v="504"/>
    <x v="10"/>
    <x v="7"/>
    <x v="2"/>
    <x v="2"/>
    <n v="8"/>
    <n v="134923"/>
    <d v="2026-11-08T00:00:00"/>
    <n v="11"/>
    <n v="8"/>
    <n v="2026"/>
    <x v="0"/>
    <s v="Q4"/>
    <x v="2"/>
  </r>
  <r>
    <s v="O103720"/>
    <x v="111"/>
    <x v="3"/>
    <x v="7"/>
    <x v="3"/>
    <x v="2"/>
    <n v="9"/>
    <n v="134903"/>
    <d v="2025-08-14T00:00:00"/>
    <n v="8"/>
    <n v="14"/>
    <n v="2025"/>
    <x v="8"/>
    <s v="Q3"/>
    <x v="3"/>
  </r>
  <r>
    <s v="O106545"/>
    <x v="183"/>
    <x v="9"/>
    <x v="6"/>
    <x v="1"/>
    <x v="2"/>
    <n v="7"/>
    <n v="134829"/>
    <d v="2026-02-02T00:00:00"/>
    <n v="2"/>
    <n v="2"/>
    <n v="2026"/>
    <x v="4"/>
    <s v="Q1"/>
    <x v="1"/>
  </r>
  <r>
    <s v="O107275"/>
    <x v="456"/>
    <x v="1"/>
    <x v="6"/>
    <x v="1"/>
    <x v="1"/>
    <n v="6"/>
    <n v="134813"/>
    <d v="2026-03-18T00:00:00"/>
    <n v="3"/>
    <n v="18"/>
    <n v="2026"/>
    <x v="5"/>
    <s v="Q1"/>
    <x v="1"/>
  </r>
  <r>
    <s v="O105047"/>
    <x v="798"/>
    <x v="3"/>
    <x v="6"/>
    <x v="3"/>
    <x v="0"/>
    <n v="5"/>
    <n v="134806"/>
    <d v="2025-03-11T00:00:00"/>
    <n v="3"/>
    <n v="11"/>
    <n v="2025"/>
    <x v="5"/>
    <s v="Q1"/>
    <x v="3"/>
  </r>
  <r>
    <s v="O102218"/>
    <x v="635"/>
    <x v="8"/>
    <x v="7"/>
    <x v="4"/>
    <x v="0"/>
    <n v="10"/>
    <n v="134806"/>
    <d v="2025-05-15T00:00:00"/>
    <n v="5"/>
    <n v="15"/>
    <n v="2025"/>
    <x v="3"/>
    <s v="Q2"/>
    <x v="4"/>
  </r>
  <r>
    <s v="O104164"/>
    <x v="517"/>
    <x v="6"/>
    <x v="7"/>
    <x v="0"/>
    <x v="2"/>
    <n v="9"/>
    <n v="134802"/>
    <d v="2025-10-09T00:00:00"/>
    <n v="10"/>
    <n v="9"/>
    <n v="2025"/>
    <x v="9"/>
    <s v="Q4"/>
    <x v="0"/>
  </r>
  <r>
    <s v="O100475"/>
    <x v="26"/>
    <x v="1"/>
    <x v="6"/>
    <x v="3"/>
    <x v="0"/>
    <n v="5"/>
    <n v="134733"/>
    <d v="2025-01-29T00:00:00"/>
    <n v="1"/>
    <n v="29"/>
    <n v="2025"/>
    <x v="6"/>
    <s v="Q1"/>
    <x v="3"/>
  </r>
  <r>
    <s v="O103866"/>
    <x v="213"/>
    <x v="6"/>
    <x v="7"/>
    <x v="3"/>
    <x v="3"/>
    <n v="9"/>
    <n v="134662"/>
    <d v="2025-08-23T00:00:00"/>
    <n v="8"/>
    <n v="23"/>
    <n v="2025"/>
    <x v="8"/>
    <m/>
    <x v="3"/>
  </r>
  <r>
    <s v="O106255"/>
    <x v="434"/>
    <x v="10"/>
    <x v="7"/>
    <x v="3"/>
    <x v="3"/>
    <n v="8"/>
    <n v="134576"/>
    <d v="2026-01-15T00:00:00"/>
    <n v="1"/>
    <n v="15"/>
    <n v="2026"/>
    <x v="6"/>
    <s v="Q1"/>
    <x v="3"/>
  </r>
  <r>
    <s v="O104500"/>
    <x v="390"/>
    <x v="8"/>
    <x v="7"/>
    <x v="0"/>
    <x v="0"/>
    <n v="10"/>
    <n v="134547"/>
    <d v="2025-01-10T00:00:00"/>
    <n v="1"/>
    <n v="10"/>
    <n v="2025"/>
    <x v="6"/>
    <s v="Q1"/>
    <x v="0"/>
  </r>
  <r>
    <s v="O100429"/>
    <x v="262"/>
    <x v="5"/>
    <x v="7"/>
    <x v="3"/>
    <x v="3"/>
    <n v="9"/>
    <n v="134540"/>
    <d v="2025-01-27T00:00:00"/>
    <n v="1"/>
    <n v="27"/>
    <n v="2025"/>
    <x v="6"/>
    <s v="Q1"/>
    <x v="3"/>
  </r>
  <r>
    <s v="O100583"/>
    <x v="733"/>
    <x v="1"/>
    <x v="6"/>
    <x v="0"/>
    <x v="0"/>
    <n v="7"/>
    <n v="134506"/>
    <d v="2025-05-02T00:00:00"/>
    <n v="5"/>
    <n v="2"/>
    <n v="2025"/>
    <x v="3"/>
    <s v="Q2"/>
    <x v="0"/>
  </r>
  <r>
    <s v="O102340"/>
    <x v="103"/>
    <x v="5"/>
    <x v="7"/>
    <x v="4"/>
    <x v="2"/>
    <n v="8"/>
    <n v="134489"/>
    <d v="2025-05-23T00:00:00"/>
    <n v="5"/>
    <n v="23"/>
    <n v="2025"/>
    <x v="3"/>
    <s v="Q2"/>
    <x v="4"/>
  </r>
  <r>
    <s v="O103367"/>
    <x v="728"/>
    <x v="1"/>
    <x v="7"/>
    <x v="3"/>
    <x v="0"/>
    <n v="10"/>
    <n v="134345"/>
    <d v="2025-07-24T00:00:00"/>
    <n v="7"/>
    <n v="24"/>
    <n v="2025"/>
    <x v="10"/>
    <s v="Q3"/>
    <x v="3"/>
  </r>
  <r>
    <s v="O110708"/>
    <x v="344"/>
    <x v="4"/>
    <x v="6"/>
    <x v="0"/>
    <x v="3"/>
    <n v="6"/>
    <n v="134220"/>
    <d v="2026-10-13T00:00:00"/>
    <n v="10"/>
    <n v="13"/>
    <n v="2026"/>
    <x v="9"/>
    <s v="Q4"/>
    <x v="0"/>
  </r>
  <r>
    <s v="O102041"/>
    <x v="373"/>
    <x v="3"/>
    <x v="5"/>
    <x v="1"/>
    <x v="3"/>
    <n v="1"/>
    <n v="134204"/>
    <d v="2025-04-05T00:00:00"/>
    <n v="4"/>
    <n v="5"/>
    <n v="2025"/>
    <x v="11"/>
    <s v="Q2"/>
    <x v="1"/>
  </r>
  <r>
    <s v="O111255"/>
    <x v="344"/>
    <x v="3"/>
    <x v="7"/>
    <x v="4"/>
    <x v="2"/>
    <n v="9"/>
    <n v="134134"/>
    <d v="2026-11-15T00:00:00"/>
    <n v="11"/>
    <n v="15"/>
    <n v="2026"/>
    <x v="0"/>
    <s v="Q4"/>
    <x v="4"/>
  </r>
  <r>
    <s v="O111967"/>
    <x v="1"/>
    <x v="4"/>
    <x v="5"/>
    <x v="4"/>
    <x v="3"/>
    <n v="1"/>
    <n v="134113"/>
    <d v="2026-12-28T00:00:00"/>
    <n v="12"/>
    <n v="28"/>
    <n v="2026"/>
    <x v="7"/>
    <s v="Q4"/>
    <x v="4"/>
  </r>
  <r>
    <s v="O100130"/>
    <x v="218"/>
    <x v="0"/>
    <x v="6"/>
    <x v="3"/>
    <x v="0"/>
    <n v="5"/>
    <n v="134107"/>
    <d v="2025-08-01T00:00:00"/>
    <n v="8"/>
    <n v="1"/>
    <n v="2025"/>
    <x v="8"/>
    <s v="Q3"/>
    <x v="3"/>
  </r>
  <r>
    <s v="O101041"/>
    <x v="613"/>
    <x v="5"/>
    <x v="6"/>
    <x v="3"/>
    <x v="2"/>
    <n v="5"/>
    <n v="134044"/>
    <d v="2025-05-03T00:00:00"/>
    <n v="5"/>
    <n v="3"/>
    <n v="2025"/>
    <x v="3"/>
    <s v="Q2"/>
    <x v="3"/>
  </r>
  <r>
    <s v="O103725"/>
    <x v="223"/>
    <x v="4"/>
    <x v="7"/>
    <x v="0"/>
    <x v="1"/>
    <n v="8"/>
    <n v="133962"/>
    <d v="2025-08-15T00:00:00"/>
    <n v="8"/>
    <n v="15"/>
    <n v="2025"/>
    <x v="8"/>
    <s v="Q3"/>
    <x v="0"/>
  </r>
  <r>
    <s v="O100965"/>
    <x v="512"/>
    <x v="2"/>
    <x v="7"/>
    <x v="3"/>
    <x v="0"/>
    <n v="8"/>
    <n v="133944"/>
    <d v="2025-02-28T00:00:00"/>
    <n v="2"/>
    <n v="28"/>
    <n v="2025"/>
    <x v="4"/>
    <s v="Q1"/>
    <x v="3"/>
  </r>
  <r>
    <s v="O107448"/>
    <x v="371"/>
    <x v="1"/>
    <x v="7"/>
    <x v="0"/>
    <x v="2"/>
    <n v="10"/>
    <n v="133807"/>
    <d v="2026-03-29T00:00:00"/>
    <n v="3"/>
    <n v="29"/>
    <n v="2026"/>
    <x v="5"/>
    <s v="Q1"/>
    <x v="0"/>
  </r>
  <r>
    <s v="O101879"/>
    <x v="645"/>
    <x v="1"/>
    <x v="7"/>
    <x v="1"/>
    <x v="0"/>
    <n v="8"/>
    <n v="133761"/>
    <d v="2025-04-25T00:00:00"/>
    <n v="4"/>
    <n v="25"/>
    <n v="2025"/>
    <x v="11"/>
    <s v="Q2"/>
    <x v="1"/>
  </r>
  <r>
    <s v="O102336"/>
    <x v="451"/>
    <x v="9"/>
    <x v="7"/>
    <x v="3"/>
    <x v="3"/>
    <n v="8"/>
    <n v="133741"/>
    <d v="2025-05-22T00:00:00"/>
    <n v="5"/>
    <n v="22"/>
    <n v="2025"/>
    <x v="3"/>
    <s v="Q2"/>
    <x v="3"/>
  </r>
  <r>
    <s v="O110817"/>
    <x v="346"/>
    <x v="4"/>
    <x v="5"/>
    <x v="0"/>
    <x v="2"/>
    <n v="1"/>
    <n v="133735"/>
    <d v="2026-10-20T00:00:00"/>
    <n v="10"/>
    <n v="20"/>
    <n v="2026"/>
    <x v="9"/>
    <m/>
    <x v="0"/>
  </r>
  <r>
    <s v="O108624"/>
    <x v="306"/>
    <x v="4"/>
    <x v="5"/>
    <x v="2"/>
    <x v="2"/>
    <n v="1"/>
    <n v="133671"/>
    <d v="2026-08-06T00:00:00"/>
    <n v="8"/>
    <n v="6"/>
    <n v="2026"/>
    <x v="8"/>
    <s v="Q3"/>
    <x v="2"/>
  </r>
  <r>
    <s v="O101069"/>
    <x v="127"/>
    <x v="1"/>
    <x v="7"/>
    <x v="1"/>
    <x v="1"/>
    <n v="9"/>
    <n v="133548"/>
    <d v="2025-06-03T00:00:00"/>
    <n v="6"/>
    <n v="3"/>
    <n v="2025"/>
    <x v="2"/>
    <s v="Q2"/>
    <x v="1"/>
  </r>
  <r>
    <s v="O109871"/>
    <x v="601"/>
    <x v="1"/>
    <x v="7"/>
    <x v="1"/>
    <x v="3"/>
    <n v="8"/>
    <n v="133490"/>
    <d v="2026-08-23T00:00:00"/>
    <n v="8"/>
    <n v="23"/>
    <n v="2026"/>
    <x v="8"/>
    <s v="Q3"/>
    <x v="1"/>
  </r>
  <r>
    <s v="O108311"/>
    <x v="644"/>
    <x v="2"/>
    <x v="6"/>
    <x v="2"/>
    <x v="1"/>
    <n v="5"/>
    <n v="133489"/>
    <d v="2026-05-20T00:00:00"/>
    <n v="5"/>
    <n v="20"/>
    <n v="2026"/>
    <x v="3"/>
    <s v="Q2"/>
    <x v="2"/>
  </r>
  <r>
    <s v="O105420"/>
    <x v="407"/>
    <x v="8"/>
    <x v="7"/>
    <x v="3"/>
    <x v="0"/>
    <n v="9"/>
    <n v="133342"/>
    <d v="2025-11-26T00:00:00"/>
    <n v="11"/>
    <n v="26"/>
    <n v="2025"/>
    <x v="0"/>
    <s v="Q4"/>
    <x v="3"/>
  </r>
  <r>
    <s v="O111592"/>
    <x v="39"/>
    <x v="5"/>
    <x v="5"/>
    <x v="0"/>
    <x v="2"/>
    <n v="1"/>
    <n v="133289"/>
    <d v="2026-06-12T00:00:00"/>
    <n v="6"/>
    <n v="12"/>
    <n v="2026"/>
    <x v="2"/>
    <s v="Q2"/>
    <x v="0"/>
  </r>
  <r>
    <s v="O107642"/>
    <x v="331"/>
    <x v="0"/>
    <x v="7"/>
    <x v="1"/>
    <x v="3"/>
    <n v="9"/>
    <n v="133172"/>
    <d v="2026-10-04T00:00:00"/>
    <n v="10"/>
    <n v="4"/>
    <n v="2026"/>
    <x v="9"/>
    <s v="Q4"/>
    <x v="1"/>
  </r>
  <r>
    <s v="O108662"/>
    <x v="486"/>
    <x v="10"/>
    <x v="7"/>
    <x v="1"/>
    <x v="3"/>
    <n v="10"/>
    <n v="133166"/>
    <d v="2026-11-06T00:00:00"/>
    <n v="11"/>
    <n v="6"/>
    <n v="2026"/>
    <x v="0"/>
    <s v="Q4"/>
    <x v="1"/>
  </r>
  <r>
    <s v="O108949"/>
    <x v="79"/>
    <x v="4"/>
    <x v="7"/>
    <x v="2"/>
    <x v="2"/>
    <n v="9"/>
    <n v="133096"/>
    <d v="2026-06-28T00:00:00"/>
    <n v="6"/>
    <n v="28"/>
    <n v="2026"/>
    <x v="2"/>
    <s v="Q2"/>
    <x v="2"/>
  </r>
  <r>
    <s v="O109141"/>
    <x v="412"/>
    <x v="3"/>
    <x v="7"/>
    <x v="0"/>
    <x v="1"/>
    <n v="8"/>
    <n v="133039"/>
    <d v="2026-10-07T00:00:00"/>
    <n v="10"/>
    <n v="7"/>
    <n v="2026"/>
    <x v="9"/>
    <s v="Q4"/>
    <x v="0"/>
  </r>
  <r>
    <s v="O108634"/>
    <x v="381"/>
    <x v="8"/>
    <x v="7"/>
    <x v="4"/>
    <x v="3"/>
    <n v="10"/>
    <n v="132978"/>
    <d v="2026-09-06T00:00:00"/>
    <n v="9"/>
    <n v="6"/>
    <n v="2026"/>
    <x v="1"/>
    <s v="Q3"/>
    <x v="4"/>
  </r>
  <r>
    <s v="O109534"/>
    <x v="121"/>
    <x v="10"/>
    <x v="5"/>
    <x v="2"/>
    <x v="1"/>
    <n v="1"/>
    <n v="132960"/>
    <d v="2026-03-08T00:00:00"/>
    <n v="3"/>
    <n v="8"/>
    <n v="2026"/>
    <x v="5"/>
    <s v="Q1"/>
    <x v="2"/>
  </r>
  <r>
    <s v="O100079"/>
    <x v="476"/>
    <x v="6"/>
    <x v="7"/>
    <x v="4"/>
    <x v="3"/>
    <n v="8"/>
    <n v="132893"/>
    <d v="2025-05-01T00:00:00"/>
    <n v="5"/>
    <n v="1"/>
    <n v="2025"/>
    <x v="3"/>
    <s v="Q2"/>
    <x v="4"/>
  </r>
  <r>
    <s v="O102391"/>
    <x v="228"/>
    <x v="2"/>
    <x v="7"/>
    <x v="3"/>
    <x v="1"/>
    <n v="8"/>
    <n v="132785"/>
    <d v="2025-05-26T00:00:00"/>
    <n v="5"/>
    <n v="26"/>
    <n v="2025"/>
    <x v="3"/>
    <s v="Q2"/>
    <x v="3"/>
  </r>
  <r>
    <s v="O103749"/>
    <x v="178"/>
    <x v="8"/>
    <x v="7"/>
    <x v="4"/>
    <x v="2"/>
    <n v="9"/>
    <n v="132612"/>
    <d v="2025-08-16T00:00:00"/>
    <n v="8"/>
    <n v="16"/>
    <n v="2025"/>
    <x v="8"/>
    <s v="Q3"/>
    <x v="4"/>
  </r>
  <r>
    <s v="O102170"/>
    <x v="326"/>
    <x v="8"/>
    <x v="7"/>
    <x v="4"/>
    <x v="1"/>
    <n v="8"/>
    <n v="132591"/>
    <d v="2025-12-05T00:00:00"/>
    <n v="12"/>
    <n v="5"/>
    <n v="2025"/>
    <x v="7"/>
    <s v="Q4"/>
    <x v="4"/>
  </r>
  <r>
    <s v="O111504"/>
    <x v="765"/>
    <x v="9"/>
    <x v="7"/>
    <x v="4"/>
    <x v="3"/>
    <n v="9"/>
    <n v="132590"/>
    <d v="2026-11-30T00:00:00"/>
    <n v="11"/>
    <n v="30"/>
    <n v="2026"/>
    <x v="0"/>
    <s v="Q4"/>
    <x v="4"/>
  </r>
  <r>
    <s v="O106450"/>
    <x v="27"/>
    <x v="8"/>
    <x v="6"/>
    <x v="0"/>
    <x v="3"/>
    <n v="7"/>
    <n v="132517"/>
    <d v="2026-01-27T00:00:00"/>
    <n v="1"/>
    <n v="27"/>
    <n v="2026"/>
    <x v="6"/>
    <s v="Q1"/>
    <x v="0"/>
  </r>
  <r>
    <s v="O106101"/>
    <x v="44"/>
    <x v="10"/>
    <x v="7"/>
    <x v="2"/>
    <x v="1"/>
    <n v="8"/>
    <n v="132461"/>
    <d v="2026-06-01T00:00:00"/>
    <n v="6"/>
    <n v="1"/>
    <n v="2026"/>
    <x v="2"/>
    <s v="Q2"/>
    <x v="2"/>
  </r>
  <r>
    <s v="O100670"/>
    <x v="67"/>
    <x v="2"/>
    <x v="7"/>
    <x v="4"/>
    <x v="0"/>
    <n v="10"/>
    <n v="132313"/>
    <d v="2025-10-02T00:00:00"/>
    <n v="10"/>
    <n v="2"/>
    <n v="2025"/>
    <x v="9"/>
    <s v="Q4"/>
    <x v="4"/>
  </r>
  <r>
    <s v="O104173"/>
    <x v="471"/>
    <x v="6"/>
    <x v="6"/>
    <x v="2"/>
    <x v="1"/>
    <n v="5"/>
    <n v="132279"/>
    <d v="2025-11-09T00:00:00"/>
    <n v="11"/>
    <n v="9"/>
    <n v="2025"/>
    <x v="0"/>
    <s v="Q4"/>
    <x v="2"/>
  </r>
  <r>
    <s v="O111966"/>
    <x v="305"/>
    <x v="2"/>
    <x v="6"/>
    <x v="4"/>
    <x v="0"/>
    <n v="7"/>
    <n v="132169"/>
    <d v="2026-12-28T00:00:00"/>
    <n v="12"/>
    <n v="28"/>
    <n v="2026"/>
    <x v="7"/>
    <s v="Q4"/>
    <x v="4"/>
  </r>
  <r>
    <s v="O103935"/>
    <x v="656"/>
    <x v="3"/>
    <x v="7"/>
    <x v="0"/>
    <x v="2"/>
    <n v="8"/>
    <n v="132121"/>
    <d v="2025-08-28T00:00:00"/>
    <n v="8"/>
    <n v="28"/>
    <n v="2025"/>
    <x v="8"/>
    <s v="Q3"/>
    <x v="0"/>
  </r>
  <r>
    <s v="O111326"/>
    <x v="665"/>
    <x v="1"/>
    <x v="7"/>
    <x v="2"/>
    <x v="2"/>
    <n v="10"/>
    <n v="132101"/>
    <d v="2026-11-20T00:00:00"/>
    <n v="11"/>
    <n v="20"/>
    <n v="2026"/>
    <x v="0"/>
    <s v="Q4"/>
    <x v="2"/>
  </r>
  <r>
    <s v="O109683"/>
    <x v="498"/>
    <x v="2"/>
    <x v="7"/>
    <x v="4"/>
    <x v="3"/>
    <n v="9"/>
    <n v="132101"/>
    <d v="2026-12-08T00:00:00"/>
    <n v="12"/>
    <n v="8"/>
    <n v="2026"/>
    <x v="7"/>
    <s v="Q4"/>
    <x v="4"/>
  </r>
  <r>
    <s v="O103633"/>
    <x v="371"/>
    <x v="8"/>
    <x v="6"/>
    <x v="1"/>
    <x v="1"/>
    <n v="6"/>
    <n v="132096"/>
    <d v="2025-09-08T00:00:00"/>
    <n v="9"/>
    <n v="8"/>
    <n v="2025"/>
    <x v="1"/>
    <s v="Q3"/>
    <x v="1"/>
  </r>
  <r>
    <s v="O103155"/>
    <x v="446"/>
    <x v="4"/>
    <x v="6"/>
    <x v="1"/>
    <x v="1"/>
    <n v="6"/>
    <n v="132081"/>
    <d v="2025-11-07T00:00:00"/>
    <n v="11"/>
    <n v="7"/>
    <n v="2025"/>
    <x v="0"/>
    <s v="Q4"/>
    <x v="1"/>
  </r>
  <r>
    <s v="O102438"/>
    <x v="582"/>
    <x v="4"/>
    <x v="7"/>
    <x v="1"/>
    <x v="3"/>
    <n v="9"/>
    <n v="132079"/>
    <d v="2025-05-29T00:00:00"/>
    <n v="5"/>
    <n v="29"/>
    <n v="2025"/>
    <x v="3"/>
    <s v="Q2"/>
    <x v="1"/>
  </r>
  <r>
    <s v="O108171"/>
    <x v="667"/>
    <x v="6"/>
    <x v="5"/>
    <x v="0"/>
    <x v="3"/>
    <n v="1"/>
    <n v="131902"/>
    <d v="2026-12-05T00:00:00"/>
    <n v="12"/>
    <n v="5"/>
    <n v="2026"/>
    <x v="7"/>
    <s v="Q4"/>
    <x v="0"/>
  </r>
  <r>
    <s v="O100361"/>
    <x v="124"/>
    <x v="0"/>
    <x v="7"/>
    <x v="3"/>
    <x v="3"/>
    <n v="8"/>
    <n v="131825"/>
    <d v="2025-01-22T00:00:00"/>
    <n v="1"/>
    <n v="22"/>
    <n v="2025"/>
    <x v="6"/>
    <s v="Q1"/>
    <x v="3"/>
  </r>
  <r>
    <s v="O101909"/>
    <x v="571"/>
    <x v="0"/>
    <x v="7"/>
    <x v="3"/>
    <x v="2"/>
    <n v="10"/>
    <n v="131757"/>
    <d v="2025-04-26T00:00:00"/>
    <n v="4"/>
    <n v="26"/>
    <n v="2025"/>
    <x v="11"/>
    <s v="Q2"/>
    <x v="3"/>
  </r>
  <r>
    <s v="O105440"/>
    <x v="402"/>
    <x v="0"/>
    <x v="5"/>
    <x v="3"/>
    <x v="2"/>
    <n v="1"/>
    <n v="131720"/>
    <d v="2025-11-27T00:00:00"/>
    <n v="11"/>
    <n v="27"/>
    <n v="2025"/>
    <x v="0"/>
    <s v="Q4"/>
    <x v="3"/>
  </r>
  <r>
    <s v="O108673"/>
    <x v="645"/>
    <x v="8"/>
    <x v="6"/>
    <x v="1"/>
    <x v="2"/>
    <n v="5"/>
    <n v="131655"/>
    <d v="2026-11-06T00:00:00"/>
    <n v="11"/>
    <n v="6"/>
    <n v="2026"/>
    <x v="0"/>
    <s v="Q4"/>
    <x v="1"/>
  </r>
  <r>
    <s v="O109589"/>
    <x v="126"/>
    <x v="6"/>
    <x v="7"/>
    <x v="2"/>
    <x v="0"/>
    <n v="10"/>
    <n v="131649"/>
    <d v="2026-06-08T00:00:00"/>
    <n v="6"/>
    <n v="8"/>
    <n v="2026"/>
    <x v="2"/>
    <s v="Q2"/>
    <x v="2"/>
  </r>
  <r>
    <s v="O111787"/>
    <x v="726"/>
    <x v="2"/>
    <x v="5"/>
    <x v="1"/>
    <x v="2"/>
    <n v="1"/>
    <n v="131516"/>
    <d v="2026-12-18T00:00:00"/>
    <n v="12"/>
    <n v="18"/>
    <n v="2026"/>
    <x v="7"/>
    <s v="Q4"/>
    <x v="1"/>
  </r>
  <r>
    <s v="O102134"/>
    <x v="517"/>
    <x v="4"/>
    <x v="6"/>
    <x v="1"/>
    <x v="2"/>
    <n v="6"/>
    <n v="131502"/>
    <d v="2025-10-05T00:00:00"/>
    <n v="10"/>
    <n v="5"/>
    <n v="2025"/>
    <x v="9"/>
    <s v="Q4"/>
    <x v="1"/>
  </r>
  <r>
    <s v="O107528"/>
    <x v="773"/>
    <x v="4"/>
    <x v="6"/>
    <x v="4"/>
    <x v="2"/>
    <n v="6"/>
    <n v="131477"/>
    <d v="2026-03-04T00:00:00"/>
    <n v="3"/>
    <n v="4"/>
    <n v="2026"/>
    <x v="5"/>
    <s v="Q1"/>
    <x v="4"/>
  </r>
  <r>
    <s v="O103414"/>
    <x v="657"/>
    <x v="6"/>
    <x v="7"/>
    <x v="2"/>
    <x v="2"/>
    <n v="10"/>
    <n v="131463"/>
    <d v="2025-07-27T00:00:00"/>
    <n v="7"/>
    <n v="27"/>
    <n v="2025"/>
    <x v="10"/>
    <s v="Q3"/>
    <x v="2"/>
  </r>
  <r>
    <s v="O110908"/>
    <x v="737"/>
    <x v="10"/>
    <x v="7"/>
    <x v="0"/>
    <x v="1"/>
    <n v="8"/>
    <n v="131410"/>
    <d v="2026-10-25T00:00:00"/>
    <n v="10"/>
    <n v="25"/>
    <n v="2026"/>
    <x v="9"/>
    <s v="Q4"/>
    <x v="0"/>
  </r>
  <r>
    <s v="O104963"/>
    <x v="641"/>
    <x v="2"/>
    <x v="7"/>
    <x v="0"/>
    <x v="0"/>
    <n v="9"/>
    <n v="131392"/>
    <d v="2025-10-29T00:00:00"/>
    <n v="10"/>
    <n v="29"/>
    <n v="2025"/>
    <x v="9"/>
    <s v="Q4"/>
    <x v="0"/>
  </r>
  <r>
    <s v="O110862"/>
    <x v="748"/>
    <x v="0"/>
    <x v="7"/>
    <x v="4"/>
    <x v="1"/>
    <n v="9"/>
    <n v="131361"/>
    <d v="2026-10-22T00:00:00"/>
    <n v="10"/>
    <n v="22"/>
    <n v="2026"/>
    <x v="9"/>
    <s v="Q4"/>
    <x v="4"/>
  </r>
  <r>
    <s v="O111887"/>
    <x v="20"/>
    <x v="3"/>
    <x v="7"/>
    <x v="1"/>
    <x v="1"/>
    <n v="9"/>
    <n v="131256"/>
    <d v="2026-12-24T00:00:00"/>
    <n v="12"/>
    <n v="24"/>
    <n v="2026"/>
    <x v="7"/>
    <s v="Q4"/>
    <x v="1"/>
  </r>
  <r>
    <s v="O102741"/>
    <x v="774"/>
    <x v="1"/>
    <x v="7"/>
    <x v="4"/>
    <x v="2"/>
    <n v="10"/>
    <n v="131243"/>
    <d v="2025-06-16T00:00:00"/>
    <n v="6"/>
    <n v="16"/>
    <n v="2025"/>
    <x v="2"/>
    <s v="Q2"/>
    <x v="4"/>
  </r>
  <r>
    <s v="O107017"/>
    <x v="664"/>
    <x v="6"/>
    <x v="7"/>
    <x v="4"/>
    <x v="0"/>
    <n v="10"/>
    <n v="131233"/>
    <d v="2026-03-03T00:00:00"/>
    <n v="3"/>
    <n v="3"/>
    <n v="2026"/>
    <x v="5"/>
    <s v="Q1"/>
    <x v="4"/>
  </r>
  <r>
    <s v="O101561"/>
    <x v="234"/>
    <x v="3"/>
    <x v="7"/>
    <x v="3"/>
    <x v="4"/>
    <n v="8"/>
    <n v="131185"/>
    <d v="2025-05-04T00:00:00"/>
    <n v="5"/>
    <n v="4"/>
    <n v="2025"/>
    <x v="3"/>
    <s v="Q2"/>
    <x v="3"/>
  </r>
  <r>
    <s v="O107641"/>
    <x v="538"/>
    <x v="3"/>
    <x v="6"/>
    <x v="4"/>
    <x v="2"/>
    <n v="6"/>
    <n v="131032"/>
    <d v="2026-10-04T00:00:00"/>
    <n v="10"/>
    <n v="4"/>
    <n v="2026"/>
    <x v="9"/>
    <m/>
    <x v="4"/>
  </r>
  <r>
    <s v="O110435"/>
    <x v="508"/>
    <x v="6"/>
    <x v="5"/>
    <x v="0"/>
    <x v="1"/>
    <n v="1"/>
    <n v="130906"/>
    <d v="2026-09-26T00:00:00"/>
    <n v="9"/>
    <n v="26"/>
    <n v="2026"/>
    <x v="1"/>
    <s v="Q3"/>
    <x v="0"/>
  </r>
  <r>
    <s v="O102572"/>
    <x v="290"/>
    <x v="8"/>
    <x v="5"/>
    <x v="3"/>
    <x v="0"/>
    <n v="1"/>
    <n v="130831"/>
    <d v="2025-06-06T00:00:00"/>
    <n v="6"/>
    <n v="6"/>
    <n v="2025"/>
    <x v="2"/>
    <s v="Q2"/>
    <x v="3"/>
  </r>
  <r>
    <s v="O101474"/>
    <x v="207"/>
    <x v="4"/>
    <x v="7"/>
    <x v="1"/>
    <x v="1"/>
    <n v="9"/>
    <n v="130829"/>
    <d v="2025-03-31T00:00:00"/>
    <n v="3"/>
    <n v="31"/>
    <n v="2025"/>
    <x v="5"/>
    <s v="Q1"/>
    <x v="1"/>
  </r>
  <r>
    <s v="O100632"/>
    <x v="515"/>
    <x v="1"/>
    <x v="5"/>
    <x v="0"/>
    <x v="2"/>
    <n v="1"/>
    <n v="130797"/>
    <d v="2025-08-02T00:00:00"/>
    <n v="8"/>
    <n v="2"/>
    <n v="2025"/>
    <x v="8"/>
    <s v="Q3"/>
    <x v="0"/>
  </r>
  <r>
    <s v="O100065"/>
    <x v="711"/>
    <x v="4"/>
    <x v="7"/>
    <x v="2"/>
    <x v="2"/>
    <n v="8"/>
    <n v="130768"/>
    <d v="2025-04-01T00:00:00"/>
    <n v="4"/>
    <n v="1"/>
    <n v="2025"/>
    <x v="11"/>
    <s v="Q2"/>
    <x v="2"/>
  </r>
  <r>
    <s v="O107137"/>
    <x v="21"/>
    <x v="8"/>
    <x v="5"/>
    <x v="1"/>
    <x v="2"/>
    <n v="1"/>
    <n v="130756"/>
    <d v="2026-10-03T00:00:00"/>
    <n v="10"/>
    <n v="3"/>
    <n v="2026"/>
    <x v="9"/>
    <s v="Q4"/>
    <x v="1"/>
  </r>
  <r>
    <s v="O101077"/>
    <x v="56"/>
    <x v="0"/>
    <x v="7"/>
    <x v="4"/>
    <x v="1"/>
    <n v="8"/>
    <n v="130746"/>
    <d v="2025-07-03T00:00:00"/>
    <n v="7"/>
    <n v="3"/>
    <n v="2025"/>
    <x v="10"/>
    <s v="Q3"/>
    <x v="4"/>
  </r>
  <r>
    <s v="O110279"/>
    <x v="535"/>
    <x v="2"/>
    <x v="7"/>
    <x v="2"/>
    <x v="1"/>
    <n v="10"/>
    <n v="130675"/>
    <d v="2026-09-17T00:00:00"/>
    <n v="9"/>
    <n v="17"/>
    <n v="2026"/>
    <x v="1"/>
    <s v="Q3"/>
    <x v="2"/>
  </r>
  <r>
    <s v="O101731"/>
    <x v="66"/>
    <x v="2"/>
    <x v="7"/>
    <x v="1"/>
    <x v="1"/>
    <n v="10"/>
    <n v="130668"/>
    <d v="2025-04-16T00:00:00"/>
    <n v="4"/>
    <n v="16"/>
    <n v="2025"/>
    <x v="11"/>
    <s v="Q2"/>
    <x v="1"/>
  </r>
  <r>
    <s v="O108279"/>
    <x v="23"/>
    <x v="6"/>
    <x v="7"/>
    <x v="1"/>
    <x v="0"/>
    <n v="9"/>
    <n v="130648"/>
    <d v="2026-05-18T00:00:00"/>
    <n v="5"/>
    <n v="18"/>
    <n v="2026"/>
    <x v="3"/>
    <s v="Q2"/>
    <x v="1"/>
  </r>
  <r>
    <s v="O110144"/>
    <x v="342"/>
    <x v="5"/>
    <x v="7"/>
    <x v="2"/>
    <x v="1"/>
    <n v="8"/>
    <n v="130592"/>
    <d v="2026-09-09T00:00:00"/>
    <n v="9"/>
    <n v="9"/>
    <n v="2026"/>
    <x v="1"/>
    <s v="Q3"/>
    <x v="2"/>
  </r>
  <r>
    <s v="O109705"/>
    <x v="741"/>
    <x v="4"/>
    <x v="7"/>
    <x v="4"/>
    <x v="2"/>
    <n v="8"/>
    <n v="130559"/>
    <d v="2026-08-13T00:00:00"/>
    <n v="8"/>
    <n v="13"/>
    <n v="2026"/>
    <x v="8"/>
    <s v="Q3"/>
    <x v="4"/>
  </r>
  <r>
    <s v="O104245"/>
    <x v="630"/>
    <x v="3"/>
    <x v="7"/>
    <x v="3"/>
    <x v="2"/>
    <n v="9"/>
    <n v="130534"/>
    <d v="2025-09-15T00:00:00"/>
    <n v="9"/>
    <n v="15"/>
    <n v="2025"/>
    <x v="1"/>
    <s v="Q3"/>
    <x v="3"/>
  </r>
  <r>
    <s v="O108946"/>
    <x v="22"/>
    <x v="9"/>
    <x v="5"/>
    <x v="0"/>
    <x v="0"/>
    <n v="1"/>
    <n v="130488"/>
    <d v="2026-06-28T00:00:00"/>
    <n v="6"/>
    <n v="28"/>
    <n v="2026"/>
    <x v="2"/>
    <s v="Q2"/>
    <x v="0"/>
  </r>
  <r>
    <s v="O107637"/>
    <x v="503"/>
    <x v="9"/>
    <x v="7"/>
    <x v="0"/>
    <x v="0"/>
    <n v="10"/>
    <n v="130434"/>
    <d v="2026-09-04T00:00:00"/>
    <n v="9"/>
    <n v="4"/>
    <n v="2026"/>
    <x v="1"/>
    <s v="Q3"/>
    <x v="0"/>
  </r>
  <r>
    <s v="O111574"/>
    <x v="317"/>
    <x v="10"/>
    <x v="7"/>
    <x v="3"/>
    <x v="2"/>
    <n v="10"/>
    <n v="130410"/>
    <d v="2026-05-12T00:00:00"/>
    <n v="5"/>
    <n v="12"/>
    <n v="2026"/>
    <x v="3"/>
    <s v="Q2"/>
    <x v="3"/>
  </r>
  <r>
    <s v="O106931"/>
    <x v="180"/>
    <x v="10"/>
    <x v="7"/>
    <x v="0"/>
    <x v="0"/>
    <n v="8"/>
    <n v="130407"/>
    <d v="2026-02-26T00:00:00"/>
    <n v="2"/>
    <n v="26"/>
    <n v="2026"/>
    <x v="4"/>
    <s v="Q1"/>
    <x v="0"/>
  </r>
  <r>
    <s v="O108831"/>
    <x v="219"/>
    <x v="5"/>
    <x v="7"/>
    <x v="4"/>
    <x v="3"/>
    <n v="10"/>
    <n v="130396"/>
    <d v="2026-06-21T00:00:00"/>
    <n v="6"/>
    <n v="21"/>
    <n v="2026"/>
    <x v="2"/>
    <s v="Q2"/>
    <x v="4"/>
  </r>
  <r>
    <s v="O108977"/>
    <x v="452"/>
    <x v="1"/>
    <x v="7"/>
    <x v="3"/>
    <x v="0"/>
    <n v="10"/>
    <n v="130235"/>
    <d v="2026-06-30T00:00:00"/>
    <n v="6"/>
    <n v="30"/>
    <n v="2026"/>
    <x v="2"/>
    <s v="Q2"/>
    <x v="3"/>
  </r>
  <r>
    <s v="O111605"/>
    <x v="211"/>
    <x v="3"/>
    <x v="7"/>
    <x v="1"/>
    <x v="2"/>
    <n v="10"/>
    <n v="130177"/>
    <d v="2026-07-12T00:00:00"/>
    <n v="7"/>
    <n v="12"/>
    <n v="2026"/>
    <x v="10"/>
    <s v="Q3"/>
    <x v="1"/>
  </r>
  <r>
    <s v="O103824"/>
    <x v="625"/>
    <x v="4"/>
    <x v="7"/>
    <x v="1"/>
    <x v="0"/>
    <n v="7"/>
    <n v="130108"/>
    <d v="2025-08-21T00:00:00"/>
    <n v="8"/>
    <n v="21"/>
    <n v="2025"/>
    <x v="8"/>
    <s v="Q3"/>
    <x v="1"/>
  </r>
  <r>
    <s v="O102954"/>
    <x v="411"/>
    <x v="8"/>
    <x v="6"/>
    <x v="4"/>
    <x v="2"/>
    <n v="5"/>
    <n v="130011"/>
    <d v="2025-06-29T00:00:00"/>
    <n v="6"/>
    <n v="29"/>
    <n v="2025"/>
    <x v="2"/>
    <s v="Q2"/>
    <x v="4"/>
  </r>
  <r>
    <s v="O101040"/>
    <x v="748"/>
    <x v="0"/>
    <x v="7"/>
    <x v="1"/>
    <x v="0"/>
    <n v="9"/>
    <n v="129995"/>
    <d v="2025-05-03T00:00:00"/>
    <n v="5"/>
    <n v="3"/>
    <n v="2025"/>
    <x v="3"/>
    <s v="Q2"/>
    <x v="1"/>
  </r>
  <r>
    <s v="O109348"/>
    <x v="516"/>
    <x v="9"/>
    <x v="5"/>
    <x v="3"/>
    <x v="0"/>
    <n v="1"/>
    <n v="129958"/>
    <d v="2026-07-22T00:00:00"/>
    <n v="7"/>
    <n v="22"/>
    <n v="2026"/>
    <x v="10"/>
    <s v="Q3"/>
    <x v="3"/>
  </r>
  <r>
    <s v="O100571"/>
    <x v="292"/>
    <x v="6"/>
    <x v="6"/>
    <x v="0"/>
    <x v="0"/>
    <n v="5"/>
    <n v="129879"/>
    <d v="2025-04-02T00:00:00"/>
    <n v="4"/>
    <n v="2"/>
    <n v="2025"/>
    <x v="11"/>
    <s v="Q2"/>
    <x v="0"/>
  </r>
  <r>
    <s v="O103255"/>
    <x v="323"/>
    <x v="2"/>
    <x v="7"/>
    <x v="1"/>
    <x v="0"/>
    <n v="7"/>
    <n v="129822"/>
    <d v="2025-07-17T00:00:00"/>
    <n v="7"/>
    <n v="17"/>
    <n v="2025"/>
    <x v="10"/>
    <s v="Q3"/>
    <x v="1"/>
  </r>
  <r>
    <s v="O108973"/>
    <x v="54"/>
    <x v="4"/>
    <x v="7"/>
    <x v="3"/>
    <x v="2"/>
    <n v="8"/>
    <n v="129817"/>
    <d v="2026-06-30T00:00:00"/>
    <n v="6"/>
    <n v="30"/>
    <n v="2026"/>
    <x v="2"/>
    <s v="Q2"/>
    <x v="3"/>
  </r>
  <r>
    <s v="O102015"/>
    <x v="465"/>
    <x v="1"/>
    <x v="6"/>
    <x v="4"/>
    <x v="2"/>
    <n v="5"/>
    <n v="129771"/>
    <d v="2025-03-05T00:00:00"/>
    <n v="3"/>
    <n v="5"/>
    <n v="2025"/>
    <x v="5"/>
    <s v="Q1"/>
    <x v="4"/>
  </r>
  <r>
    <s v="O101892"/>
    <x v="543"/>
    <x v="8"/>
    <x v="7"/>
    <x v="2"/>
    <x v="3"/>
    <n v="9"/>
    <n v="129771"/>
    <d v="2025-04-25T00:00:00"/>
    <n v="4"/>
    <n v="25"/>
    <n v="2025"/>
    <x v="11"/>
    <s v="Q2"/>
    <x v="2"/>
  </r>
  <r>
    <s v="O107431"/>
    <x v="689"/>
    <x v="5"/>
    <x v="7"/>
    <x v="3"/>
    <x v="1"/>
    <n v="8"/>
    <n v="129755"/>
    <d v="2026-03-28T00:00:00"/>
    <n v="3"/>
    <n v="28"/>
    <n v="2026"/>
    <x v="5"/>
    <s v="Q1"/>
    <x v="3"/>
  </r>
  <r>
    <s v="O106858"/>
    <x v="689"/>
    <x v="9"/>
    <x v="7"/>
    <x v="4"/>
    <x v="0"/>
    <n v="7"/>
    <n v="129749"/>
    <d v="2026-02-21T00:00:00"/>
    <n v="2"/>
    <n v="21"/>
    <n v="2026"/>
    <x v="4"/>
    <s v="Q1"/>
    <x v="4"/>
  </r>
  <r>
    <s v="O110852"/>
    <x v="328"/>
    <x v="8"/>
    <x v="7"/>
    <x v="0"/>
    <x v="1"/>
    <n v="10"/>
    <n v="129708"/>
    <d v="2026-10-22T00:00:00"/>
    <n v="10"/>
    <n v="22"/>
    <n v="2026"/>
    <x v="9"/>
    <s v="Q4"/>
    <x v="0"/>
  </r>
  <r>
    <s v="O107192"/>
    <x v="517"/>
    <x v="4"/>
    <x v="6"/>
    <x v="3"/>
    <x v="1"/>
    <n v="6"/>
    <n v="129671"/>
    <d v="2026-03-13T00:00:00"/>
    <n v="3"/>
    <n v="13"/>
    <n v="2026"/>
    <x v="5"/>
    <s v="Q1"/>
    <x v="3"/>
  </r>
  <r>
    <s v="O103160"/>
    <x v="357"/>
    <x v="3"/>
    <x v="7"/>
    <x v="1"/>
    <x v="3"/>
    <n v="7"/>
    <n v="129664"/>
    <d v="2025-11-07T00:00:00"/>
    <n v="11"/>
    <n v="7"/>
    <n v="2025"/>
    <x v="0"/>
    <s v="Q4"/>
    <x v="1"/>
  </r>
  <r>
    <s v="O110586"/>
    <x v="111"/>
    <x v="9"/>
    <x v="7"/>
    <x v="2"/>
    <x v="3"/>
    <n v="8"/>
    <n v="129571"/>
    <d v="2026-06-10T00:00:00"/>
    <n v="6"/>
    <n v="10"/>
    <n v="2026"/>
    <x v="2"/>
    <s v="Q2"/>
    <x v="2"/>
  </r>
  <r>
    <s v="O100342"/>
    <x v="648"/>
    <x v="5"/>
    <x v="6"/>
    <x v="5"/>
    <x v="1"/>
    <n v="5"/>
    <n v="129557"/>
    <d v="2025-01-21T00:00:00"/>
    <n v="1"/>
    <n v="21"/>
    <n v="2025"/>
    <x v="6"/>
    <s v="Q1"/>
    <x v="5"/>
  </r>
  <r>
    <s v="O103274"/>
    <x v="505"/>
    <x v="10"/>
    <x v="6"/>
    <x v="1"/>
    <x v="2"/>
    <n v="5"/>
    <n v="129537"/>
    <d v="2025-07-18T00:00:00"/>
    <n v="7"/>
    <n v="18"/>
    <n v="2025"/>
    <x v="10"/>
    <s v="Q3"/>
    <x v="1"/>
  </r>
  <r>
    <s v="O104482"/>
    <x v="445"/>
    <x v="9"/>
    <x v="6"/>
    <x v="3"/>
    <x v="2"/>
    <n v="6"/>
    <n v="129533"/>
    <d v="2025-09-30T00:00:00"/>
    <n v="9"/>
    <n v="30"/>
    <n v="2025"/>
    <x v="1"/>
    <s v="Q3"/>
    <x v="3"/>
  </r>
  <r>
    <s v="O111851"/>
    <x v="594"/>
    <x v="4"/>
    <x v="7"/>
    <x v="1"/>
    <x v="2"/>
    <n v="9"/>
    <n v="129462"/>
    <d v="2026-12-21T00:00:00"/>
    <n v="12"/>
    <n v="21"/>
    <n v="2026"/>
    <x v="7"/>
    <s v="Q4"/>
    <x v="1"/>
  </r>
  <r>
    <s v="O109456"/>
    <x v="126"/>
    <x v="0"/>
    <x v="7"/>
    <x v="0"/>
    <x v="1"/>
    <n v="8"/>
    <n v="129284"/>
    <d v="2026-07-29T00:00:00"/>
    <n v="7"/>
    <n v="29"/>
    <n v="2026"/>
    <x v="10"/>
    <s v="Q3"/>
    <x v="0"/>
  </r>
  <r>
    <s v="O103670"/>
    <x v="40"/>
    <x v="6"/>
    <x v="6"/>
    <x v="4"/>
    <x v="2"/>
    <n v="6"/>
    <n v="129259"/>
    <d v="2025-11-08T00:00:00"/>
    <n v="11"/>
    <n v="8"/>
    <n v="2025"/>
    <x v="0"/>
    <s v="Q4"/>
    <x v="4"/>
  </r>
  <r>
    <s v="O103581"/>
    <x v="105"/>
    <x v="1"/>
    <x v="6"/>
    <x v="1"/>
    <x v="2"/>
    <n v="5"/>
    <n v="129176"/>
    <d v="2025-06-08T00:00:00"/>
    <n v="6"/>
    <n v="8"/>
    <n v="2025"/>
    <x v="2"/>
    <s v="Q2"/>
    <x v="1"/>
  </r>
  <r>
    <s v="O110989"/>
    <x v="163"/>
    <x v="5"/>
    <x v="5"/>
    <x v="0"/>
    <x v="3"/>
    <n v="1"/>
    <n v="129158"/>
    <d v="2026-10-30T00:00:00"/>
    <n v="10"/>
    <n v="30"/>
    <n v="2026"/>
    <x v="9"/>
    <s v="Q4"/>
    <x v="0"/>
  </r>
  <r>
    <s v="O106455"/>
    <x v="281"/>
    <x v="5"/>
    <x v="5"/>
    <x v="3"/>
    <x v="3"/>
    <n v="1"/>
    <n v="129043"/>
    <d v="2026-01-28T00:00:00"/>
    <n v="1"/>
    <n v="28"/>
    <n v="2026"/>
    <x v="6"/>
    <s v="Q1"/>
    <x v="3"/>
  </r>
  <r>
    <s v="O100981"/>
    <x v="409"/>
    <x v="6"/>
    <x v="7"/>
    <x v="0"/>
    <x v="3"/>
    <n v="10"/>
    <n v="128999"/>
    <d v="2025-01-03T00:00:00"/>
    <n v="1"/>
    <n v="3"/>
    <n v="2025"/>
    <x v="6"/>
    <s v="Q1"/>
    <x v="0"/>
  </r>
  <r>
    <s v="O109883"/>
    <x v="746"/>
    <x v="1"/>
    <x v="7"/>
    <x v="1"/>
    <x v="0"/>
    <n v="10"/>
    <n v="128977"/>
    <d v="2026-08-24T00:00:00"/>
    <n v="8"/>
    <n v="24"/>
    <n v="2026"/>
    <x v="8"/>
    <s v="Q3"/>
    <x v="1"/>
  </r>
  <r>
    <s v="O101526"/>
    <x v="205"/>
    <x v="6"/>
    <x v="7"/>
    <x v="1"/>
    <x v="0"/>
    <n v="7"/>
    <n v="128977"/>
    <d v="2025-03-04T00:00:00"/>
    <n v="3"/>
    <n v="4"/>
    <n v="2025"/>
    <x v="5"/>
    <s v="Q1"/>
    <x v="1"/>
  </r>
  <r>
    <s v="O104155"/>
    <x v="189"/>
    <x v="10"/>
    <x v="7"/>
    <x v="4"/>
    <x v="0"/>
    <n v="10"/>
    <n v="128952"/>
    <d v="2025-10-09T00:00:00"/>
    <n v="10"/>
    <n v="9"/>
    <n v="2025"/>
    <x v="9"/>
    <s v="Q4"/>
    <x v="4"/>
  </r>
  <r>
    <s v="O107878"/>
    <x v="740"/>
    <x v="6"/>
    <x v="7"/>
    <x v="4"/>
    <x v="3"/>
    <n v="7"/>
    <n v="128899"/>
    <d v="2026-04-24T00:00:00"/>
    <n v="4"/>
    <n v="24"/>
    <n v="2026"/>
    <x v="11"/>
    <s v="Q2"/>
    <x v="4"/>
  </r>
  <r>
    <s v="O109694"/>
    <x v="294"/>
    <x v="4"/>
    <x v="5"/>
    <x v="3"/>
    <x v="3"/>
    <n v="1"/>
    <n v="128781"/>
    <d v="2026-12-08T00:00:00"/>
    <n v="12"/>
    <n v="8"/>
    <n v="2026"/>
    <x v="7"/>
    <s v="Q4"/>
    <x v="3"/>
  </r>
  <r>
    <s v="O100148"/>
    <x v="606"/>
    <x v="2"/>
    <x v="6"/>
    <x v="2"/>
    <x v="2"/>
    <n v="6"/>
    <n v="128779"/>
    <d v="2025-09-01T00:00:00"/>
    <n v="9"/>
    <n v="1"/>
    <n v="2025"/>
    <x v="1"/>
    <s v="Q3"/>
    <x v="2"/>
  </r>
  <r>
    <s v="O103112"/>
    <x v="127"/>
    <x v="1"/>
    <x v="7"/>
    <x v="3"/>
    <x v="1"/>
    <n v="7"/>
    <n v="128704"/>
    <d v="2025-09-07T00:00:00"/>
    <n v="9"/>
    <n v="7"/>
    <n v="2025"/>
    <x v="1"/>
    <s v="Q3"/>
    <x v="3"/>
  </r>
  <r>
    <s v="O105262"/>
    <x v="327"/>
    <x v="8"/>
    <x v="5"/>
    <x v="0"/>
    <x v="1"/>
    <n v="1"/>
    <n v="128693"/>
    <d v="2025-11-16T00:00:00"/>
    <n v="11"/>
    <n v="16"/>
    <n v="2025"/>
    <x v="0"/>
    <s v="Q4"/>
    <x v="0"/>
  </r>
  <r>
    <s v="O101346"/>
    <x v="677"/>
    <x v="2"/>
    <x v="6"/>
    <x v="0"/>
    <x v="1"/>
    <n v="6"/>
    <n v="128669"/>
    <d v="2025-03-23T00:00:00"/>
    <n v="3"/>
    <n v="23"/>
    <n v="2025"/>
    <x v="5"/>
    <s v="Q1"/>
    <x v="0"/>
  </r>
  <r>
    <s v="O104693"/>
    <x v="332"/>
    <x v="3"/>
    <x v="7"/>
    <x v="2"/>
    <x v="0"/>
    <n v="9"/>
    <n v="128667"/>
    <d v="2025-10-13T00:00:00"/>
    <n v="10"/>
    <n v="13"/>
    <n v="2025"/>
    <x v="9"/>
    <s v="Q4"/>
    <x v="2"/>
  </r>
  <r>
    <s v="O101558"/>
    <x v="272"/>
    <x v="0"/>
    <x v="7"/>
    <x v="1"/>
    <x v="3"/>
    <n v="7"/>
    <n v="128616"/>
    <d v="2025-05-04T00:00:00"/>
    <n v="5"/>
    <n v="4"/>
    <n v="2025"/>
    <x v="3"/>
    <s v="Q2"/>
    <x v="1"/>
  </r>
  <r>
    <s v="O111031"/>
    <x v="186"/>
    <x v="1"/>
    <x v="7"/>
    <x v="1"/>
    <x v="1"/>
    <n v="9"/>
    <n v="128616"/>
    <d v="2026-02-11T00:00:00"/>
    <n v="2"/>
    <n v="11"/>
    <n v="2026"/>
    <x v="4"/>
    <s v="Q1"/>
    <x v="1"/>
  </r>
  <r>
    <s v="O103822"/>
    <x v="298"/>
    <x v="5"/>
    <x v="7"/>
    <x v="4"/>
    <x v="1"/>
    <n v="8"/>
    <n v="128612"/>
    <d v="2025-08-21T00:00:00"/>
    <n v="8"/>
    <n v="21"/>
    <n v="2025"/>
    <x v="8"/>
    <s v="Q3"/>
    <x v="4"/>
  </r>
  <r>
    <s v="O102848"/>
    <x v="299"/>
    <x v="6"/>
    <x v="7"/>
    <x v="4"/>
    <x v="2"/>
    <n v="8"/>
    <n v="128563"/>
    <d v="2025-06-22T00:00:00"/>
    <n v="6"/>
    <n v="22"/>
    <n v="2025"/>
    <x v="2"/>
    <s v="Q2"/>
    <x v="4"/>
  </r>
  <r>
    <s v="O102374"/>
    <x v="355"/>
    <x v="9"/>
    <x v="6"/>
    <x v="1"/>
    <x v="0"/>
    <n v="5"/>
    <n v="128504"/>
    <d v="2025-05-25T00:00:00"/>
    <n v="5"/>
    <n v="25"/>
    <n v="2025"/>
    <x v="3"/>
    <s v="Q2"/>
    <x v="1"/>
  </r>
  <r>
    <s v="O100963"/>
    <x v="383"/>
    <x v="6"/>
    <x v="7"/>
    <x v="0"/>
    <x v="0"/>
    <n v="10"/>
    <n v="128472"/>
    <d v="2025-02-28T00:00:00"/>
    <n v="2"/>
    <n v="28"/>
    <n v="2025"/>
    <x v="4"/>
    <s v="Q1"/>
    <x v="0"/>
  </r>
  <r>
    <s v="O111935"/>
    <x v="240"/>
    <x v="1"/>
    <x v="7"/>
    <x v="0"/>
    <x v="3"/>
    <n v="10"/>
    <n v="128450"/>
    <d v="2026-12-27T00:00:00"/>
    <n v="12"/>
    <n v="27"/>
    <n v="2026"/>
    <x v="7"/>
    <s v="Q4"/>
    <x v="0"/>
  </r>
  <r>
    <s v="O102666"/>
    <x v="442"/>
    <x v="10"/>
    <x v="7"/>
    <x v="2"/>
    <x v="0"/>
    <n v="10"/>
    <n v="128331"/>
    <d v="2025-11-06T00:00:00"/>
    <n v="11"/>
    <n v="6"/>
    <n v="2025"/>
    <x v="0"/>
    <s v="Q4"/>
    <x v="2"/>
  </r>
  <r>
    <s v="O105530"/>
    <x v="473"/>
    <x v="2"/>
    <x v="7"/>
    <x v="3"/>
    <x v="2"/>
    <n v="9"/>
    <n v="128329"/>
    <d v="2025-02-12T00:00:00"/>
    <n v="2"/>
    <n v="12"/>
    <n v="2025"/>
    <x v="4"/>
    <s v="Q1"/>
    <x v="3"/>
  </r>
  <r>
    <s v="O103306"/>
    <x v="613"/>
    <x v="8"/>
    <x v="7"/>
    <x v="3"/>
    <x v="2"/>
    <n v="9"/>
    <n v="128282"/>
    <d v="2025-07-20T00:00:00"/>
    <n v="7"/>
    <n v="20"/>
    <n v="2025"/>
    <x v="10"/>
    <s v="Q3"/>
    <x v="3"/>
  </r>
  <r>
    <s v="O108386"/>
    <x v="603"/>
    <x v="6"/>
    <x v="6"/>
    <x v="1"/>
    <x v="1"/>
    <n v="5"/>
    <n v="128258"/>
    <d v="2026-05-25T00:00:00"/>
    <n v="5"/>
    <n v="25"/>
    <n v="2026"/>
    <x v="3"/>
    <s v="Q2"/>
    <x v="1"/>
  </r>
  <r>
    <s v="O103119"/>
    <x v="527"/>
    <x v="3"/>
    <x v="7"/>
    <x v="0"/>
    <x v="0"/>
    <n v="7"/>
    <n v="128221"/>
    <d v="2025-09-07T00:00:00"/>
    <n v="9"/>
    <n v="7"/>
    <n v="2025"/>
    <x v="1"/>
    <m/>
    <x v="0"/>
  </r>
  <r>
    <s v="O104229"/>
    <x v="345"/>
    <x v="6"/>
    <x v="6"/>
    <x v="4"/>
    <x v="3"/>
    <n v="5"/>
    <n v="128213"/>
    <d v="2025-09-14T00:00:00"/>
    <n v="9"/>
    <n v="14"/>
    <n v="2025"/>
    <x v="1"/>
    <s v="Q3"/>
    <x v="4"/>
  </r>
  <r>
    <s v="O104506"/>
    <x v="94"/>
    <x v="10"/>
    <x v="7"/>
    <x v="0"/>
    <x v="1"/>
    <n v="9"/>
    <n v="128170"/>
    <d v="2025-01-10T00:00:00"/>
    <n v="1"/>
    <n v="10"/>
    <n v="2025"/>
    <x v="6"/>
    <s v="Q1"/>
    <x v="0"/>
  </r>
  <r>
    <s v="O110302"/>
    <x v="58"/>
    <x v="9"/>
    <x v="5"/>
    <x v="4"/>
    <x v="3"/>
    <n v="1"/>
    <n v="128146"/>
    <d v="2026-09-18T00:00:00"/>
    <n v="9"/>
    <n v="18"/>
    <n v="2026"/>
    <x v="1"/>
    <s v="Q3"/>
    <x v="4"/>
  </r>
  <r>
    <s v="O108062"/>
    <x v="153"/>
    <x v="10"/>
    <x v="7"/>
    <x v="2"/>
    <x v="3"/>
    <n v="10"/>
    <n v="128108"/>
    <d v="2026-05-05T00:00:00"/>
    <n v="5"/>
    <n v="5"/>
    <n v="2026"/>
    <x v="3"/>
    <s v="Q2"/>
    <x v="2"/>
  </r>
  <r>
    <s v="O106957"/>
    <x v="239"/>
    <x v="2"/>
    <x v="6"/>
    <x v="3"/>
    <x v="1"/>
    <n v="6"/>
    <n v="128070"/>
    <d v="2026-02-27T00:00:00"/>
    <n v="2"/>
    <n v="27"/>
    <n v="2026"/>
    <x v="4"/>
    <s v="Q1"/>
    <x v="3"/>
  </r>
  <r>
    <s v="O111759"/>
    <x v="635"/>
    <x v="2"/>
    <x v="5"/>
    <x v="0"/>
    <x v="3"/>
    <n v="1"/>
    <n v="128044"/>
    <d v="2026-12-16T00:00:00"/>
    <n v="12"/>
    <n v="16"/>
    <n v="2026"/>
    <x v="7"/>
    <s v="Q4"/>
    <x v="0"/>
  </r>
  <r>
    <s v="O110183"/>
    <x v="275"/>
    <x v="1"/>
    <x v="7"/>
    <x v="2"/>
    <x v="0"/>
    <n v="8"/>
    <n v="127934"/>
    <d v="2026-11-09T00:00:00"/>
    <n v="11"/>
    <n v="9"/>
    <n v="2026"/>
    <x v="0"/>
    <s v="Q4"/>
    <x v="2"/>
  </r>
  <r>
    <s v="O104174"/>
    <x v="421"/>
    <x v="3"/>
    <x v="6"/>
    <x v="3"/>
    <x v="2"/>
    <n v="5"/>
    <n v="127833"/>
    <d v="2025-11-09T00:00:00"/>
    <n v="11"/>
    <n v="9"/>
    <n v="2025"/>
    <x v="0"/>
    <s v="Q4"/>
    <x v="3"/>
  </r>
  <r>
    <s v="O108140"/>
    <x v="379"/>
    <x v="6"/>
    <x v="7"/>
    <x v="3"/>
    <x v="1"/>
    <n v="8"/>
    <n v="127827"/>
    <d v="2026-10-05T00:00:00"/>
    <n v="10"/>
    <n v="5"/>
    <n v="2026"/>
    <x v="9"/>
    <s v="Q4"/>
    <x v="3"/>
  </r>
  <r>
    <s v="O102337"/>
    <x v="361"/>
    <x v="6"/>
    <x v="6"/>
    <x v="1"/>
    <x v="1"/>
    <n v="5"/>
    <n v="127803"/>
    <d v="2025-05-22T00:00:00"/>
    <n v="5"/>
    <n v="22"/>
    <n v="2025"/>
    <x v="3"/>
    <s v="Q2"/>
    <x v="1"/>
  </r>
  <r>
    <s v="O111740"/>
    <x v="283"/>
    <x v="4"/>
    <x v="7"/>
    <x v="1"/>
    <x v="3"/>
    <n v="10"/>
    <n v="127772"/>
    <d v="2026-12-15T00:00:00"/>
    <n v="12"/>
    <n v="15"/>
    <n v="2026"/>
    <x v="7"/>
    <s v="Q4"/>
    <x v="1"/>
  </r>
  <r>
    <s v="O105148"/>
    <x v="376"/>
    <x v="6"/>
    <x v="5"/>
    <x v="4"/>
    <x v="3"/>
    <n v="1"/>
    <n v="127764"/>
    <d v="2025-09-11T00:00:00"/>
    <n v="9"/>
    <n v="11"/>
    <n v="2025"/>
    <x v="1"/>
    <s v="Q3"/>
    <x v="4"/>
  </r>
  <r>
    <s v="O103647"/>
    <x v="568"/>
    <x v="1"/>
    <x v="6"/>
    <x v="0"/>
    <x v="3"/>
    <n v="5"/>
    <n v="127736"/>
    <d v="2025-10-08T00:00:00"/>
    <n v="10"/>
    <n v="8"/>
    <n v="2025"/>
    <x v="9"/>
    <s v="Q4"/>
    <x v="0"/>
  </r>
  <r>
    <s v="O100308"/>
    <x v="365"/>
    <x v="8"/>
    <x v="7"/>
    <x v="2"/>
    <x v="2"/>
    <n v="7"/>
    <n v="127735"/>
    <d v="2025-01-19T00:00:00"/>
    <n v="1"/>
    <n v="19"/>
    <n v="2025"/>
    <x v="6"/>
    <s v="Q1"/>
    <x v="2"/>
  </r>
  <r>
    <s v="O106437"/>
    <x v="136"/>
    <x v="2"/>
    <x v="6"/>
    <x v="3"/>
    <x v="3"/>
    <n v="5"/>
    <n v="127699"/>
    <d v="2026-01-27T00:00:00"/>
    <n v="1"/>
    <n v="27"/>
    <n v="2026"/>
    <x v="6"/>
    <s v="Q1"/>
    <x v="3"/>
  </r>
  <r>
    <s v="O104503"/>
    <x v="304"/>
    <x v="10"/>
    <x v="7"/>
    <x v="3"/>
    <x v="2"/>
    <n v="9"/>
    <n v="127681"/>
    <d v="2025-01-10T00:00:00"/>
    <n v="1"/>
    <n v="10"/>
    <n v="2025"/>
    <x v="6"/>
    <s v="Q1"/>
    <x v="3"/>
  </r>
  <r>
    <s v="O106663"/>
    <x v="6"/>
    <x v="6"/>
    <x v="7"/>
    <x v="1"/>
    <x v="3"/>
    <n v="9"/>
    <n v="127663"/>
    <d v="2026-09-02T00:00:00"/>
    <n v="9"/>
    <n v="2"/>
    <n v="2026"/>
    <x v="1"/>
    <s v="Q3"/>
    <x v="1"/>
  </r>
  <r>
    <s v="O107517"/>
    <x v="784"/>
    <x v="9"/>
    <x v="7"/>
    <x v="1"/>
    <x v="3"/>
    <n v="10"/>
    <n v="127654"/>
    <d v="2026-02-04T00:00:00"/>
    <n v="2"/>
    <n v="4"/>
    <n v="2026"/>
    <x v="4"/>
    <s v="Q1"/>
    <x v="1"/>
  </r>
  <r>
    <s v="O110573"/>
    <x v="128"/>
    <x v="8"/>
    <x v="7"/>
    <x v="0"/>
    <x v="2"/>
    <n v="8"/>
    <n v="127631"/>
    <d v="2026-05-10T00:00:00"/>
    <n v="5"/>
    <n v="10"/>
    <n v="2026"/>
    <x v="3"/>
    <s v="Q2"/>
    <x v="0"/>
  </r>
  <r>
    <s v="O101582"/>
    <x v="106"/>
    <x v="1"/>
    <x v="7"/>
    <x v="3"/>
    <x v="2"/>
    <n v="9"/>
    <n v="127548"/>
    <d v="2025-07-04T00:00:00"/>
    <n v="7"/>
    <n v="4"/>
    <n v="2025"/>
    <x v="10"/>
    <s v="Q3"/>
    <x v="3"/>
  </r>
  <r>
    <s v="O103026"/>
    <x v="696"/>
    <x v="9"/>
    <x v="7"/>
    <x v="0"/>
    <x v="3"/>
    <n v="8"/>
    <n v="127539"/>
    <d v="2025-03-07T00:00:00"/>
    <n v="3"/>
    <n v="7"/>
    <n v="2025"/>
    <x v="5"/>
    <s v="Q1"/>
    <x v="0"/>
  </r>
  <r>
    <s v="O102377"/>
    <x v="528"/>
    <x v="2"/>
    <x v="7"/>
    <x v="0"/>
    <x v="0"/>
    <n v="7"/>
    <n v="127456"/>
    <d v="2025-05-25T00:00:00"/>
    <n v="5"/>
    <n v="25"/>
    <n v="2025"/>
    <x v="3"/>
    <s v="Q2"/>
    <x v="0"/>
  </r>
  <r>
    <s v="O102460"/>
    <x v="688"/>
    <x v="3"/>
    <x v="7"/>
    <x v="3"/>
    <x v="3"/>
    <n v="8"/>
    <n v="127407"/>
    <d v="2025-05-30T00:00:00"/>
    <n v="5"/>
    <n v="30"/>
    <n v="2025"/>
    <x v="3"/>
    <s v="Q2"/>
    <x v="3"/>
  </r>
  <r>
    <s v="O110524"/>
    <x v="698"/>
    <x v="8"/>
    <x v="6"/>
    <x v="1"/>
    <x v="0"/>
    <n v="5"/>
    <n v="127370"/>
    <d v="2026-02-10T00:00:00"/>
    <n v="2"/>
    <n v="10"/>
    <n v="2026"/>
    <x v="4"/>
    <s v="Q1"/>
    <x v="1"/>
  </r>
  <r>
    <s v="O102259"/>
    <x v="516"/>
    <x v="0"/>
    <x v="7"/>
    <x v="1"/>
    <x v="3"/>
    <n v="10"/>
    <n v="127294"/>
    <d v="2025-05-18T00:00:00"/>
    <n v="5"/>
    <n v="18"/>
    <n v="2025"/>
    <x v="3"/>
    <s v="Q2"/>
    <x v="1"/>
  </r>
  <r>
    <s v="O108714"/>
    <x v="565"/>
    <x v="9"/>
    <x v="6"/>
    <x v="4"/>
    <x v="1"/>
    <n v="6"/>
    <n v="127259"/>
    <d v="2026-06-14T00:00:00"/>
    <n v="6"/>
    <n v="14"/>
    <n v="2026"/>
    <x v="2"/>
    <s v="Q2"/>
    <x v="4"/>
  </r>
  <r>
    <s v="O110310"/>
    <x v="392"/>
    <x v="5"/>
    <x v="7"/>
    <x v="1"/>
    <x v="2"/>
    <n v="10"/>
    <n v="127185"/>
    <d v="2026-09-19T00:00:00"/>
    <n v="9"/>
    <n v="19"/>
    <n v="2026"/>
    <x v="1"/>
    <s v="Q3"/>
    <x v="1"/>
  </r>
  <r>
    <s v="O107620"/>
    <x v="192"/>
    <x v="4"/>
    <x v="6"/>
    <x v="0"/>
    <x v="3"/>
    <n v="5"/>
    <n v="127000"/>
    <d v="2026-08-04T00:00:00"/>
    <n v="8"/>
    <n v="4"/>
    <n v="2026"/>
    <x v="8"/>
    <s v="Q3"/>
    <x v="0"/>
  </r>
  <r>
    <s v="O111096"/>
    <x v="793"/>
    <x v="1"/>
    <x v="7"/>
    <x v="2"/>
    <x v="1"/>
    <n v="7"/>
    <n v="126894"/>
    <d v="2026-06-11T00:00:00"/>
    <n v="6"/>
    <n v="11"/>
    <n v="2026"/>
    <x v="2"/>
    <s v="Q2"/>
    <x v="2"/>
  </r>
  <r>
    <s v="O111778"/>
    <x v="96"/>
    <x v="3"/>
    <x v="6"/>
    <x v="4"/>
    <x v="0"/>
    <n v="6"/>
    <n v="126778"/>
    <d v="2026-12-17T00:00:00"/>
    <n v="12"/>
    <n v="17"/>
    <n v="2026"/>
    <x v="7"/>
    <s v="Q4"/>
    <x v="4"/>
  </r>
  <r>
    <s v="O107819"/>
    <x v="321"/>
    <x v="2"/>
    <x v="5"/>
    <x v="3"/>
    <x v="1"/>
    <n v="1"/>
    <n v="126766"/>
    <d v="2026-04-20T00:00:00"/>
    <n v="4"/>
    <n v="20"/>
    <n v="2026"/>
    <x v="11"/>
    <s v="Q2"/>
    <x v="3"/>
  </r>
  <r>
    <s v="O100948"/>
    <x v="279"/>
    <x v="3"/>
    <x v="5"/>
    <x v="1"/>
    <x v="2"/>
    <n v="1"/>
    <n v="126712"/>
    <d v="2025-02-27T00:00:00"/>
    <n v="2"/>
    <n v="27"/>
    <n v="2025"/>
    <x v="4"/>
    <s v="Q1"/>
    <x v="1"/>
  </r>
  <r>
    <s v="O107633"/>
    <x v="216"/>
    <x v="9"/>
    <x v="7"/>
    <x v="0"/>
    <x v="2"/>
    <n v="10"/>
    <n v="126657"/>
    <d v="2026-09-04T00:00:00"/>
    <n v="9"/>
    <n v="4"/>
    <n v="2026"/>
    <x v="1"/>
    <s v="Q3"/>
    <x v="0"/>
  </r>
  <r>
    <s v="O101700"/>
    <x v="324"/>
    <x v="8"/>
    <x v="6"/>
    <x v="0"/>
    <x v="2"/>
    <n v="6"/>
    <n v="126632"/>
    <d v="2025-04-14T00:00:00"/>
    <n v="4"/>
    <n v="14"/>
    <n v="2025"/>
    <x v="11"/>
    <m/>
    <x v="0"/>
  </r>
  <r>
    <s v="O111561"/>
    <x v="46"/>
    <x v="6"/>
    <x v="7"/>
    <x v="0"/>
    <x v="0"/>
    <n v="9"/>
    <n v="126577"/>
    <d v="2026-04-12T00:00:00"/>
    <n v="4"/>
    <n v="12"/>
    <n v="2026"/>
    <x v="11"/>
    <s v="Q2"/>
    <x v="0"/>
  </r>
  <r>
    <s v="O106103"/>
    <x v="571"/>
    <x v="1"/>
    <x v="7"/>
    <x v="2"/>
    <x v="3"/>
    <n v="10"/>
    <n v="126563"/>
    <d v="2026-06-01T00:00:00"/>
    <n v="6"/>
    <n v="1"/>
    <n v="2026"/>
    <x v="2"/>
    <s v="Q2"/>
    <x v="2"/>
  </r>
  <r>
    <s v="O104887"/>
    <x v="551"/>
    <x v="8"/>
    <x v="7"/>
    <x v="3"/>
    <x v="2"/>
    <n v="8"/>
    <n v="126559"/>
    <d v="2025-10-24T00:00:00"/>
    <n v="10"/>
    <n v="24"/>
    <n v="2025"/>
    <x v="9"/>
    <s v="Q4"/>
    <x v="3"/>
  </r>
  <r>
    <s v="O111169"/>
    <x v="521"/>
    <x v="4"/>
    <x v="6"/>
    <x v="0"/>
    <x v="3"/>
    <n v="6"/>
    <n v="126434"/>
    <d v="2026-10-11T00:00:00"/>
    <n v="10"/>
    <n v="11"/>
    <n v="2026"/>
    <x v="9"/>
    <s v="Q4"/>
    <x v="0"/>
  </r>
  <r>
    <s v="O108945"/>
    <x v="463"/>
    <x v="1"/>
    <x v="7"/>
    <x v="3"/>
    <x v="2"/>
    <n v="8"/>
    <n v="126400"/>
    <d v="2026-06-28T00:00:00"/>
    <n v="6"/>
    <n v="28"/>
    <n v="2026"/>
    <x v="2"/>
    <s v="Q2"/>
    <x v="3"/>
  </r>
  <r>
    <s v="O109073"/>
    <x v="499"/>
    <x v="1"/>
    <x v="6"/>
    <x v="4"/>
    <x v="2"/>
    <n v="6"/>
    <n v="126372"/>
    <d v="2026-06-07T00:00:00"/>
    <n v="6"/>
    <n v="7"/>
    <n v="2026"/>
    <x v="2"/>
    <s v="Q2"/>
    <x v="4"/>
  </r>
  <r>
    <s v="O105297"/>
    <x v="412"/>
    <x v="0"/>
    <x v="6"/>
    <x v="1"/>
    <x v="0"/>
    <n v="6"/>
    <n v="126360"/>
    <d v="2025-11-18T00:00:00"/>
    <n v="11"/>
    <n v="18"/>
    <n v="2025"/>
    <x v="0"/>
    <s v="Q4"/>
    <x v="1"/>
  </r>
  <r>
    <s v="O107342"/>
    <x v="115"/>
    <x v="3"/>
    <x v="7"/>
    <x v="4"/>
    <x v="3"/>
    <n v="8"/>
    <n v="126300"/>
    <d v="2026-03-23T00:00:00"/>
    <n v="3"/>
    <n v="23"/>
    <n v="2026"/>
    <x v="5"/>
    <s v="Q1"/>
    <x v="4"/>
  </r>
  <r>
    <s v="O102869"/>
    <x v="274"/>
    <x v="1"/>
    <x v="7"/>
    <x v="4"/>
    <x v="3"/>
    <n v="10"/>
    <n v="126125"/>
    <d v="2025-06-24T00:00:00"/>
    <n v="6"/>
    <n v="24"/>
    <n v="2025"/>
    <x v="2"/>
    <s v="Q2"/>
    <x v="4"/>
  </r>
  <r>
    <s v="O109779"/>
    <x v="239"/>
    <x v="9"/>
    <x v="7"/>
    <x v="2"/>
    <x v="3"/>
    <n v="7"/>
    <n v="125979"/>
    <d v="2026-08-18T00:00:00"/>
    <n v="8"/>
    <n v="18"/>
    <n v="2026"/>
    <x v="8"/>
    <s v="Q3"/>
    <x v="2"/>
  </r>
  <r>
    <s v="O111571"/>
    <x v="505"/>
    <x v="9"/>
    <x v="7"/>
    <x v="3"/>
    <x v="2"/>
    <n v="7"/>
    <n v="125898"/>
    <d v="2026-04-12T00:00:00"/>
    <n v="4"/>
    <n v="12"/>
    <n v="2026"/>
    <x v="11"/>
    <s v="Q2"/>
    <x v="3"/>
  </r>
  <r>
    <s v="O111938"/>
    <x v="118"/>
    <x v="0"/>
    <x v="7"/>
    <x v="3"/>
    <x v="3"/>
    <n v="7"/>
    <n v="125890"/>
    <d v="2026-12-27T00:00:00"/>
    <n v="12"/>
    <n v="27"/>
    <n v="2026"/>
    <x v="7"/>
    <s v="Q4"/>
    <x v="3"/>
  </r>
  <r>
    <s v="O111878"/>
    <x v="311"/>
    <x v="3"/>
    <x v="6"/>
    <x v="0"/>
    <x v="0"/>
    <n v="6"/>
    <n v="125873"/>
    <d v="2026-12-23T00:00:00"/>
    <n v="12"/>
    <n v="23"/>
    <n v="2026"/>
    <x v="7"/>
    <s v="Q4"/>
    <x v="0"/>
  </r>
  <r>
    <s v="O108539"/>
    <x v="172"/>
    <x v="0"/>
    <x v="6"/>
    <x v="1"/>
    <x v="3"/>
    <n v="6"/>
    <n v="125829"/>
    <d v="2026-03-06T00:00:00"/>
    <n v="3"/>
    <n v="6"/>
    <n v="2026"/>
    <x v="5"/>
    <s v="Q1"/>
    <x v="1"/>
  </r>
  <r>
    <s v="O106936"/>
    <x v="45"/>
    <x v="5"/>
    <x v="6"/>
    <x v="1"/>
    <x v="1"/>
    <n v="5"/>
    <n v="125817"/>
    <d v="2026-02-26T00:00:00"/>
    <n v="2"/>
    <n v="26"/>
    <n v="2026"/>
    <x v="4"/>
    <s v="Q1"/>
    <x v="1"/>
  </r>
  <r>
    <s v="O108574"/>
    <x v="374"/>
    <x v="9"/>
    <x v="7"/>
    <x v="3"/>
    <x v="0"/>
    <n v="10"/>
    <n v="125812"/>
    <d v="2026-05-06T00:00:00"/>
    <n v="5"/>
    <n v="6"/>
    <n v="2026"/>
    <x v="3"/>
    <s v="Q2"/>
    <x v="3"/>
  </r>
  <r>
    <s v="O106703"/>
    <x v="430"/>
    <x v="4"/>
    <x v="7"/>
    <x v="2"/>
    <x v="1"/>
    <n v="7"/>
    <n v="125777"/>
    <d v="2026-12-02T00:00:00"/>
    <n v="12"/>
    <n v="2"/>
    <n v="2026"/>
    <x v="7"/>
    <s v="Q4"/>
    <x v="2"/>
  </r>
  <r>
    <s v="O105732"/>
    <x v="10"/>
    <x v="10"/>
    <x v="7"/>
    <x v="1"/>
    <x v="0"/>
    <n v="10"/>
    <n v="125720"/>
    <d v="2025-12-15T00:00:00"/>
    <n v="12"/>
    <n v="15"/>
    <n v="2025"/>
    <x v="7"/>
    <s v="Q4"/>
    <x v="1"/>
  </r>
  <r>
    <s v="O110807"/>
    <x v="142"/>
    <x v="9"/>
    <x v="7"/>
    <x v="3"/>
    <x v="2"/>
    <n v="9"/>
    <n v="125697"/>
    <d v="2026-10-19T00:00:00"/>
    <n v="10"/>
    <n v="19"/>
    <n v="2026"/>
    <x v="9"/>
    <s v="Q4"/>
    <x v="3"/>
  </r>
  <r>
    <s v="O109983"/>
    <x v="699"/>
    <x v="4"/>
    <x v="7"/>
    <x v="4"/>
    <x v="3"/>
    <n v="7"/>
    <n v="125696"/>
    <d v="2026-08-30T00:00:00"/>
    <n v="8"/>
    <n v="30"/>
    <n v="2026"/>
    <x v="8"/>
    <s v="Q3"/>
    <x v="4"/>
  </r>
  <r>
    <s v="O102164"/>
    <x v="234"/>
    <x v="6"/>
    <x v="5"/>
    <x v="4"/>
    <x v="1"/>
    <n v="1"/>
    <n v="125629"/>
    <d v="2025-12-05T00:00:00"/>
    <n v="12"/>
    <n v="5"/>
    <n v="2025"/>
    <x v="7"/>
    <s v="Q4"/>
    <x v="4"/>
  </r>
  <r>
    <s v="O107935"/>
    <x v="308"/>
    <x v="8"/>
    <x v="7"/>
    <x v="0"/>
    <x v="3"/>
    <n v="7"/>
    <n v="125619"/>
    <d v="2026-04-28T00:00:00"/>
    <n v="4"/>
    <n v="28"/>
    <n v="2026"/>
    <x v="11"/>
    <s v="Q2"/>
    <x v="0"/>
  </r>
  <r>
    <s v="O109254"/>
    <x v="138"/>
    <x v="3"/>
    <x v="7"/>
    <x v="4"/>
    <x v="3"/>
    <n v="9"/>
    <n v="125565"/>
    <d v="2026-07-17T00:00:00"/>
    <n v="7"/>
    <n v="17"/>
    <n v="2026"/>
    <x v="10"/>
    <s v="Q3"/>
    <x v="4"/>
  </r>
  <r>
    <s v="O103233"/>
    <x v="787"/>
    <x v="2"/>
    <x v="7"/>
    <x v="2"/>
    <x v="2"/>
    <n v="10"/>
    <n v="125469"/>
    <d v="2025-07-16T00:00:00"/>
    <n v="7"/>
    <n v="16"/>
    <n v="2025"/>
    <x v="10"/>
    <s v="Q3"/>
    <x v="2"/>
  </r>
  <r>
    <s v="O101083"/>
    <x v="475"/>
    <x v="0"/>
    <x v="7"/>
    <x v="1"/>
    <x v="0"/>
    <n v="9"/>
    <n v="125462"/>
    <d v="2025-07-03T00:00:00"/>
    <n v="7"/>
    <n v="3"/>
    <n v="2025"/>
    <x v="10"/>
    <s v="Q3"/>
    <x v="1"/>
  </r>
  <r>
    <s v="O103904"/>
    <x v="730"/>
    <x v="6"/>
    <x v="7"/>
    <x v="4"/>
    <x v="2"/>
    <n v="10"/>
    <n v="125332"/>
    <d v="2025-08-26T00:00:00"/>
    <n v="8"/>
    <n v="26"/>
    <n v="2025"/>
    <x v="8"/>
    <s v="Q3"/>
    <x v="4"/>
  </r>
  <r>
    <s v="O106119"/>
    <x v="477"/>
    <x v="2"/>
    <x v="7"/>
    <x v="1"/>
    <x v="0"/>
    <n v="7"/>
    <n v="125101"/>
    <d v="2026-07-01T00:00:00"/>
    <n v="7"/>
    <n v="1"/>
    <n v="2026"/>
    <x v="10"/>
    <s v="Q3"/>
    <x v="1"/>
  </r>
  <r>
    <s v="O104512"/>
    <x v="524"/>
    <x v="0"/>
    <x v="6"/>
    <x v="4"/>
    <x v="3"/>
    <n v="5"/>
    <n v="125046"/>
    <d v="2025-02-10T00:00:00"/>
    <n v="2"/>
    <n v="10"/>
    <n v="2025"/>
    <x v="4"/>
    <s v="Q1"/>
    <x v="4"/>
  </r>
  <r>
    <s v="O105495"/>
    <x v="226"/>
    <x v="5"/>
    <x v="6"/>
    <x v="3"/>
    <x v="1"/>
    <n v="6"/>
    <n v="124943"/>
    <d v="2025-11-30T00:00:00"/>
    <n v="11"/>
    <n v="30"/>
    <n v="2025"/>
    <x v="0"/>
    <s v="Q4"/>
    <x v="3"/>
  </r>
  <r>
    <s v="O103358"/>
    <x v="742"/>
    <x v="3"/>
    <x v="7"/>
    <x v="3"/>
    <x v="1"/>
    <n v="7"/>
    <n v="124925"/>
    <d v="2025-07-23T00:00:00"/>
    <n v="7"/>
    <n v="23"/>
    <n v="2025"/>
    <x v="10"/>
    <s v="Q3"/>
    <x v="3"/>
  </r>
  <r>
    <s v="O110727"/>
    <x v="294"/>
    <x v="9"/>
    <x v="7"/>
    <x v="3"/>
    <x v="1"/>
    <n v="8"/>
    <n v="124886"/>
    <d v="2026-10-14T00:00:00"/>
    <n v="10"/>
    <n v="14"/>
    <n v="2026"/>
    <x v="9"/>
    <s v="Q4"/>
    <x v="3"/>
  </r>
  <r>
    <s v="O102304"/>
    <x v="255"/>
    <x v="0"/>
    <x v="7"/>
    <x v="0"/>
    <x v="2"/>
    <n v="9"/>
    <n v="124873"/>
    <d v="2025-05-20T00:00:00"/>
    <n v="5"/>
    <n v="20"/>
    <n v="2025"/>
    <x v="3"/>
    <s v="Q2"/>
    <x v="0"/>
  </r>
  <r>
    <s v="O103703"/>
    <x v="12"/>
    <x v="6"/>
    <x v="7"/>
    <x v="1"/>
    <x v="1"/>
    <n v="9"/>
    <n v="124868"/>
    <d v="2025-08-13T00:00:00"/>
    <n v="8"/>
    <n v="13"/>
    <n v="2025"/>
    <x v="8"/>
    <s v="Q3"/>
    <x v="1"/>
  </r>
  <r>
    <s v="O109307"/>
    <x v="237"/>
    <x v="2"/>
    <x v="7"/>
    <x v="4"/>
    <x v="1"/>
    <n v="9"/>
    <n v="124823"/>
    <d v="2026-07-20T00:00:00"/>
    <n v="7"/>
    <n v="20"/>
    <n v="2026"/>
    <x v="10"/>
    <s v="Q3"/>
    <x v="4"/>
  </r>
  <r>
    <s v="O110843"/>
    <x v="708"/>
    <x v="5"/>
    <x v="5"/>
    <x v="4"/>
    <x v="1"/>
    <n v="1"/>
    <n v="124822"/>
    <d v="2026-10-21T00:00:00"/>
    <n v="10"/>
    <n v="21"/>
    <n v="2026"/>
    <x v="9"/>
    <s v="Q4"/>
    <x v="4"/>
  </r>
  <r>
    <s v="O101842"/>
    <x v="779"/>
    <x v="1"/>
    <x v="6"/>
    <x v="4"/>
    <x v="0"/>
    <n v="4"/>
    <n v="124793"/>
    <d v="2025-04-22T00:00:00"/>
    <n v="4"/>
    <n v="22"/>
    <n v="2025"/>
    <x v="11"/>
    <s v="Q2"/>
    <x v="4"/>
  </r>
  <r>
    <s v="O104920"/>
    <x v="492"/>
    <x v="4"/>
    <x v="7"/>
    <x v="4"/>
    <x v="0"/>
    <n v="9"/>
    <n v="124778"/>
    <d v="2025-10-26T00:00:00"/>
    <n v="10"/>
    <n v="26"/>
    <n v="2025"/>
    <x v="9"/>
    <s v="Q4"/>
    <x v="4"/>
  </r>
  <r>
    <s v="O103387"/>
    <x v="756"/>
    <x v="9"/>
    <x v="7"/>
    <x v="2"/>
    <x v="0"/>
    <n v="9"/>
    <n v="124749"/>
    <d v="2025-07-25T00:00:00"/>
    <n v="7"/>
    <n v="25"/>
    <n v="2025"/>
    <x v="10"/>
    <s v="Q3"/>
    <x v="2"/>
  </r>
  <r>
    <s v="O109521"/>
    <x v="93"/>
    <x v="1"/>
    <x v="7"/>
    <x v="2"/>
    <x v="1"/>
    <n v="9"/>
    <n v="124696"/>
    <d v="2026-02-08T00:00:00"/>
    <n v="2"/>
    <n v="8"/>
    <n v="2026"/>
    <x v="4"/>
    <s v="Q1"/>
    <x v="2"/>
  </r>
  <r>
    <s v="O100017"/>
    <x v="655"/>
    <x v="10"/>
    <x v="7"/>
    <x v="3"/>
    <x v="1"/>
    <n v="8"/>
    <n v="124688"/>
    <d v="2025-01-01T00:00:00"/>
    <n v="1"/>
    <n v="1"/>
    <n v="2025"/>
    <x v="6"/>
    <s v="Q1"/>
    <x v="3"/>
  </r>
  <r>
    <s v="O104754"/>
    <x v="545"/>
    <x v="5"/>
    <x v="6"/>
    <x v="1"/>
    <x v="1"/>
    <n v="5"/>
    <n v="124657"/>
    <d v="2025-10-16T00:00:00"/>
    <n v="10"/>
    <n v="16"/>
    <n v="2025"/>
    <x v="9"/>
    <s v="Q4"/>
    <x v="1"/>
  </r>
  <r>
    <s v="O103595"/>
    <x v="593"/>
    <x v="8"/>
    <x v="6"/>
    <x v="1"/>
    <x v="1"/>
    <n v="5"/>
    <n v="124626"/>
    <d v="2025-07-08T00:00:00"/>
    <n v="7"/>
    <n v="8"/>
    <n v="2025"/>
    <x v="10"/>
    <s v="Q3"/>
    <x v="1"/>
  </r>
  <r>
    <s v="O101664"/>
    <x v="777"/>
    <x v="2"/>
    <x v="6"/>
    <x v="2"/>
    <x v="1"/>
    <n v="4"/>
    <n v="124596"/>
    <d v="2025-12-04T00:00:00"/>
    <n v="12"/>
    <n v="4"/>
    <n v="2025"/>
    <x v="7"/>
    <s v="Q4"/>
    <x v="2"/>
  </r>
  <r>
    <s v="O105849"/>
    <x v="297"/>
    <x v="5"/>
    <x v="7"/>
    <x v="4"/>
    <x v="2"/>
    <n v="10"/>
    <n v="124575"/>
    <d v="2025-12-22T00:00:00"/>
    <n v="12"/>
    <n v="22"/>
    <n v="2025"/>
    <x v="7"/>
    <s v="Q4"/>
    <x v="4"/>
  </r>
  <r>
    <s v="O105071"/>
    <x v="160"/>
    <x v="2"/>
    <x v="6"/>
    <x v="2"/>
    <x v="0"/>
    <n v="4"/>
    <n v="124502"/>
    <d v="2025-05-11T00:00:00"/>
    <n v="5"/>
    <n v="11"/>
    <n v="2025"/>
    <x v="3"/>
    <s v="Q2"/>
    <x v="2"/>
  </r>
  <r>
    <s v="O104563"/>
    <x v="768"/>
    <x v="5"/>
    <x v="5"/>
    <x v="4"/>
    <x v="0"/>
    <n v="1"/>
    <n v="124485"/>
    <d v="2025-05-10T00:00:00"/>
    <n v="5"/>
    <n v="10"/>
    <n v="2025"/>
    <x v="3"/>
    <s v="Q2"/>
    <x v="4"/>
  </r>
  <r>
    <s v="O109149"/>
    <x v="353"/>
    <x v="9"/>
    <x v="7"/>
    <x v="1"/>
    <x v="1"/>
    <n v="7"/>
    <n v="124435"/>
    <d v="2026-10-07T00:00:00"/>
    <n v="10"/>
    <n v="7"/>
    <n v="2026"/>
    <x v="9"/>
    <s v="Q4"/>
    <x v="1"/>
  </r>
  <r>
    <s v="O108771"/>
    <x v="511"/>
    <x v="5"/>
    <x v="7"/>
    <x v="1"/>
    <x v="2"/>
    <n v="7"/>
    <n v="124421"/>
    <d v="2026-06-17T00:00:00"/>
    <n v="6"/>
    <n v="17"/>
    <n v="2026"/>
    <x v="2"/>
    <s v="Q2"/>
    <x v="1"/>
  </r>
  <r>
    <s v="O111282"/>
    <x v="292"/>
    <x v="1"/>
    <x v="7"/>
    <x v="1"/>
    <x v="2"/>
    <n v="7"/>
    <n v="124383"/>
    <d v="2026-11-17T00:00:00"/>
    <n v="11"/>
    <n v="17"/>
    <n v="2026"/>
    <x v="0"/>
    <s v="Q4"/>
    <x v="1"/>
  </r>
  <r>
    <s v="O110516"/>
    <x v="588"/>
    <x v="2"/>
    <x v="6"/>
    <x v="3"/>
    <x v="0"/>
    <n v="4"/>
    <n v="124371"/>
    <d v="2026-01-10T00:00:00"/>
    <n v="1"/>
    <n v="10"/>
    <n v="2026"/>
    <x v="6"/>
    <s v="Q1"/>
    <x v="3"/>
  </r>
  <r>
    <s v="O100001"/>
    <x v="501"/>
    <x v="9"/>
    <x v="7"/>
    <x v="1"/>
    <x v="1"/>
    <n v="9"/>
    <n v="124350"/>
    <d v="2025-01-01T00:00:00"/>
    <n v="1"/>
    <n v="1"/>
    <n v="2025"/>
    <x v="6"/>
    <s v="Q1"/>
    <x v="1"/>
  </r>
  <r>
    <s v="O110238"/>
    <x v="673"/>
    <x v="5"/>
    <x v="7"/>
    <x v="4"/>
    <x v="0"/>
    <n v="7"/>
    <n v="124221"/>
    <d v="2026-09-14T00:00:00"/>
    <n v="9"/>
    <n v="14"/>
    <n v="2026"/>
    <x v="1"/>
    <s v="Q3"/>
    <x v="4"/>
  </r>
  <r>
    <s v="O100658"/>
    <x v="174"/>
    <x v="2"/>
    <x v="7"/>
    <x v="0"/>
    <x v="3"/>
    <n v="8"/>
    <n v="124180"/>
    <d v="2025-09-02T00:00:00"/>
    <n v="9"/>
    <n v="2"/>
    <n v="2025"/>
    <x v="1"/>
    <s v="Q3"/>
    <x v="0"/>
  </r>
  <r>
    <s v="O105349"/>
    <x v="539"/>
    <x v="9"/>
    <x v="6"/>
    <x v="4"/>
    <x v="3"/>
    <n v="6"/>
    <n v="124159"/>
    <d v="2025-11-21T00:00:00"/>
    <n v="11"/>
    <n v="21"/>
    <n v="2025"/>
    <x v="0"/>
    <s v="Q4"/>
    <x v="4"/>
  </r>
  <r>
    <s v="O100916"/>
    <x v="251"/>
    <x v="4"/>
    <x v="6"/>
    <x v="0"/>
    <x v="3"/>
    <n v="6"/>
    <n v="124153"/>
    <d v="2025-02-25T00:00:00"/>
    <n v="2"/>
    <n v="25"/>
    <n v="2025"/>
    <x v="4"/>
    <s v="Q1"/>
    <x v="0"/>
  </r>
  <r>
    <s v="O103557"/>
    <x v="677"/>
    <x v="5"/>
    <x v="7"/>
    <x v="4"/>
    <x v="1"/>
    <n v="7"/>
    <n v="124057"/>
    <d v="2025-05-08T00:00:00"/>
    <n v="5"/>
    <n v="8"/>
    <n v="2025"/>
    <x v="3"/>
    <s v="Q2"/>
    <x v="4"/>
  </r>
  <r>
    <s v="O102257"/>
    <x v="629"/>
    <x v="0"/>
    <x v="6"/>
    <x v="0"/>
    <x v="2"/>
    <n v="4"/>
    <n v="123992"/>
    <d v="2025-05-18T00:00:00"/>
    <n v="5"/>
    <n v="18"/>
    <n v="2025"/>
    <x v="3"/>
    <s v="Q2"/>
    <x v="0"/>
  </r>
  <r>
    <s v="O109497"/>
    <x v="294"/>
    <x v="2"/>
    <x v="6"/>
    <x v="2"/>
    <x v="3"/>
    <n v="5"/>
    <n v="123982"/>
    <d v="2026-07-31T00:00:00"/>
    <n v="7"/>
    <n v="31"/>
    <n v="2026"/>
    <x v="10"/>
    <s v="Q3"/>
    <x v="2"/>
  </r>
  <r>
    <s v="O105457"/>
    <x v="709"/>
    <x v="1"/>
    <x v="7"/>
    <x v="4"/>
    <x v="3"/>
    <n v="8"/>
    <n v="123945"/>
    <d v="2025-11-28T00:00:00"/>
    <n v="11"/>
    <n v="28"/>
    <n v="2025"/>
    <x v="0"/>
    <s v="Q4"/>
    <x v="4"/>
  </r>
  <r>
    <s v="O111076"/>
    <x v="104"/>
    <x v="5"/>
    <x v="6"/>
    <x v="0"/>
    <x v="3"/>
    <n v="5"/>
    <n v="123928"/>
    <d v="2026-04-11T00:00:00"/>
    <n v="4"/>
    <n v="11"/>
    <n v="2026"/>
    <x v="11"/>
    <s v="Q2"/>
    <x v="0"/>
  </r>
  <r>
    <s v="O103012"/>
    <x v="729"/>
    <x v="0"/>
    <x v="7"/>
    <x v="4"/>
    <x v="2"/>
    <n v="7"/>
    <n v="123913"/>
    <d v="2025-02-07T00:00:00"/>
    <n v="2"/>
    <n v="7"/>
    <n v="2025"/>
    <x v="4"/>
    <s v="Q1"/>
    <x v="4"/>
  </r>
  <r>
    <s v="O103815"/>
    <x v="795"/>
    <x v="10"/>
    <x v="7"/>
    <x v="0"/>
    <x v="0"/>
    <n v="9"/>
    <n v="123827"/>
    <d v="2025-08-20T00:00:00"/>
    <n v="8"/>
    <n v="20"/>
    <n v="2025"/>
    <x v="8"/>
    <s v="Q3"/>
    <x v="0"/>
  </r>
  <r>
    <s v="O104466"/>
    <x v="485"/>
    <x v="4"/>
    <x v="7"/>
    <x v="0"/>
    <x v="2"/>
    <n v="9"/>
    <n v="123735"/>
    <d v="2025-09-29T00:00:00"/>
    <n v="9"/>
    <n v="29"/>
    <n v="2025"/>
    <x v="1"/>
    <s v="Q3"/>
    <x v="0"/>
  </r>
  <r>
    <s v="O103973"/>
    <x v="443"/>
    <x v="1"/>
    <x v="7"/>
    <x v="0"/>
    <x v="0"/>
    <n v="10"/>
    <n v="123624"/>
    <d v="2025-08-30T00:00:00"/>
    <n v="8"/>
    <n v="30"/>
    <n v="2025"/>
    <x v="8"/>
    <m/>
    <x v="0"/>
  </r>
  <r>
    <s v="O106783"/>
    <x v="381"/>
    <x v="1"/>
    <x v="6"/>
    <x v="4"/>
    <x v="3"/>
    <n v="4"/>
    <n v="123524"/>
    <d v="2026-02-17T00:00:00"/>
    <n v="2"/>
    <n v="17"/>
    <n v="2026"/>
    <x v="4"/>
    <s v="Q1"/>
    <x v="4"/>
  </r>
  <r>
    <s v="O105902"/>
    <x v="724"/>
    <x v="9"/>
    <x v="6"/>
    <x v="3"/>
    <x v="1"/>
    <n v="5"/>
    <n v="123524"/>
    <d v="2025-12-25T00:00:00"/>
    <n v="12"/>
    <n v="25"/>
    <n v="2025"/>
    <x v="7"/>
    <s v="Q4"/>
    <x v="3"/>
  </r>
  <r>
    <s v="O101849"/>
    <x v="454"/>
    <x v="6"/>
    <x v="5"/>
    <x v="4"/>
    <x v="3"/>
    <n v="1"/>
    <n v="123521"/>
    <d v="2025-04-23T00:00:00"/>
    <n v="4"/>
    <n v="23"/>
    <n v="2025"/>
    <x v="11"/>
    <s v="Q2"/>
    <x v="4"/>
  </r>
  <r>
    <s v="O100824"/>
    <x v="442"/>
    <x v="2"/>
    <x v="7"/>
    <x v="3"/>
    <x v="2"/>
    <n v="8"/>
    <n v="123499"/>
    <d v="2025-02-20T00:00:00"/>
    <n v="2"/>
    <n v="20"/>
    <n v="2025"/>
    <x v="4"/>
    <s v="Q1"/>
    <x v="3"/>
  </r>
  <r>
    <s v="O107629"/>
    <x v="671"/>
    <x v="3"/>
    <x v="5"/>
    <x v="4"/>
    <x v="3"/>
    <n v="1"/>
    <n v="123498"/>
    <d v="2026-09-04T00:00:00"/>
    <n v="9"/>
    <n v="4"/>
    <n v="2026"/>
    <x v="1"/>
    <s v="Q3"/>
    <x v="4"/>
  </r>
  <r>
    <s v="O107719"/>
    <x v="608"/>
    <x v="1"/>
    <x v="6"/>
    <x v="0"/>
    <x v="0"/>
    <n v="4"/>
    <n v="123390"/>
    <d v="2026-04-14T00:00:00"/>
    <n v="4"/>
    <n v="14"/>
    <n v="2026"/>
    <x v="11"/>
    <s v="Q2"/>
    <x v="0"/>
  </r>
  <r>
    <s v="O110985"/>
    <x v="574"/>
    <x v="6"/>
    <x v="7"/>
    <x v="1"/>
    <x v="0"/>
    <n v="9"/>
    <n v="123369"/>
    <d v="2026-10-30T00:00:00"/>
    <n v="10"/>
    <n v="30"/>
    <n v="2026"/>
    <x v="9"/>
    <s v="Q4"/>
    <x v="1"/>
  </r>
  <r>
    <s v="O107993"/>
    <x v="350"/>
    <x v="3"/>
    <x v="7"/>
    <x v="3"/>
    <x v="3"/>
    <n v="10"/>
    <n v="123361"/>
    <d v="2026-01-05T00:00:00"/>
    <n v="1"/>
    <n v="5"/>
    <n v="2026"/>
    <x v="6"/>
    <s v="Q1"/>
    <x v="3"/>
  </r>
  <r>
    <s v="O100288"/>
    <x v="510"/>
    <x v="9"/>
    <x v="6"/>
    <x v="2"/>
    <x v="2"/>
    <n v="4"/>
    <n v="123330"/>
    <d v="2025-01-18T00:00:00"/>
    <n v="1"/>
    <n v="18"/>
    <n v="2025"/>
    <x v="6"/>
    <s v="Q1"/>
    <x v="2"/>
  </r>
  <r>
    <s v="O101613"/>
    <x v="75"/>
    <x v="2"/>
    <x v="6"/>
    <x v="3"/>
    <x v="0"/>
    <n v="5"/>
    <n v="123329"/>
    <d v="2025-08-04T00:00:00"/>
    <n v="8"/>
    <n v="4"/>
    <n v="2025"/>
    <x v="8"/>
    <m/>
    <x v="3"/>
  </r>
  <r>
    <s v="O107985"/>
    <x v="212"/>
    <x v="3"/>
    <x v="6"/>
    <x v="0"/>
    <x v="0"/>
    <n v="6"/>
    <n v="123327"/>
    <d v="2026-01-05T00:00:00"/>
    <n v="1"/>
    <n v="5"/>
    <n v="2026"/>
    <x v="6"/>
    <s v="Q1"/>
    <x v="0"/>
  </r>
  <r>
    <s v="O106115"/>
    <x v="575"/>
    <x v="3"/>
    <x v="7"/>
    <x v="2"/>
    <x v="3"/>
    <n v="8"/>
    <n v="123314"/>
    <d v="2026-07-01T00:00:00"/>
    <n v="7"/>
    <n v="1"/>
    <n v="2026"/>
    <x v="10"/>
    <s v="Q3"/>
    <x v="2"/>
  </r>
  <r>
    <s v="O107035"/>
    <x v="296"/>
    <x v="3"/>
    <x v="6"/>
    <x v="0"/>
    <x v="2"/>
    <n v="5"/>
    <n v="123290"/>
    <d v="2026-04-03T00:00:00"/>
    <n v="4"/>
    <n v="3"/>
    <n v="2026"/>
    <x v="11"/>
    <s v="Q2"/>
    <x v="0"/>
  </r>
  <r>
    <s v="O103736"/>
    <x v="41"/>
    <x v="1"/>
    <x v="6"/>
    <x v="2"/>
    <x v="2"/>
    <n v="4"/>
    <n v="123262"/>
    <d v="2025-08-15T00:00:00"/>
    <n v="8"/>
    <n v="15"/>
    <n v="2025"/>
    <x v="8"/>
    <s v="Q3"/>
    <x v="2"/>
  </r>
  <r>
    <s v="O103310"/>
    <x v="306"/>
    <x v="1"/>
    <x v="6"/>
    <x v="3"/>
    <x v="1"/>
    <n v="5"/>
    <n v="123229"/>
    <d v="2025-07-21T00:00:00"/>
    <n v="7"/>
    <n v="21"/>
    <n v="2025"/>
    <x v="10"/>
    <s v="Q3"/>
    <x v="3"/>
  </r>
  <r>
    <s v="O108198"/>
    <x v="622"/>
    <x v="0"/>
    <x v="7"/>
    <x v="2"/>
    <x v="3"/>
    <n v="9"/>
    <n v="123105"/>
    <d v="2026-05-14T00:00:00"/>
    <n v="5"/>
    <n v="14"/>
    <n v="2026"/>
    <x v="3"/>
    <s v="Q2"/>
    <x v="2"/>
  </r>
  <r>
    <s v="O102794"/>
    <x v="77"/>
    <x v="8"/>
    <x v="7"/>
    <x v="3"/>
    <x v="3"/>
    <n v="9"/>
    <n v="123096"/>
    <d v="2025-06-19T00:00:00"/>
    <n v="6"/>
    <n v="19"/>
    <n v="2025"/>
    <x v="2"/>
    <s v="Q2"/>
    <x v="3"/>
  </r>
  <r>
    <s v="O101546"/>
    <x v="296"/>
    <x v="5"/>
    <x v="6"/>
    <x v="2"/>
    <x v="2"/>
    <n v="4"/>
    <n v="123062"/>
    <d v="2025-04-04T00:00:00"/>
    <n v="4"/>
    <n v="4"/>
    <n v="2025"/>
    <x v="11"/>
    <s v="Q2"/>
    <x v="2"/>
  </r>
  <r>
    <s v="O109621"/>
    <x v="652"/>
    <x v="10"/>
    <x v="6"/>
    <x v="1"/>
    <x v="0"/>
    <n v="4"/>
    <n v="123019"/>
    <d v="2026-08-08T00:00:00"/>
    <n v="8"/>
    <n v="8"/>
    <n v="2026"/>
    <x v="8"/>
    <s v="Q3"/>
    <x v="1"/>
  </r>
  <r>
    <s v="O111001"/>
    <x v="515"/>
    <x v="10"/>
    <x v="6"/>
    <x v="4"/>
    <x v="2"/>
    <n v="4"/>
    <n v="122958"/>
    <d v="2026-10-31T00:00:00"/>
    <n v="10"/>
    <n v="31"/>
    <n v="2026"/>
    <x v="9"/>
    <s v="Q4"/>
    <x v="4"/>
  </r>
  <r>
    <s v="O104712"/>
    <x v="656"/>
    <x v="5"/>
    <x v="6"/>
    <x v="2"/>
    <x v="2"/>
    <n v="4"/>
    <n v="122948"/>
    <d v="2025-10-14T00:00:00"/>
    <n v="10"/>
    <n v="14"/>
    <n v="2025"/>
    <x v="9"/>
    <s v="Q4"/>
    <x v="2"/>
  </r>
  <r>
    <s v="O108409"/>
    <x v="371"/>
    <x v="5"/>
    <x v="6"/>
    <x v="2"/>
    <x v="1"/>
    <n v="6"/>
    <n v="122890"/>
    <d v="2026-05-26T00:00:00"/>
    <n v="5"/>
    <n v="26"/>
    <n v="2026"/>
    <x v="3"/>
    <s v="Q2"/>
    <x v="2"/>
  </r>
  <r>
    <s v="O110061"/>
    <x v="64"/>
    <x v="5"/>
    <x v="7"/>
    <x v="3"/>
    <x v="1"/>
    <n v="10"/>
    <n v="122890"/>
    <d v="2026-04-09T00:00:00"/>
    <n v="4"/>
    <n v="9"/>
    <n v="2026"/>
    <x v="11"/>
    <s v="Q2"/>
    <x v="3"/>
  </r>
  <r>
    <s v="O110095"/>
    <x v="780"/>
    <x v="8"/>
    <x v="5"/>
    <x v="3"/>
    <x v="3"/>
    <n v="1"/>
    <n v="122868"/>
    <d v="2026-06-09T00:00:00"/>
    <n v="6"/>
    <n v="9"/>
    <n v="2026"/>
    <x v="2"/>
    <s v="Q2"/>
    <x v="3"/>
  </r>
  <r>
    <s v="O110416"/>
    <x v="102"/>
    <x v="10"/>
    <x v="5"/>
    <x v="1"/>
    <x v="3"/>
    <n v="1"/>
    <n v="122837"/>
    <d v="2026-09-25T00:00:00"/>
    <n v="9"/>
    <n v="25"/>
    <n v="2026"/>
    <x v="1"/>
    <s v="Q3"/>
    <x v="1"/>
  </r>
  <r>
    <s v="O104213"/>
    <x v="324"/>
    <x v="3"/>
    <x v="6"/>
    <x v="4"/>
    <x v="1"/>
    <n v="-5"/>
    <n v="122816"/>
    <d v="2025-09-13T00:00:00"/>
    <n v="9"/>
    <n v="13"/>
    <n v="2025"/>
    <x v="1"/>
    <m/>
    <x v="4"/>
  </r>
  <r>
    <s v="O100754"/>
    <x v="147"/>
    <x v="10"/>
    <x v="7"/>
    <x v="0"/>
    <x v="2"/>
    <n v="10"/>
    <n v="122806"/>
    <d v="2025-02-15T00:00:00"/>
    <n v="2"/>
    <n v="15"/>
    <n v="2025"/>
    <x v="4"/>
    <s v="Q1"/>
    <x v="0"/>
  </r>
  <r>
    <s v="O109679"/>
    <x v="641"/>
    <x v="2"/>
    <x v="6"/>
    <x v="5"/>
    <x v="3"/>
    <n v="4"/>
    <n v="122745"/>
    <d v="2026-11-08T00:00:00"/>
    <n v="11"/>
    <n v="8"/>
    <n v="2026"/>
    <x v="0"/>
    <s v="Q4"/>
    <x v="5"/>
  </r>
  <r>
    <s v="O105425"/>
    <x v="103"/>
    <x v="2"/>
    <x v="6"/>
    <x v="2"/>
    <x v="1"/>
    <n v="4"/>
    <n v="122624"/>
    <d v="2025-11-26T00:00:00"/>
    <n v="11"/>
    <n v="26"/>
    <n v="2025"/>
    <x v="0"/>
    <s v="Q4"/>
    <x v="2"/>
  </r>
  <r>
    <s v="O106900"/>
    <x v="498"/>
    <x v="6"/>
    <x v="6"/>
    <x v="3"/>
    <x v="1"/>
    <n v="4"/>
    <n v="122574"/>
    <d v="2026-02-24T00:00:00"/>
    <n v="2"/>
    <n v="24"/>
    <n v="2026"/>
    <x v="4"/>
    <s v="Q1"/>
    <x v="3"/>
  </r>
  <r>
    <s v="O105315"/>
    <x v="122"/>
    <x v="1"/>
    <x v="6"/>
    <x v="3"/>
    <x v="1"/>
    <n v="4"/>
    <n v="122569"/>
    <d v="2025-11-19T00:00:00"/>
    <n v="11"/>
    <n v="19"/>
    <n v="2025"/>
    <x v="0"/>
    <s v="Q4"/>
    <x v="3"/>
  </r>
  <r>
    <s v="O111668"/>
    <x v="252"/>
    <x v="8"/>
    <x v="5"/>
    <x v="1"/>
    <x v="2"/>
    <n v="1"/>
    <n v="122562"/>
    <d v="2026-10-12T00:00:00"/>
    <n v="10"/>
    <n v="12"/>
    <n v="2026"/>
    <x v="9"/>
    <s v="Q4"/>
    <x v="1"/>
  </r>
  <r>
    <s v="O111258"/>
    <x v="467"/>
    <x v="8"/>
    <x v="7"/>
    <x v="0"/>
    <x v="0"/>
    <n v="8"/>
    <n v="122527"/>
    <d v="2026-11-15T00:00:00"/>
    <n v="11"/>
    <n v="15"/>
    <n v="2026"/>
    <x v="0"/>
    <m/>
    <x v="0"/>
  </r>
  <r>
    <s v="O107110"/>
    <x v="556"/>
    <x v="5"/>
    <x v="7"/>
    <x v="1"/>
    <x v="3"/>
    <n v="9"/>
    <n v="122457"/>
    <d v="2026-08-03T00:00:00"/>
    <n v="8"/>
    <n v="3"/>
    <n v="2026"/>
    <x v="8"/>
    <s v="Q3"/>
    <x v="1"/>
  </r>
  <r>
    <s v="O110937"/>
    <x v="578"/>
    <x v="6"/>
    <x v="5"/>
    <x v="3"/>
    <x v="2"/>
    <n v="1"/>
    <n v="122426"/>
    <d v="2026-10-27T00:00:00"/>
    <n v="10"/>
    <n v="27"/>
    <n v="2026"/>
    <x v="9"/>
    <s v="Q4"/>
    <x v="3"/>
  </r>
  <r>
    <s v="O105803"/>
    <x v="344"/>
    <x v="1"/>
    <x v="7"/>
    <x v="1"/>
    <x v="0"/>
    <n v="7"/>
    <n v="122419"/>
    <d v="2025-12-19T00:00:00"/>
    <n v="12"/>
    <n v="19"/>
    <n v="2025"/>
    <x v="7"/>
    <s v="Q4"/>
    <x v="1"/>
  </r>
  <r>
    <s v="O100403"/>
    <x v="98"/>
    <x v="5"/>
    <x v="6"/>
    <x v="2"/>
    <x v="1"/>
    <n v="6"/>
    <n v="122419"/>
    <d v="2025-01-25T00:00:00"/>
    <n v="1"/>
    <n v="25"/>
    <n v="2025"/>
    <x v="6"/>
    <s v="Q1"/>
    <x v="2"/>
  </r>
  <r>
    <s v="O107415"/>
    <x v="208"/>
    <x v="3"/>
    <x v="6"/>
    <x v="0"/>
    <x v="3"/>
    <n v="4"/>
    <n v="122415"/>
    <d v="2026-03-27T00:00:00"/>
    <n v="3"/>
    <n v="27"/>
    <n v="2026"/>
    <x v="5"/>
    <s v="Q1"/>
    <x v="0"/>
  </r>
  <r>
    <s v="O106208"/>
    <x v="794"/>
    <x v="5"/>
    <x v="7"/>
    <x v="4"/>
    <x v="2"/>
    <n v="7"/>
    <n v="122371"/>
    <d v="2026-01-13T00:00:00"/>
    <n v="1"/>
    <n v="13"/>
    <n v="2026"/>
    <x v="6"/>
    <s v="Q1"/>
    <x v="4"/>
  </r>
  <r>
    <s v="O104898"/>
    <x v="168"/>
    <x v="5"/>
    <x v="7"/>
    <x v="2"/>
    <x v="3"/>
    <n v="8"/>
    <n v="122310"/>
    <d v="2025-10-25T00:00:00"/>
    <n v="10"/>
    <n v="25"/>
    <n v="2025"/>
    <x v="9"/>
    <s v="Q4"/>
    <x v="2"/>
  </r>
  <r>
    <s v="O101382"/>
    <x v="372"/>
    <x v="5"/>
    <x v="7"/>
    <x v="3"/>
    <x v="3"/>
    <n v="7"/>
    <n v="122217"/>
    <d v="2025-03-25T00:00:00"/>
    <n v="3"/>
    <n v="25"/>
    <n v="2025"/>
    <x v="5"/>
    <s v="Q1"/>
    <x v="3"/>
  </r>
  <r>
    <s v="O109838"/>
    <x v="106"/>
    <x v="9"/>
    <x v="7"/>
    <x v="2"/>
    <x v="0"/>
    <n v="9"/>
    <n v="122073"/>
    <d v="2026-08-21T00:00:00"/>
    <n v="8"/>
    <n v="21"/>
    <n v="2026"/>
    <x v="8"/>
    <s v="Q3"/>
    <x v="2"/>
  </r>
  <r>
    <s v="O101686"/>
    <x v="295"/>
    <x v="3"/>
    <x v="5"/>
    <x v="0"/>
    <x v="0"/>
    <n v="1"/>
    <n v="121841"/>
    <d v="2025-04-13T00:00:00"/>
    <n v="4"/>
    <n v="13"/>
    <n v="2025"/>
    <x v="11"/>
    <s v="Q2"/>
    <x v="0"/>
  </r>
  <r>
    <s v="O108380"/>
    <x v="546"/>
    <x v="8"/>
    <x v="6"/>
    <x v="0"/>
    <x v="2"/>
    <n v="4"/>
    <n v="121802"/>
    <d v="2026-05-25T00:00:00"/>
    <n v="5"/>
    <n v="25"/>
    <n v="2026"/>
    <x v="3"/>
    <s v="Q2"/>
    <x v="0"/>
  </r>
  <r>
    <s v="O102919"/>
    <x v="498"/>
    <x v="8"/>
    <x v="6"/>
    <x v="3"/>
    <x v="2"/>
    <n v="4"/>
    <n v="121801"/>
    <d v="2025-06-27T00:00:00"/>
    <n v="6"/>
    <n v="27"/>
    <n v="2025"/>
    <x v="2"/>
    <s v="Q2"/>
    <x v="3"/>
  </r>
  <r>
    <s v="O110702"/>
    <x v="327"/>
    <x v="1"/>
    <x v="6"/>
    <x v="2"/>
    <x v="0"/>
    <n v="4"/>
    <n v="121791"/>
    <d v="2026-10-13T00:00:00"/>
    <n v="10"/>
    <n v="13"/>
    <n v="2026"/>
    <x v="9"/>
    <s v="Q4"/>
    <x v="2"/>
  </r>
  <r>
    <s v="O101331"/>
    <x v="596"/>
    <x v="1"/>
    <x v="6"/>
    <x v="1"/>
    <x v="2"/>
    <n v="4"/>
    <n v="121769"/>
    <d v="2025-03-22T00:00:00"/>
    <n v="3"/>
    <n v="22"/>
    <n v="2025"/>
    <x v="5"/>
    <m/>
    <x v="1"/>
  </r>
  <r>
    <s v="O107271"/>
    <x v="543"/>
    <x v="3"/>
    <x v="7"/>
    <x v="4"/>
    <x v="2"/>
    <n v="9"/>
    <n v="121768"/>
    <d v="2026-03-18T00:00:00"/>
    <n v="3"/>
    <n v="18"/>
    <n v="2026"/>
    <x v="5"/>
    <s v="Q1"/>
    <x v="4"/>
  </r>
  <r>
    <s v="O109435"/>
    <x v="529"/>
    <x v="8"/>
    <x v="7"/>
    <x v="1"/>
    <x v="3"/>
    <n v="7"/>
    <n v="121711"/>
    <d v="2026-07-28T00:00:00"/>
    <n v="7"/>
    <n v="28"/>
    <n v="2026"/>
    <x v="10"/>
    <s v="Q3"/>
    <x v="1"/>
  </r>
  <r>
    <s v="O100581"/>
    <x v="662"/>
    <x v="4"/>
    <x v="6"/>
    <x v="2"/>
    <x v="1"/>
    <n v="4"/>
    <n v="121618"/>
    <d v="2025-05-02T00:00:00"/>
    <n v="5"/>
    <n v="2"/>
    <n v="2025"/>
    <x v="3"/>
    <s v="Q2"/>
    <x v="2"/>
  </r>
  <r>
    <s v="O104912"/>
    <x v="116"/>
    <x v="5"/>
    <x v="6"/>
    <x v="4"/>
    <x v="1"/>
    <n v="6"/>
    <n v="121543"/>
    <d v="2025-10-26T00:00:00"/>
    <n v="10"/>
    <n v="26"/>
    <n v="2025"/>
    <x v="9"/>
    <s v="Q4"/>
    <x v="4"/>
  </r>
  <r>
    <s v="O102873"/>
    <x v="464"/>
    <x v="3"/>
    <x v="5"/>
    <x v="5"/>
    <x v="3"/>
    <n v="1"/>
    <n v="121518"/>
    <d v="2025-06-24T00:00:00"/>
    <n v="6"/>
    <n v="24"/>
    <n v="2025"/>
    <x v="2"/>
    <s v="Q2"/>
    <x v="5"/>
  </r>
  <r>
    <s v="O111697"/>
    <x v="2"/>
    <x v="5"/>
    <x v="6"/>
    <x v="4"/>
    <x v="1"/>
    <n v="4"/>
    <n v="121444"/>
    <d v="2026-12-12T00:00:00"/>
    <n v="12"/>
    <n v="12"/>
    <n v="2026"/>
    <x v="7"/>
    <s v="Q4"/>
    <x v="4"/>
  </r>
  <r>
    <s v="O110605"/>
    <x v="52"/>
    <x v="6"/>
    <x v="7"/>
    <x v="1"/>
    <x v="1"/>
    <n v="10"/>
    <n v="121430"/>
    <d v="2026-07-10T00:00:00"/>
    <n v="7"/>
    <n v="10"/>
    <n v="2026"/>
    <x v="10"/>
    <s v="Q3"/>
    <x v="1"/>
  </r>
  <r>
    <s v="O100351"/>
    <x v="735"/>
    <x v="9"/>
    <x v="6"/>
    <x v="3"/>
    <x v="2"/>
    <n v="4"/>
    <n v="121420"/>
    <d v="2025-01-22T00:00:00"/>
    <n v="1"/>
    <n v="22"/>
    <n v="2025"/>
    <x v="6"/>
    <s v="Q1"/>
    <x v="3"/>
  </r>
  <r>
    <s v="O105401"/>
    <x v="673"/>
    <x v="4"/>
    <x v="7"/>
    <x v="2"/>
    <x v="0"/>
    <n v="7"/>
    <n v="121417"/>
    <d v="2025-11-25T00:00:00"/>
    <n v="11"/>
    <n v="25"/>
    <n v="2025"/>
    <x v="0"/>
    <s v="Q4"/>
    <x v="2"/>
  </r>
  <r>
    <s v="O101351"/>
    <x v="759"/>
    <x v="3"/>
    <x v="5"/>
    <x v="0"/>
    <x v="1"/>
    <n v="1"/>
    <n v="121349"/>
    <d v="2025-03-24T00:00:00"/>
    <n v="3"/>
    <n v="24"/>
    <n v="2025"/>
    <x v="5"/>
    <s v="Q1"/>
    <x v="0"/>
  </r>
  <r>
    <s v="O110054"/>
    <x v="26"/>
    <x v="6"/>
    <x v="7"/>
    <x v="4"/>
    <x v="2"/>
    <n v="8"/>
    <n v="121324"/>
    <d v="2026-03-09T00:00:00"/>
    <n v="3"/>
    <n v="9"/>
    <n v="2026"/>
    <x v="5"/>
    <s v="Q1"/>
    <x v="4"/>
  </r>
  <r>
    <s v="O107714"/>
    <x v="201"/>
    <x v="6"/>
    <x v="6"/>
    <x v="4"/>
    <x v="2"/>
    <n v="6"/>
    <n v="121269"/>
    <d v="2026-04-14T00:00:00"/>
    <n v="4"/>
    <n v="14"/>
    <n v="2026"/>
    <x v="11"/>
    <s v="Q2"/>
    <x v="4"/>
  </r>
  <r>
    <s v="O100426"/>
    <x v="342"/>
    <x v="5"/>
    <x v="6"/>
    <x v="2"/>
    <x v="1"/>
    <n v="4"/>
    <n v="121203"/>
    <d v="2025-01-26T00:00:00"/>
    <n v="1"/>
    <n v="26"/>
    <n v="2025"/>
    <x v="6"/>
    <s v="Q1"/>
    <x v="2"/>
  </r>
  <r>
    <s v="O100275"/>
    <x v="362"/>
    <x v="4"/>
    <x v="6"/>
    <x v="4"/>
    <x v="3"/>
    <n v="5"/>
    <n v="121186"/>
    <d v="2025-01-17T00:00:00"/>
    <n v="1"/>
    <n v="17"/>
    <n v="2025"/>
    <x v="6"/>
    <s v="Q1"/>
    <x v="4"/>
  </r>
  <r>
    <s v="O101841"/>
    <x v="109"/>
    <x v="6"/>
    <x v="7"/>
    <x v="2"/>
    <x v="0"/>
    <n v="10"/>
    <n v="121162"/>
    <d v="2025-04-22T00:00:00"/>
    <n v="4"/>
    <n v="22"/>
    <n v="2025"/>
    <x v="11"/>
    <s v="Q2"/>
    <x v="2"/>
  </r>
  <r>
    <s v="O106716"/>
    <x v="656"/>
    <x v="2"/>
    <x v="7"/>
    <x v="0"/>
    <x v="1"/>
    <n v="9"/>
    <n v="121128"/>
    <d v="2026-12-02T00:00:00"/>
    <n v="12"/>
    <n v="2"/>
    <n v="2026"/>
    <x v="7"/>
    <s v="Q4"/>
    <x v="0"/>
  </r>
  <r>
    <s v="O102476"/>
    <x v="180"/>
    <x v="9"/>
    <x v="5"/>
    <x v="3"/>
    <x v="2"/>
    <n v="1"/>
    <n v="121073"/>
    <d v="2025-05-31T00:00:00"/>
    <n v="5"/>
    <n v="31"/>
    <n v="2025"/>
    <x v="3"/>
    <s v="Q2"/>
    <x v="3"/>
  </r>
  <r>
    <s v="O111430"/>
    <x v="793"/>
    <x v="2"/>
    <x v="6"/>
    <x v="2"/>
    <x v="2"/>
    <n v="6"/>
    <n v="120974"/>
    <d v="2026-11-26T00:00:00"/>
    <n v="11"/>
    <n v="26"/>
    <n v="2026"/>
    <x v="0"/>
    <s v="Q4"/>
    <x v="2"/>
  </r>
  <r>
    <s v="O106550"/>
    <x v="30"/>
    <x v="9"/>
    <x v="6"/>
    <x v="3"/>
    <x v="1"/>
    <n v="6"/>
    <n v="120944"/>
    <d v="2026-02-02T00:00:00"/>
    <n v="2"/>
    <n v="2"/>
    <n v="2026"/>
    <x v="4"/>
    <s v="Q1"/>
    <x v="3"/>
  </r>
  <r>
    <s v="O109975"/>
    <x v="97"/>
    <x v="5"/>
    <x v="6"/>
    <x v="4"/>
    <x v="2"/>
    <n v="5"/>
    <n v="120923"/>
    <d v="2026-08-29T00:00:00"/>
    <n v="8"/>
    <n v="29"/>
    <n v="2026"/>
    <x v="8"/>
    <s v="Q3"/>
    <x v="4"/>
  </r>
  <r>
    <s v="O100190"/>
    <x v="178"/>
    <x v="6"/>
    <x v="7"/>
    <x v="4"/>
    <x v="3"/>
    <n v="9"/>
    <n v="120922"/>
    <d v="2025-12-01T00:00:00"/>
    <n v="12"/>
    <n v="1"/>
    <n v="2025"/>
    <x v="7"/>
    <s v="Q4"/>
    <x v="4"/>
  </r>
  <r>
    <s v="O105438"/>
    <x v="169"/>
    <x v="3"/>
    <x v="5"/>
    <x v="0"/>
    <x v="3"/>
    <n v="1"/>
    <n v="120860"/>
    <d v="2025-11-27T00:00:00"/>
    <n v="11"/>
    <n v="27"/>
    <n v="2025"/>
    <x v="0"/>
    <m/>
    <x v="0"/>
  </r>
  <r>
    <s v="O111501"/>
    <x v="393"/>
    <x v="4"/>
    <x v="7"/>
    <x v="3"/>
    <x v="1"/>
    <n v="8"/>
    <n v="120782"/>
    <d v="2026-11-30T00:00:00"/>
    <n v="11"/>
    <n v="30"/>
    <n v="2026"/>
    <x v="0"/>
    <s v="Q4"/>
    <x v="3"/>
  </r>
  <r>
    <s v="O106552"/>
    <x v="379"/>
    <x v="8"/>
    <x v="6"/>
    <x v="4"/>
    <x v="2"/>
    <n v="4"/>
    <n v="120697"/>
    <d v="2026-03-02T00:00:00"/>
    <n v="3"/>
    <n v="2"/>
    <n v="2026"/>
    <x v="5"/>
    <s v="Q1"/>
    <x v="4"/>
  </r>
  <r>
    <s v="O101341"/>
    <x v="182"/>
    <x v="9"/>
    <x v="7"/>
    <x v="0"/>
    <x v="1"/>
    <n v="10"/>
    <n v="120693"/>
    <d v="2025-03-23T00:00:00"/>
    <n v="3"/>
    <n v="23"/>
    <n v="2025"/>
    <x v="5"/>
    <s v="Q1"/>
    <x v="0"/>
  </r>
  <r>
    <s v="O100783"/>
    <x v="773"/>
    <x v="4"/>
    <x v="7"/>
    <x v="4"/>
    <x v="3"/>
    <n v="8"/>
    <n v="120633"/>
    <d v="2025-02-17T00:00:00"/>
    <n v="2"/>
    <n v="17"/>
    <n v="2025"/>
    <x v="4"/>
    <s v="Q1"/>
    <x v="4"/>
  </r>
  <r>
    <s v="O100739"/>
    <x v="328"/>
    <x v="0"/>
    <x v="6"/>
    <x v="3"/>
    <x v="0"/>
    <n v="5"/>
    <n v="120628"/>
    <d v="2025-02-14T00:00:00"/>
    <n v="2"/>
    <n v="14"/>
    <n v="2025"/>
    <x v="4"/>
    <s v="Q1"/>
    <x v="3"/>
  </r>
  <r>
    <s v="O109772"/>
    <x v="57"/>
    <x v="2"/>
    <x v="7"/>
    <x v="3"/>
    <x v="1"/>
    <n v="8"/>
    <n v="120583"/>
    <d v="2026-08-17T00:00:00"/>
    <n v="8"/>
    <n v="17"/>
    <n v="2026"/>
    <x v="8"/>
    <s v="Q3"/>
    <x v="3"/>
  </r>
  <r>
    <s v="O104320"/>
    <x v="578"/>
    <x v="8"/>
    <x v="6"/>
    <x v="0"/>
    <x v="0"/>
    <n v="6"/>
    <n v="120489"/>
    <d v="2025-09-20T00:00:00"/>
    <n v="9"/>
    <n v="20"/>
    <n v="2025"/>
    <x v="1"/>
    <s v="Q3"/>
    <x v="0"/>
  </r>
  <r>
    <s v="O105159"/>
    <x v="339"/>
    <x v="3"/>
    <x v="6"/>
    <x v="2"/>
    <x v="2"/>
    <n v="5"/>
    <n v="120464"/>
    <d v="2025-10-11T00:00:00"/>
    <n v="10"/>
    <n v="11"/>
    <n v="2025"/>
    <x v="9"/>
    <s v="Q4"/>
    <x v="2"/>
  </r>
  <r>
    <s v="O111237"/>
    <x v="688"/>
    <x v="0"/>
    <x v="6"/>
    <x v="0"/>
    <x v="3"/>
    <n v="4"/>
    <n v="120399"/>
    <d v="2026-11-14T00:00:00"/>
    <n v="11"/>
    <n v="14"/>
    <n v="2026"/>
    <x v="0"/>
    <s v="Q4"/>
    <x v="0"/>
  </r>
  <r>
    <s v="O102485"/>
    <x v="106"/>
    <x v="2"/>
    <x v="6"/>
    <x v="3"/>
    <x v="3"/>
    <n v="4"/>
    <n v="120351"/>
    <d v="2025-05-31T00:00:00"/>
    <n v="5"/>
    <n v="31"/>
    <n v="2025"/>
    <x v="3"/>
    <s v="Q2"/>
    <x v="3"/>
  </r>
  <r>
    <s v="O102450"/>
    <x v="455"/>
    <x v="9"/>
    <x v="7"/>
    <x v="4"/>
    <x v="2"/>
    <n v="10"/>
    <n v="120309"/>
    <d v="2025-05-29T00:00:00"/>
    <n v="5"/>
    <n v="29"/>
    <n v="2025"/>
    <x v="3"/>
    <s v="Q2"/>
    <x v="4"/>
  </r>
  <r>
    <s v="O104488"/>
    <x v="146"/>
    <x v="1"/>
    <x v="7"/>
    <x v="3"/>
    <x v="2"/>
    <n v="7"/>
    <n v="120281"/>
    <d v="2025-09-30T00:00:00"/>
    <n v="9"/>
    <n v="30"/>
    <n v="2025"/>
    <x v="1"/>
    <s v="Q3"/>
    <x v="3"/>
  </r>
  <r>
    <s v="O104166"/>
    <x v="3"/>
    <x v="4"/>
    <x v="7"/>
    <x v="4"/>
    <x v="0"/>
    <n v="8"/>
    <n v="120273"/>
    <d v="2025-11-09T00:00:00"/>
    <n v="11"/>
    <n v="9"/>
    <n v="2025"/>
    <x v="0"/>
    <s v="Q4"/>
    <x v="4"/>
  </r>
  <r>
    <s v="O106538"/>
    <x v="601"/>
    <x v="5"/>
    <x v="5"/>
    <x v="3"/>
    <x v="1"/>
    <n v="1"/>
    <n v="120228"/>
    <d v="2026-02-02T00:00:00"/>
    <n v="2"/>
    <n v="2"/>
    <n v="2026"/>
    <x v="4"/>
    <s v="Q1"/>
    <x v="3"/>
  </r>
  <r>
    <s v="O110918"/>
    <x v="63"/>
    <x v="3"/>
    <x v="6"/>
    <x v="2"/>
    <x v="1"/>
    <n v="5"/>
    <n v="120106"/>
    <d v="2026-10-26T00:00:00"/>
    <n v="10"/>
    <n v="26"/>
    <n v="2026"/>
    <x v="9"/>
    <s v="Q4"/>
    <x v="2"/>
  </r>
  <r>
    <s v="O105698"/>
    <x v="123"/>
    <x v="5"/>
    <x v="7"/>
    <x v="4"/>
    <x v="2"/>
    <n v="9"/>
    <n v="120103"/>
    <d v="2025-12-13T00:00:00"/>
    <n v="12"/>
    <n v="13"/>
    <n v="2025"/>
    <x v="7"/>
    <s v="Q4"/>
    <x v="4"/>
  </r>
  <r>
    <s v="O103016"/>
    <x v="455"/>
    <x v="6"/>
    <x v="7"/>
    <x v="2"/>
    <x v="3"/>
    <n v="8"/>
    <n v="120101"/>
    <d v="2025-03-07T00:00:00"/>
    <n v="3"/>
    <n v="7"/>
    <n v="2025"/>
    <x v="5"/>
    <s v="Q1"/>
    <x v="2"/>
  </r>
  <r>
    <s v="O111441"/>
    <x v="145"/>
    <x v="0"/>
    <x v="7"/>
    <x v="2"/>
    <x v="1"/>
    <n v="7"/>
    <n v="120045"/>
    <d v="2026-11-27T00:00:00"/>
    <n v="11"/>
    <n v="27"/>
    <n v="2026"/>
    <x v="0"/>
    <m/>
    <x v="2"/>
  </r>
  <r>
    <s v="O107920"/>
    <x v="8"/>
    <x v="4"/>
    <x v="7"/>
    <x v="1"/>
    <x v="2"/>
    <n v="9"/>
    <n v="120018"/>
    <d v="2026-04-27T00:00:00"/>
    <n v="4"/>
    <n v="27"/>
    <n v="2026"/>
    <x v="11"/>
    <s v="Q2"/>
    <x v="1"/>
  </r>
  <r>
    <s v="O102303"/>
    <x v="524"/>
    <x v="5"/>
    <x v="6"/>
    <x v="0"/>
    <x v="2"/>
    <n v="4"/>
    <n v="119998"/>
    <d v="2025-05-20T00:00:00"/>
    <n v="5"/>
    <n v="20"/>
    <n v="2025"/>
    <x v="3"/>
    <s v="Q2"/>
    <x v="0"/>
  </r>
  <r>
    <s v="O107704"/>
    <x v="489"/>
    <x v="4"/>
    <x v="7"/>
    <x v="1"/>
    <x v="1"/>
    <n v="8"/>
    <n v="119985"/>
    <d v="2026-04-13T00:00:00"/>
    <n v="4"/>
    <n v="13"/>
    <n v="2026"/>
    <x v="11"/>
    <s v="Q2"/>
    <x v="1"/>
  </r>
  <r>
    <s v="O109382"/>
    <x v="136"/>
    <x v="2"/>
    <x v="7"/>
    <x v="3"/>
    <x v="0"/>
    <n v="8"/>
    <n v="119934"/>
    <d v="2026-07-24T00:00:00"/>
    <n v="7"/>
    <n v="24"/>
    <n v="2026"/>
    <x v="10"/>
    <s v="Q3"/>
    <x v="3"/>
  </r>
  <r>
    <s v="O111622"/>
    <x v="250"/>
    <x v="6"/>
    <x v="7"/>
    <x v="3"/>
    <x v="3"/>
    <n v="10"/>
    <n v="119927"/>
    <d v="2026-08-12T00:00:00"/>
    <n v="8"/>
    <n v="12"/>
    <n v="2026"/>
    <x v="8"/>
    <s v="Q3"/>
    <x v="3"/>
  </r>
  <r>
    <s v="O101958"/>
    <x v="524"/>
    <x v="9"/>
    <x v="6"/>
    <x v="3"/>
    <x v="3"/>
    <n v="5"/>
    <n v="119885"/>
    <d v="2025-04-29T00:00:00"/>
    <n v="4"/>
    <n v="29"/>
    <n v="2025"/>
    <x v="11"/>
    <s v="Q2"/>
    <x v="3"/>
  </r>
  <r>
    <s v="O107260"/>
    <x v="454"/>
    <x v="2"/>
    <x v="6"/>
    <x v="2"/>
    <x v="1"/>
    <n v="5"/>
    <n v="119841"/>
    <d v="2026-03-18T00:00:00"/>
    <n v="3"/>
    <n v="18"/>
    <n v="2026"/>
    <x v="5"/>
    <s v="Q1"/>
    <x v="2"/>
  </r>
  <r>
    <s v="O102677"/>
    <x v="571"/>
    <x v="0"/>
    <x v="7"/>
    <x v="3"/>
    <x v="3"/>
    <n v="7"/>
    <n v="119797"/>
    <d v="2025-12-06T00:00:00"/>
    <n v="12"/>
    <n v="6"/>
    <n v="2025"/>
    <x v="7"/>
    <s v="Q4"/>
    <x v="3"/>
  </r>
  <r>
    <s v="O102714"/>
    <x v="214"/>
    <x v="0"/>
    <x v="7"/>
    <x v="1"/>
    <x v="2"/>
    <n v="7"/>
    <n v="119766"/>
    <d v="2025-06-14T00:00:00"/>
    <n v="6"/>
    <n v="14"/>
    <n v="2025"/>
    <x v="2"/>
    <s v="Q2"/>
    <x v="1"/>
  </r>
  <r>
    <s v="O105886"/>
    <x v="697"/>
    <x v="4"/>
    <x v="6"/>
    <x v="0"/>
    <x v="1"/>
    <n v="5"/>
    <n v="119666"/>
    <d v="2025-12-24T00:00:00"/>
    <n v="12"/>
    <n v="24"/>
    <n v="2025"/>
    <x v="7"/>
    <s v="Q4"/>
    <x v="0"/>
  </r>
  <r>
    <s v="O102594"/>
    <x v="125"/>
    <x v="3"/>
    <x v="6"/>
    <x v="0"/>
    <x v="0"/>
    <n v="4"/>
    <n v="119653"/>
    <d v="2025-07-06T00:00:00"/>
    <n v="7"/>
    <n v="6"/>
    <n v="2025"/>
    <x v="10"/>
    <s v="Q3"/>
    <x v="0"/>
  </r>
  <r>
    <s v="O110830"/>
    <x v="553"/>
    <x v="2"/>
    <x v="6"/>
    <x v="1"/>
    <x v="3"/>
    <n v="6"/>
    <n v="119541"/>
    <d v="2026-10-20T00:00:00"/>
    <n v="10"/>
    <n v="20"/>
    <n v="2026"/>
    <x v="9"/>
    <s v="Q4"/>
    <x v="1"/>
  </r>
  <r>
    <s v="O100678"/>
    <x v="515"/>
    <x v="10"/>
    <x v="7"/>
    <x v="1"/>
    <x v="3"/>
    <n v="8"/>
    <n v="119506"/>
    <d v="2025-11-02T00:00:00"/>
    <n v="11"/>
    <n v="2"/>
    <n v="2025"/>
    <x v="0"/>
    <s v="Q4"/>
    <x v="1"/>
  </r>
  <r>
    <s v="O111802"/>
    <x v="187"/>
    <x v="6"/>
    <x v="7"/>
    <x v="3"/>
    <x v="2"/>
    <n v="10"/>
    <n v="119460"/>
    <d v="2026-12-18T00:00:00"/>
    <n v="12"/>
    <n v="18"/>
    <n v="2026"/>
    <x v="7"/>
    <s v="Q4"/>
    <x v="3"/>
  </r>
  <r>
    <s v="O104169"/>
    <x v="329"/>
    <x v="5"/>
    <x v="7"/>
    <x v="3"/>
    <x v="2"/>
    <n v="7"/>
    <n v="119390"/>
    <d v="2025-11-09T00:00:00"/>
    <n v="11"/>
    <n v="9"/>
    <n v="2025"/>
    <x v="0"/>
    <s v="Q4"/>
    <x v="3"/>
  </r>
  <r>
    <s v="O105132"/>
    <x v="277"/>
    <x v="8"/>
    <x v="6"/>
    <x v="1"/>
    <x v="3"/>
    <n v="6"/>
    <n v="119380"/>
    <d v="2025-08-11T00:00:00"/>
    <n v="8"/>
    <n v="11"/>
    <n v="2025"/>
    <x v="8"/>
    <s v="Q3"/>
    <x v="1"/>
  </r>
  <r>
    <s v="O104830"/>
    <x v="631"/>
    <x v="6"/>
    <x v="6"/>
    <x v="0"/>
    <x v="3"/>
    <n v="5"/>
    <n v="119379"/>
    <d v="2025-10-21T00:00:00"/>
    <n v="10"/>
    <n v="21"/>
    <n v="2025"/>
    <x v="9"/>
    <s v="Q4"/>
    <x v="0"/>
  </r>
  <r>
    <s v="O101908"/>
    <x v="290"/>
    <x v="1"/>
    <x v="7"/>
    <x v="4"/>
    <x v="2"/>
    <n v="9"/>
    <n v="119340"/>
    <d v="2025-04-26T00:00:00"/>
    <n v="4"/>
    <n v="26"/>
    <n v="2025"/>
    <x v="11"/>
    <s v="Q2"/>
    <x v="4"/>
  </r>
  <r>
    <s v="O100921"/>
    <x v="196"/>
    <x v="5"/>
    <x v="5"/>
    <x v="3"/>
    <x v="1"/>
    <n v="1"/>
    <n v="119326"/>
    <d v="2025-02-25T00:00:00"/>
    <n v="2"/>
    <n v="25"/>
    <n v="2025"/>
    <x v="4"/>
    <s v="Q1"/>
    <x v="3"/>
  </r>
  <r>
    <s v="O107345"/>
    <x v="109"/>
    <x v="6"/>
    <x v="6"/>
    <x v="3"/>
    <x v="2"/>
    <n v="5"/>
    <n v="119319"/>
    <d v="2026-03-23T00:00:00"/>
    <n v="3"/>
    <n v="23"/>
    <n v="2026"/>
    <x v="5"/>
    <s v="Q1"/>
    <x v="3"/>
  </r>
  <r>
    <s v="O108818"/>
    <x v="58"/>
    <x v="10"/>
    <x v="7"/>
    <x v="3"/>
    <x v="0"/>
    <n v="10"/>
    <n v="119314"/>
    <d v="2026-06-20T00:00:00"/>
    <n v="6"/>
    <n v="20"/>
    <n v="2026"/>
    <x v="2"/>
    <s v="Q2"/>
    <x v="3"/>
  </r>
  <r>
    <s v="O108195"/>
    <x v="548"/>
    <x v="5"/>
    <x v="7"/>
    <x v="2"/>
    <x v="1"/>
    <n v="7"/>
    <n v="119230"/>
    <d v="2026-05-13T00:00:00"/>
    <n v="5"/>
    <n v="13"/>
    <n v="2026"/>
    <x v="3"/>
    <s v="Q2"/>
    <x v="2"/>
  </r>
  <r>
    <s v="O101373"/>
    <x v="698"/>
    <x v="1"/>
    <x v="5"/>
    <x v="0"/>
    <x v="3"/>
    <n v="1"/>
    <n v="119212"/>
    <d v="2025-03-25T00:00:00"/>
    <n v="3"/>
    <n v="25"/>
    <n v="2025"/>
    <x v="5"/>
    <s v="Q1"/>
    <x v="0"/>
  </r>
  <r>
    <s v="O101770"/>
    <x v="540"/>
    <x v="0"/>
    <x v="7"/>
    <x v="0"/>
    <x v="1"/>
    <n v="9"/>
    <n v="119211"/>
    <d v="2025-04-18T00:00:00"/>
    <n v="4"/>
    <n v="18"/>
    <n v="2025"/>
    <x v="11"/>
    <s v="Q2"/>
    <x v="0"/>
  </r>
  <r>
    <s v="O103857"/>
    <x v="421"/>
    <x v="4"/>
    <x v="7"/>
    <x v="0"/>
    <x v="3"/>
    <n v="7"/>
    <n v="119117"/>
    <d v="2025-08-23T00:00:00"/>
    <n v="8"/>
    <n v="23"/>
    <n v="2025"/>
    <x v="8"/>
    <s v="Q3"/>
    <x v="0"/>
  </r>
  <r>
    <s v="O110869"/>
    <x v="780"/>
    <x v="5"/>
    <x v="6"/>
    <x v="4"/>
    <x v="0"/>
    <n v="4"/>
    <n v="119076"/>
    <d v="2026-10-23T00:00:00"/>
    <n v="10"/>
    <n v="23"/>
    <n v="2026"/>
    <x v="9"/>
    <s v="Q4"/>
    <x v="4"/>
  </r>
  <r>
    <s v="O100237"/>
    <x v="520"/>
    <x v="10"/>
    <x v="7"/>
    <x v="0"/>
    <x v="3"/>
    <n v="7"/>
    <n v="119015"/>
    <d v="2025-01-15T00:00:00"/>
    <n v="1"/>
    <n v="15"/>
    <n v="2025"/>
    <x v="6"/>
    <s v="Q1"/>
    <x v="0"/>
  </r>
  <r>
    <s v="O107162"/>
    <x v="464"/>
    <x v="9"/>
    <x v="7"/>
    <x v="4"/>
    <x v="0"/>
    <n v="8"/>
    <n v="119011"/>
    <d v="2026-12-03T00:00:00"/>
    <n v="12"/>
    <n v="3"/>
    <n v="2026"/>
    <x v="7"/>
    <s v="Q4"/>
    <x v="4"/>
  </r>
  <r>
    <s v="O104951"/>
    <x v="598"/>
    <x v="6"/>
    <x v="7"/>
    <x v="4"/>
    <x v="2"/>
    <n v="7"/>
    <n v="119001"/>
    <d v="2025-10-28T00:00:00"/>
    <n v="10"/>
    <n v="28"/>
    <n v="2025"/>
    <x v="9"/>
    <s v="Q4"/>
    <x v="4"/>
  </r>
  <r>
    <s v="O104175"/>
    <x v="690"/>
    <x v="3"/>
    <x v="5"/>
    <x v="4"/>
    <x v="2"/>
    <n v="1"/>
    <n v="118934"/>
    <d v="2025-11-09T00:00:00"/>
    <n v="11"/>
    <n v="9"/>
    <n v="2025"/>
    <x v="0"/>
    <s v="Q4"/>
    <x v="4"/>
  </r>
  <r>
    <s v="O101727"/>
    <x v="400"/>
    <x v="3"/>
    <x v="6"/>
    <x v="4"/>
    <x v="1"/>
    <n v="6"/>
    <n v="118884"/>
    <d v="2025-04-15T00:00:00"/>
    <n v="4"/>
    <n v="15"/>
    <n v="2025"/>
    <x v="11"/>
    <s v="Q2"/>
    <x v="4"/>
  </r>
  <r>
    <s v="O111601"/>
    <x v="544"/>
    <x v="10"/>
    <x v="7"/>
    <x v="1"/>
    <x v="0"/>
    <n v="7"/>
    <n v="118855"/>
    <d v="2026-06-12T00:00:00"/>
    <n v="6"/>
    <n v="12"/>
    <n v="2026"/>
    <x v="2"/>
    <s v="Q2"/>
    <x v="1"/>
  </r>
  <r>
    <s v="O108017"/>
    <x v="635"/>
    <x v="1"/>
    <x v="1"/>
    <x v="1"/>
    <x v="3"/>
    <n v="4"/>
    <n v="118753"/>
    <d v="2026-03-05T00:00:00"/>
    <n v="3"/>
    <n v="5"/>
    <n v="2026"/>
    <x v="5"/>
    <s v="Q1"/>
    <x v="1"/>
  </r>
  <r>
    <s v="O108571"/>
    <x v="333"/>
    <x v="6"/>
    <x v="7"/>
    <x v="3"/>
    <x v="3"/>
    <n v="8"/>
    <n v="118751"/>
    <d v="2026-05-06T00:00:00"/>
    <n v="5"/>
    <n v="6"/>
    <n v="2026"/>
    <x v="3"/>
    <s v="Q2"/>
    <x v="3"/>
  </r>
  <r>
    <s v="O101236"/>
    <x v="27"/>
    <x v="1"/>
    <x v="7"/>
    <x v="3"/>
    <x v="3"/>
    <n v="10"/>
    <n v="118721"/>
    <d v="2025-03-17T00:00:00"/>
    <n v="3"/>
    <n v="17"/>
    <n v="2025"/>
    <x v="5"/>
    <s v="Q1"/>
    <x v="3"/>
  </r>
  <r>
    <s v="O107825"/>
    <x v="473"/>
    <x v="5"/>
    <x v="6"/>
    <x v="4"/>
    <x v="3"/>
    <n v="4"/>
    <n v="118698"/>
    <d v="2026-04-21T00:00:00"/>
    <n v="4"/>
    <n v="21"/>
    <n v="2026"/>
    <x v="11"/>
    <s v="Q2"/>
    <x v="4"/>
  </r>
  <r>
    <s v="O107808"/>
    <x v="536"/>
    <x v="1"/>
    <x v="5"/>
    <x v="4"/>
    <x v="0"/>
    <n v="1"/>
    <n v="118651"/>
    <d v="2026-04-20T00:00:00"/>
    <n v="4"/>
    <n v="20"/>
    <n v="2026"/>
    <x v="11"/>
    <s v="Q2"/>
    <x v="4"/>
  </r>
  <r>
    <s v="O104244"/>
    <x v="565"/>
    <x v="1"/>
    <x v="6"/>
    <x v="4"/>
    <x v="2"/>
    <n v="6"/>
    <n v="118583"/>
    <d v="2025-09-15T00:00:00"/>
    <n v="9"/>
    <n v="15"/>
    <n v="2025"/>
    <x v="1"/>
    <s v="Q3"/>
    <x v="4"/>
  </r>
  <r>
    <s v="O103975"/>
    <x v="510"/>
    <x v="8"/>
    <x v="7"/>
    <x v="0"/>
    <x v="2"/>
    <n v="7"/>
    <n v="118473"/>
    <d v="2025-08-30T00:00:00"/>
    <n v="8"/>
    <n v="30"/>
    <n v="2025"/>
    <x v="8"/>
    <s v="Q3"/>
    <x v="0"/>
  </r>
  <r>
    <s v="O106734"/>
    <x v="298"/>
    <x v="8"/>
    <x v="7"/>
    <x v="3"/>
    <x v="3"/>
    <n v="8"/>
    <n v="118432"/>
    <d v="2026-02-14T00:00:00"/>
    <n v="2"/>
    <n v="14"/>
    <n v="2026"/>
    <x v="4"/>
    <s v="Q1"/>
    <x v="3"/>
  </r>
  <r>
    <s v="O106911"/>
    <x v="171"/>
    <x v="6"/>
    <x v="7"/>
    <x v="4"/>
    <x v="3"/>
    <n v="7"/>
    <n v="118240"/>
    <d v="2026-02-24T00:00:00"/>
    <n v="2"/>
    <n v="24"/>
    <n v="2026"/>
    <x v="4"/>
    <s v="Q1"/>
    <x v="4"/>
  </r>
  <r>
    <s v="O102690"/>
    <x v="371"/>
    <x v="0"/>
    <x v="7"/>
    <x v="2"/>
    <x v="3"/>
    <n v="9"/>
    <n v="118221"/>
    <d v="2025-06-13T00:00:00"/>
    <n v="6"/>
    <n v="13"/>
    <n v="2025"/>
    <x v="2"/>
    <s v="Q2"/>
    <x v="2"/>
  </r>
  <r>
    <s v="O111118"/>
    <x v="77"/>
    <x v="6"/>
    <x v="6"/>
    <x v="3"/>
    <x v="3"/>
    <n v="5"/>
    <n v="118174"/>
    <d v="2026-07-11T00:00:00"/>
    <n v="7"/>
    <n v="11"/>
    <n v="2026"/>
    <x v="10"/>
    <s v="Q3"/>
    <x v="3"/>
  </r>
  <r>
    <s v="O111572"/>
    <x v="340"/>
    <x v="1"/>
    <x v="6"/>
    <x v="2"/>
    <x v="2"/>
    <n v="6"/>
    <n v="118172"/>
    <d v="2026-04-12T00:00:00"/>
    <n v="4"/>
    <n v="12"/>
    <n v="2026"/>
    <x v="11"/>
    <s v="Q2"/>
    <x v="2"/>
  </r>
  <r>
    <s v="O103053"/>
    <x v="479"/>
    <x v="9"/>
    <x v="7"/>
    <x v="2"/>
    <x v="1"/>
    <n v="8"/>
    <n v="118007"/>
    <d v="2025-05-07T00:00:00"/>
    <n v="5"/>
    <n v="7"/>
    <n v="2025"/>
    <x v="3"/>
    <s v="Q2"/>
    <x v="2"/>
  </r>
  <r>
    <s v="O106883"/>
    <x v="665"/>
    <x v="3"/>
    <x v="7"/>
    <x v="2"/>
    <x v="0"/>
    <n v="7"/>
    <n v="117996"/>
    <d v="2026-02-23T00:00:00"/>
    <n v="2"/>
    <n v="23"/>
    <n v="2026"/>
    <x v="4"/>
    <s v="Q1"/>
    <x v="2"/>
  </r>
  <r>
    <s v="O101142"/>
    <x v="531"/>
    <x v="0"/>
    <x v="7"/>
    <x v="2"/>
    <x v="1"/>
    <n v="9"/>
    <n v="117970"/>
    <d v="2025-11-03T00:00:00"/>
    <n v="11"/>
    <n v="3"/>
    <n v="2025"/>
    <x v="0"/>
    <s v="Q4"/>
    <x v="2"/>
  </r>
  <r>
    <s v="O105751"/>
    <x v="531"/>
    <x v="4"/>
    <x v="7"/>
    <x v="4"/>
    <x v="1"/>
    <n v="9"/>
    <n v="117941"/>
    <d v="2025-12-16T00:00:00"/>
    <n v="12"/>
    <n v="16"/>
    <n v="2025"/>
    <x v="7"/>
    <s v="Q4"/>
    <x v="4"/>
  </r>
  <r>
    <s v="O100584"/>
    <x v="141"/>
    <x v="5"/>
    <x v="7"/>
    <x v="3"/>
    <x v="3"/>
    <n v="7"/>
    <n v="117915"/>
    <d v="2025-05-02T00:00:00"/>
    <n v="5"/>
    <n v="2"/>
    <n v="2025"/>
    <x v="3"/>
    <s v="Q2"/>
    <x v="3"/>
  </r>
  <r>
    <s v="O106591"/>
    <x v="174"/>
    <x v="10"/>
    <x v="6"/>
    <x v="1"/>
    <x v="2"/>
    <n v="4"/>
    <n v="117850"/>
    <d v="2026-05-02T00:00:00"/>
    <n v="5"/>
    <n v="2"/>
    <n v="2026"/>
    <x v="3"/>
    <s v="Q2"/>
    <x v="1"/>
  </r>
  <r>
    <s v="O109490"/>
    <x v="71"/>
    <x v="5"/>
    <x v="7"/>
    <x v="4"/>
    <x v="0"/>
    <n v="9"/>
    <n v="117791"/>
    <d v="2026-07-31T00:00:00"/>
    <n v="7"/>
    <n v="31"/>
    <n v="2026"/>
    <x v="10"/>
    <s v="Q3"/>
    <x v="4"/>
  </r>
  <r>
    <s v="O106624"/>
    <x v="580"/>
    <x v="10"/>
    <x v="6"/>
    <x v="3"/>
    <x v="2"/>
    <n v="4"/>
    <n v="117778"/>
    <d v="2026-07-02T00:00:00"/>
    <n v="7"/>
    <n v="2"/>
    <n v="2026"/>
    <x v="10"/>
    <s v="Q3"/>
    <x v="3"/>
  </r>
  <r>
    <s v="O100874"/>
    <x v="163"/>
    <x v="3"/>
    <x v="7"/>
    <x v="3"/>
    <x v="3"/>
    <n v="7"/>
    <n v="117762"/>
    <d v="2025-02-23T00:00:00"/>
    <n v="2"/>
    <n v="23"/>
    <n v="2025"/>
    <x v="4"/>
    <s v="Q1"/>
    <x v="3"/>
  </r>
  <r>
    <s v="O107170"/>
    <x v="737"/>
    <x v="6"/>
    <x v="7"/>
    <x v="2"/>
    <x v="0"/>
    <n v="10"/>
    <n v="117716"/>
    <d v="2026-12-03T00:00:00"/>
    <n v="12"/>
    <n v="3"/>
    <n v="2026"/>
    <x v="7"/>
    <s v="Q4"/>
    <x v="2"/>
  </r>
  <r>
    <s v="O104611"/>
    <x v="311"/>
    <x v="6"/>
    <x v="7"/>
    <x v="2"/>
    <x v="0"/>
    <n v="7"/>
    <n v="117713"/>
    <d v="2025-08-10T00:00:00"/>
    <n v="8"/>
    <n v="10"/>
    <n v="2025"/>
    <x v="8"/>
    <s v="Q3"/>
    <x v="2"/>
  </r>
  <r>
    <s v="O101252"/>
    <x v="171"/>
    <x v="8"/>
    <x v="6"/>
    <x v="1"/>
    <x v="1"/>
    <n v="6"/>
    <n v="117634"/>
    <d v="2025-03-18T00:00:00"/>
    <n v="3"/>
    <n v="18"/>
    <n v="2025"/>
    <x v="5"/>
    <s v="Q1"/>
    <x v="1"/>
  </r>
  <r>
    <s v="O103999"/>
    <x v="188"/>
    <x v="9"/>
    <x v="6"/>
    <x v="3"/>
    <x v="3"/>
    <n v="5"/>
    <n v="117632"/>
    <d v="2025-08-31T00:00:00"/>
    <n v="8"/>
    <n v="31"/>
    <n v="2025"/>
    <x v="8"/>
    <s v="Q3"/>
    <x v="3"/>
  </r>
  <r>
    <s v="O106081"/>
    <x v="151"/>
    <x v="9"/>
    <x v="6"/>
    <x v="2"/>
    <x v="1"/>
    <n v="5"/>
    <n v="117597"/>
    <d v="2026-05-01T00:00:00"/>
    <n v="5"/>
    <n v="1"/>
    <n v="2026"/>
    <x v="3"/>
    <s v="Q2"/>
    <x v="2"/>
  </r>
  <r>
    <s v="O100061"/>
    <x v="336"/>
    <x v="5"/>
    <x v="7"/>
    <x v="2"/>
    <x v="1"/>
    <n v="9"/>
    <n v="117563"/>
    <d v="2025-04-01T00:00:00"/>
    <n v="4"/>
    <n v="1"/>
    <n v="2025"/>
    <x v="11"/>
    <s v="Q2"/>
    <x v="2"/>
  </r>
  <r>
    <s v="O107365"/>
    <x v="507"/>
    <x v="2"/>
    <x v="6"/>
    <x v="4"/>
    <x v="0"/>
    <n v="4"/>
    <n v="117407"/>
    <d v="2026-03-24T00:00:00"/>
    <n v="3"/>
    <n v="24"/>
    <n v="2026"/>
    <x v="5"/>
    <s v="Q1"/>
    <x v="4"/>
  </r>
  <r>
    <s v="O102921"/>
    <x v="228"/>
    <x v="5"/>
    <x v="7"/>
    <x v="1"/>
    <x v="0"/>
    <n v="9"/>
    <n v="117358"/>
    <d v="2025-06-27T00:00:00"/>
    <n v="6"/>
    <n v="27"/>
    <n v="2025"/>
    <x v="2"/>
    <s v="Q2"/>
    <x v="1"/>
  </r>
  <r>
    <s v="O108116"/>
    <x v="264"/>
    <x v="8"/>
    <x v="7"/>
    <x v="4"/>
    <x v="2"/>
    <n v="10"/>
    <n v="117325"/>
    <d v="2026-09-05T00:00:00"/>
    <n v="9"/>
    <n v="5"/>
    <n v="2026"/>
    <x v="1"/>
    <s v="Q3"/>
    <x v="4"/>
  </r>
  <r>
    <s v="O104846"/>
    <x v="424"/>
    <x v="10"/>
    <x v="7"/>
    <x v="4"/>
    <x v="0"/>
    <n v="7"/>
    <n v="117318"/>
    <d v="2025-10-22T00:00:00"/>
    <n v="10"/>
    <n v="22"/>
    <n v="2025"/>
    <x v="9"/>
    <s v="Q4"/>
    <x v="4"/>
  </r>
  <r>
    <s v="O110874"/>
    <x v="577"/>
    <x v="6"/>
    <x v="7"/>
    <x v="3"/>
    <x v="1"/>
    <n v="7"/>
    <n v="117283"/>
    <d v="2026-10-23T00:00:00"/>
    <n v="10"/>
    <n v="23"/>
    <n v="2026"/>
    <x v="9"/>
    <s v="Q4"/>
    <x v="3"/>
  </r>
  <r>
    <s v="O106770"/>
    <x v="15"/>
    <x v="1"/>
    <x v="7"/>
    <x v="1"/>
    <x v="2"/>
    <n v="7"/>
    <n v="117254"/>
    <d v="2026-02-16T00:00:00"/>
    <n v="2"/>
    <n v="16"/>
    <n v="2026"/>
    <x v="4"/>
    <s v="Q1"/>
    <x v="1"/>
  </r>
  <r>
    <s v="O103918"/>
    <x v="679"/>
    <x v="8"/>
    <x v="7"/>
    <x v="1"/>
    <x v="1"/>
    <n v="9"/>
    <n v="117179"/>
    <d v="2025-08-26T00:00:00"/>
    <n v="8"/>
    <n v="26"/>
    <n v="2025"/>
    <x v="8"/>
    <s v="Q3"/>
    <x v="1"/>
  </r>
  <r>
    <s v="O103735"/>
    <x v="635"/>
    <x v="0"/>
    <x v="7"/>
    <x v="4"/>
    <x v="2"/>
    <n v="9"/>
    <n v="117174"/>
    <d v="2025-08-15T00:00:00"/>
    <n v="8"/>
    <n v="15"/>
    <n v="2025"/>
    <x v="8"/>
    <s v="Q3"/>
    <x v="4"/>
  </r>
  <r>
    <s v="O100637"/>
    <x v="196"/>
    <x v="5"/>
    <x v="6"/>
    <x v="0"/>
    <x v="2"/>
    <n v="6"/>
    <n v="117082"/>
    <d v="2025-08-02T00:00:00"/>
    <n v="8"/>
    <n v="2"/>
    <n v="2025"/>
    <x v="8"/>
    <s v="Q3"/>
    <x v="0"/>
  </r>
  <r>
    <s v="O103145"/>
    <x v="176"/>
    <x v="3"/>
    <x v="7"/>
    <x v="0"/>
    <x v="2"/>
    <n v="7"/>
    <n v="116996"/>
    <d v="2025-11-07T00:00:00"/>
    <n v="11"/>
    <n v="7"/>
    <n v="2025"/>
    <x v="0"/>
    <s v="Q4"/>
    <x v="0"/>
  </r>
  <r>
    <s v="O105058"/>
    <x v="263"/>
    <x v="6"/>
    <x v="7"/>
    <x v="2"/>
    <x v="0"/>
    <n v="9"/>
    <n v="116953"/>
    <d v="2025-04-11T00:00:00"/>
    <n v="4"/>
    <n v="11"/>
    <n v="2025"/>
    <x v="11"/>
    <s v="Q2"/>
    <x v="2"/>
  </r>
  <r>
    <s v="O109024"/>
    <x v="769"/>
    <x v="10"/>
    <x v="7"/>
    <x v="0"/>
    <x v="0"/>
    <n v="9"/>
    <n v="116908"/>
    <d v="2026-03-07T00:00:00"/>
    <n v="3"/>
    <n v="7"/>
    <n v="2026"/>
    <x v="5"/>
    <s v="Q1"/>
    <x v="0"/>
  </r>
  <r>
    <s v="O100964"/>
    <x v="604"/>
    <x v="0"/>
    <x v="7"/>
    <x v="0"/>
    <x v="3"/>
    <n v="9"/>
    <n v="116820"/>
    <d v="2025-02-28T00:00:00"/>
    <n v="2"/>
    <n v="28"/>
    <n v="2025"/>
    <x v="4"/>
    <s v="Q1"/>
    <x v="0"/>
  </r>
  <r>
    <s v="O105308"/>
    <x v="157"/>
    <x v="4"/>
    <x v="7"/>
    <x v="3"/>
    <x v="3"/>
    <n v="7"/>
    <n v="116815"/>
    <d v="2025-11-19T00:00:00"/>
    <n v="11"/>
    <n v="19"/>
    <n v="2025"/>
    <x v="0"/>
    <s v="Q4"/>
    <x v="3"/>
  </r>
  <r>
    <s v="O105156"/>
    <x v="46"/>
    <x v="0"/>
    <x v="7"/>
    <x v="4"/>
    <x v="3"/>
    <n v="7"/>
    <n v="116779"/>
    <d v="2025-10-11T00:00:00"/>
    <n v="10"/>
    <n v="11"/>
    <n v="2025"/>
    <x v="9"/>
    <s v="Q4"/>
    <x v="4"/>
  </r>
  <r>
    <s v="O105957"/>
    <x v="392"/>
    <x v="6"/>
    <x v="7"/>
    <x v="3"/>
    <x v="2"/>
    <n v="8"/>
    <n v="116704"/>
    <d v="2025-12-28T00:00:00"/>
    <n v="12"/>
    <n v="28"/>
    <n v="2025"/>
    <x v="7"/>
    <s v="Q4"/>
    <x v="3"/>
  </r>
  <r>
    <s v="O103341"/>
    <x v="689"/>
    <x v="5"/>
    <x v="5"/>
    <x v="2"/>
    <x v="2"/>
    <n v="1"/>
    <n v="116663"/>
    <d v="2025-07-22T00:00:00"/>
    <n v="7"/>
    <n v="22"/>
    <n v="2025"/>
    <x v="10"/>
    <s v="Q3"/>
    <x v="2"/>
  </r>
  <r>
    <s v="O108963"/>
    <x v="31"/>
    <x v="10"/>
    <x v="6"/>
    <x v="1"/>
    <x v="1"/>
    <n v="5"/>
    <n v="116658"/>
    <d v="2026-06-29T00:00:00"/>
    <n v="6"/>
    <n v="29"/>
    <n v="2026"/>
    <x v="2"/>
    <s v="Q2"/>
    <x v="1"/>
  </r>
  <r>
    <s v="O110174"/>
    <x v="581"/>
    <x v="8"/>
    <x v="7"/>
    <x v="2"/>
    <x v="0"/>
    <n v="10"/>
    <n v="116657"/>
    <d v="2026-11-09T00:00:00"/>
    <n v="11"/>
    <n v="9"/>
    <n v="2026"/>
    <x v="0"/>
    <s v="Q4"/>
    <x v="2"/>
  </r>
  <r>
    <s v="O111831"/>
    <x v="14"/>
    <x v="10"/>
    <x v="6"/>
    <x v="0"/>
    <x v="3"/>
    <n v="4"/>
    <n v="116586"/>
    <d v="2026-12-20T00:00:00"/>
    <n v="12"/>
    <n v="20"/>
    <n v="2026"/>
    <x v="7"/>
    <s v="Q4"/>
    <x v="0"/>
  </r>
  <r>
    <s v="O107688"/>
    <x v="308"/>
    <x v="4"/>
    <x v="7"/>
    <x v="0"/>
    <x v="1"/>
    <n v="8"/>
    <n v="116383"/>
    <d v="2026-04-13T00:00:00"/>
    <n v="4"/>
    <n v="13"/>
    <n v="2026"/>
    <x v="11"/>
    <s v="Q2"/>
    <x v="0"/>
  </r>
  <r>
    <s v="O101838"/>
    <x v="764"/>
    <x v="8"/>
    <x v="7"/>
    <x v="4"/>
    <x v="0"/>
    <n v="7"/>
    <n v="116354"/>
    <d v="2025-04-22T00:00:00"/>
    <n v="4"/>
    <n v="22"/>
    <n v="2025"/>
    <x v="11"/>
    <s v="Q2"/>
    <x v="4"/>
  </r>
  <r>
    <s v="O102338"/>
    <x v="701"/>
    <x v="4"/>
    <x v="7"/>
    <x v="3"/>
    <x v="3"/>
    <n v="8"/>
    <n v="116298"/>
    <d v="2025-05-22T00:00:00"/>
    <n v="5"/>
    <n v="22"/>
    <n v="2025"/>
    <x v="3"/>
    <s v="Q2"/>
    <x v="3"/>
  </r>
  <r>
    <s v="O101386"/>
    <x v="421"/>
    <x v="9"/>
    <x v="7"/>
    <x v="3"/>
    <x v="0"/>
    <n v="9"/>
    <n v="116283"/>
    <d v="2025-03-26T00:00:00"/>
    <n v="3"/>
    <n v="26"/>
    <n v="2025"/>
    <x v="5"/>
    <s v="Q1"/>
    <x v="3"/>
  </r>
  <r>
    <s v="O109081"/>
    <x v="197"/>
    <x v="8"/>
    <x v="7"/>
    <x v="3"/>
    <x v="2"/>
    <n v="7"/>
    <n v="116207"/>
    <d v="2026-06-07T00:00:00"/>
    <n v="6"/>
    <n v="7"/>
    <n v="2026"/>
    <x v="2"/>
    <s v="Q2"/>
    <x v="3"/>
  </r>
  <r>
    <s v="O102264"/>
    <x v="17"/>
    <x v="9"/>
    <x v="6"/>
    <x v="4"/>
    <x v="0"/>
    <n v="6"/>
    <n v="116175"/>
    <d v="2025-05-18T00:00:00"/>
    <n v="5"/>
    <n v="18"/>
    <n v="2025"/>
    <x v="3"/>
    <s v="Q2"/>
    <x v="4"/>
  </r>
  <r>
    <s v="O109054"/>
    <x v="425"/>
    <x v="0"/>
    <x v="7"/>
    <x v="2"/>
    <x v="3"/>
    <n v="7"/>
    <n v="116171"/>
    <d v="2026-05-07T00:00:00"/>
    <n v="5"/>
    <n v="7"/>
    <n v="2026"/>
    <x v="3"/>
    <s v="Q2"/>
    <x v="2"/>
  </r>
  <r>
    <s v="O108643"/>
    <x v="622"/>
    <x v="0"/>
    <x v="7"/>
    <x v="3"/>
    <x v="1"/>
    <n v="8"/>
    <n v="116147"/>
    <d v="2026-10-06T00:00:00"/>
    <n v="10"/>
    <n v="6"/>
    <n v="2026"/>
    <x v="9"/>
    <s v="Q4"/>
    <x v="3"/>
  </r>
  <r>
    <s v="O102403"/>
    <x v="315"/>
    <x v="4"/>
    <x v="7"/>
    <x v="2"/>
    <x v="3"/>
    <n v="7"/>
    <n v="116094"/>
    <d v="2025-05-26T00:00:00"/>
    <n v="5"/>
    <n v="26"/>
    <n v="2025"/>
    <x v="3"/>
    <s v="Q2"/>
    <x v="2"/>
  </r>
  <r>
    <s v="O107481"/>
    <x v="120"/>
    <x v="1"/>
    <x v="7"/>
    <x v="4"/>
    <x v="3"/>
    <n v="9"/>
    <n v="116091"/>
    <d v="2026-03-31T00:00:00"/>
    <n v="3"/>
    <n v="31"/>
    <n v="2026"/>
    <x v="5"/>
    <s v="Q1"/>
    <x v="4"/>
  </r>
  <r>
    <s v="O111529"/>
    <x v="685"/>
    <x v="5"/>
    <x v="6"/>
    <x v="3"/>
    <x v="1"/>
    <n v="5"/>
    <n v="116089"/>
    <d v="2026-02-12T00:00:00"/>
    <n v="2"/>
    <n v="12"/>
    <n v="2026"/>
    <x v="4"/>
    <s v="Q1"/>
    <x v="3"/>
  </r>
  <r>
    <s v="O103147"/>
    <x v="446"/>
    <x v="0"/>
    <x v="5"/>
    <x v="0"/>
    <x v="2"/>
    <n v="1"/>
    <n v="116076"/>
    <d v="2025-11-07T00:00:00"/>
    <n v="11"/>
    <n v="7"/>
    <n v="2025"/>
    <x v="0"/>
    <s v="Q4"/>
    <x v="0"/>
  </r>
  <r>
    <s v="O104047"/>
    <x v="354"/>
    <x v="3"/>
    <x v="7"/>
    <x v="1"/>
    <x v="3"/>
    <n v="7"/>
    <n v="115873"/>
    <d v="2025-03-09T00:00:00"/>
    <n v="3"/>
    <n v="9"/>
    <n v="2025"/>
    <x v="5"/>
    <s v="Q1"/>
    <x v="1"/>
  </r>
  <r>
    <s v="O104277"/>
    <x v="379"/>
    <x v="8"/>
    <x v="7"/>
    <x v="3"/>
    <x v="0"/>
    <n v="7"/>
    <n v="115857"/>
    <d v="2025-09-17T00:00:00"/>
    <n v="9"/>
    <n v="17"/>
    <n v="2025"/>
    <x v="1"/>
    <s v="Q3"/>
    <x v="3"/>
  </r>
  <r>
    <s v="O110178"/>
    <x v="129"/>
    <x v="10"/>
    <x v="6"/>
    <x v="4"/>
    <x v="3"/>
    <n v="5"/>
    <n v="115847"/>
    <d v="2026-11-09T00:00:00"/>
    <n v="11"/>
    <n v="9"/>
    <n v="2026"/>
    <x v="0"/>
    <s v="Q4"/>
    <x v="4"/>
  </r>
  <r>
    <s v="O103719"/>
    <x v="624"/>
    <x v="4"/>
    <x v="6"/>
    <x v="1"/>
    <x v="2"/>
    <n v="6"/>
    <n v="115822"/>
    <d v="2025-08-14T00:00:00"/>
    <n v="8"/>
    <n v="14"/>
    <n v="2025"/>
    <x v="8"/>
    <s v="Q3"/>
    <x v="1"/>
  </r>
  <r>
    <s v="O103625"/>
    <x v="482"/>
    <x v="2"/>
    <x v="7"/>
    <x v="1"/>
    <x v="1"/>
    <n v="9"/>
    <n v="115790"/>
    <d v="2025-09-08T00:00:00"/>
    <n v="9"/>
    <n v="8"/>
    <n v="2025"/>
    <x v="1"/>
    <s v="Q3"/>
    <x v="1"/>
  </r>
  <r>
    <s v="O104419"/>
    <x v="688"/>
    <x v="6"/>
    <x v="7"/>
    <x v="2"/>
    <x v="0"/>
    <n v="8"/>
    <n v="115775"/>
    <d v="2025-09-26T00:00:00"/>
    <n v="9"/>
    <n v="26"/>
    <n v="2025"/>
    <x v="1"/>
    <s v="Q3"/>
    <x v="2"/>
  </r>
  <r>
    <s v="O107347"/>
    <x v="256"/>
    <x v="0"/>
    <x v="6"/>
    <x v="0"/>
    <x v="1"/>
    <n v="5"/>
    <n v="115723"/>
    <d v="2026-03-23T00:00:00"/>
    <n v="3"/>
    <n v="23"/>
    <n v="2026"/>
    <x v="5"/>
    <s v="Q1"/>
    <x v="0"/>
  </r>
  <r>
    <s v="O100317"/>
    <x v="479"/>
    <x v="3"/>
    <x v="7"/>
    <x v="1"/>
    <x v="1"/>
    <n v="9"/>
    <n v="115599"/>
    <d v="2025-01-20T00:00:00"/>
    <n v="1"/>
    <n v="20"/>
    <n v="2025"/>
    <x v="6"/>
    <s v="Q1"/>
    <x v="1"/>
  </r>
  <r>
    <s v="O110422"/>
    <x v="152"/>
    <x v="1"/>
    <x v="6"/>
    <x v="3"/>
    <x v="2"/>
    <n v="4"/>
    <n v="115578"/>
    <d v="2026-09-26T00:00:00"/>
    <n v="9"/>
    <n v="26"/>
    <n v="2026"/>
    <x v="1"/>
    <s v="Q3"/>
    <x v="3"/>
  </r>
  <r>
    <s v="O108173"/>
    <x v="308"/>
    <x v="4"/>
    <x v="6"/>
    <x v="2"/>
    <x v="0"/>
    <n v="5"/>
    <n v="115547"/>
    <d v="2026-12-05T00:00:00"/>
    <n v="12"/>
    <n v="5"/>
    <n v="2026"/>
    <x v="7"/>
    <s v="Q4"/>
    <x v="2"/>
  </r>
  <r>
    <s v="O105561"/>
    <x v="110"/>
    <x v="0"/>
    <x v="7"/>
    <x v="0"/>
    <x v="0"/>
    <n v="10"/>
    <n v="115529"/>
    <d v="2025-04-12T00:00:00"/>
    <n v="4"/>
    <n v="12"/>
    <n v="2025"/>
    <x v="11"/>
    <s v="Q2"/>
    <x v="0"/>
  </r>
  <r>
    <s v="O104926"/>
    <x v="213"/>
    <x v="0"/>
    <x v="7"/>
    <x v="2"/>
    <x v="0"/>
    <n v="9"/>
    <n v="115462"/>
    <d v="2025-10-27T00:00:00"/>
    <n v="10"/>
    <n v="27"/>
    <n v="2025"/>
    <x v="9"/>
    <m/>
    <x v="2"/>
  </r>
  <r>
    <s v="O108221"/>
    <x v="67"/>
    <x v="0"/>
    <x v="5"/>
    <x v="0"/>
    <x v="0"/>
    <n v="1"/>
    <n v="115439"/>
    <d v="2026-05-15T00:00:00"/>
    <n v="5"/>
    <n v="15"/>
    <n v="2026"/>
    <x v="3"/>
    <s v="Q2"/>
    <x v="0"/>
  </r>
  <r>
    <s v="O106905"/>
    <x v="377"/>
    <x v="8"/>
    <x v="7"/>
    <x v="4"/>
    <x v="0"/>
    <n v="8"/>
    <n v="115408"/>
    <d v="2026-02-24T00:00:00"/>
    <n v="2"/>
    <n v="24"/>
    <n v="2026"/>
    <x v="4"/>
    <s v="Q1"/>
    <x v="4"/>
  </r>
  <r>
    <s v="O107005"/>
    <x v="180"/>
    <x v="8"/>
    <x v="7"/>
    <x v="1"/>
    <x v="3"/>
    <n v="10"/>
    <n v="115256"/>
    <d v="2026-02-03T00:00:00"/>
    <n v="2"/>
    <n v="3"/>
    <n v="2026"/>
    <x v="4"/>
    <s v="Q1"/>
    <x v="1"/>
  </r>
  <r>
    <s v="O105540"/>
    <x v="771"/>
    <x v="2"/>
    <x v="6"/>
    <x v="1"/>
    <x v="2"/>
    <n v="6"/>
    <n v="115245"/>
    <d v="2025-03-12T00:00:00"/>
    <n v="3"/>
    <n v="12"/>
    <n v="2025"/>
    <x v="5"/>
    <s v="Q1"/>
    <x v="1"/>
  </r>
  <r>
    <s v="O110467"/>
    <x v="401"/>
    <x v="1"/>
    <x v="6"/>
    <x v="3"/>
    <x v="0"/>
    <n v="5"/>
    <n v="115215"/>
    <d v="2026-09-28T00:00:00"/>
    <n v="9"/>
    <n v="28"/>
    <n v="2026"/>
    <x v="1"/>
    <s v="Q3"/>
    <x v="3"/>
  </r>
  <r>
    <s v="O100556"/>
    <x v="563"/>
    <x v="0"/>
    <x v="7"/>
    <x v="3"/>
    <x v="1"/>
    <n v="7"/>
    <n v="115188"/>
    <d v="2025-03-02T00:00:00"/>
    <n v="3"/>
    <n v="2"/>
    <n v="2025"/>
    <x v="5"/>
    <s v="Q1"/>
    <x v="3"/>
  </r>
  <r>
    <s v="O111247"/>
    <x v="566"/>
    <x v="6"/>
    <x v="6"/>
    <x v="1"/>
    <x v="1"/>
    <n v="4"/>
    <n v="115185"/>
    <d v="2026-11-15T00:00:00"/>
    <n v="11"/>
    <n v="15"/>
    <n v="2026"/>
    <x v="0"/>
    <s v="Q4"/>
    <x v="1"/>
  </r>
  <r>
    <s v="O107505"/>
    <x v="76"/>
    <x v="0"/>
    <x v="6"/>
    <x v="0"/>
    <x v="1"/>
    <n v="5"/>
    <n v="115158"/>
    <d v="2026-01-04T00:00:00"/>
    <n v="1"/>
    <n v="4"/>
    <n v="2026"/>
    <x v="6"/>
    <s v="Q1"/>
    <x v="0"/>
  </r>
  <r>
    <s v="O111249"/>
    <x v="537"/>
    <x v="1"/>
    <x v="7"/>
    <x v="0"/>
    <x v="0"/>
    <n v="8"/>
    <n v="115156"/>
    <d v="2026-11-15T00:00:00"/>
    <n v="11"/>
    <n v="15"/>
    <n v="2026"/>
    <x v="0"/>
    <s v="Q4"/>
    <x v="0"/>
  </r>
  <r>
    <s v="O105979"/>
    <x v="456"/>
    <x v="0"/>
    <x v="6"/>
    <x v="1"/>
    <x v="2"/>
    <n v="6"/>
    <n v="115032"/>
    <d v="2025-12-30T00:00:00"/>
    <n v="12"/>
    <n v="30"/>
    <n v="2025"/>
    <x v="7"/>
    <s v="Q4"/>
    <x v="1"/>
  </r>
  <r>
    <s v="O105128"/>
    <x v="309"/>
    <x v="2"/>
    <x v="7"/>
    <x v="0"/>
    <x v="0"/>
    <n v="8"/>
    <n v="114982"/>
    <d v="2025-08-11T00:00:00"/>
    <n v="8"/>
    <n v="11"/>
    <n v="2025"/>
    <x v="8"/>
    <m/>
    <x v="0"/>
  </r>
  <r>
    <s v="O103562"/>
    <x v="395"/>
    <x v="3"/>
    <x v="5"/>
    <x v="2"/>
    <x v="0"/>
    <n v="1"/>
    <n v="114934"/>
    <d v="2025-05-08T00:00:00"/>
    <n v="5"/>
    <n v="8"/>
    <n v="2025"/>
    <x v="3"/>
    <s v="Q2"/>
    <x v="2"/>
  </r>
  <r>
    <s v="O107089"/>
    <x v="453"/>
    <x v="9"/>
    <x v="7"/>
    <x v="0"/>
    <x v="1"/>
    <n v="8"/>
    <n v="114920"/>
    <d v="2026-07-03T00:00:00"/>
    <n v="7"/>
    <n v="3"/>
    <n v="2026"/>
    <x v="10"/>
    <s v="Q3"/>
    <x v="0"/>
  </r>
  <r>
    <s v="O109066"/>
    <x v="558"/>
    <x v="3"/>
    <x v="6"/>
    <x v="2"/>
    <x v="0"/>
    <n v="5"/>
    <n v="114846"/>
    <d v="2026-05-07T00:00:00"/>
    <n v="5"/>
    <n v="7"/>
    <n v="2026"/>
    <x v="3"/>
    <s v="Q2"/>
    <x v="2"/>
  </r>
  <r>
    <s v="O103900"/>
    <x v="49"/>
    <x v="9"/>
    <x v="5"/>
    <x v="3"/>
    <x v="0"/>
    <n v="1"/>
    <n v="114842"/>
    <d v="2025-08-25T00:00:00"/>
    <n v="8"/>
    <n v="25"/>
    <n v="2025"/>
    <x v="8"/>
    <s v="Q3"/>
    <x v="3"/>
  </r>
  <r>
    <s v="O109792"/>
    <x v="272"/>
    <x v="10"/>
    <x v="6"/>
    <x v="2"/>
    <x v="2"/>
    <n v="5"/>
    <n v="114813"/>
    <d v="2026-08-18T00:00:00"/>
    <n v="8"/>
    <n v="18"/>
    <n v="2026"/>
    <x v="8"/>
    <s v="Q3"/>
    <x v="2"/>
  </r>
  <r>
    <s v="O105850"/>
    <x v="322"/>
    <x v="1"/>
    <x v="6"/>
    <x v="1"/>
    <x v="1"/>
    <n v="4"/>
    <n v="114779"/>
    <d v="2025-12-22T00:00:00"/>
    <n v="12"/>
    <n v="22"/>
    <n v="2025"/>
    <x v="7"/>
    <s v="Q4"/>
    <x v="1"/>
  </r>
  <r>
    <s v="O101161"/>
    <x v="552"/>
    <x v="10"/>
    <x v="5"/>
    <x v="0"/>
    <x v="3"/>
    <n v="1"/>
    <n v="114734"/>
    <d v="2025-12-03T00:00:00"/>
    <n v="12"/>
    <n v="3"/>
    <n v="2025"/>
    <x v="7"/>
    <s v="Q4"/>
    <x v="0"/>
  </r>
  <r>
    <s v="O104353"/>
    <x v="638"/>
    <x v="0"/>
    <x v="7"/>
    <x v="4"/>
    <x v="1"/>
    <n v="7"/>
    <n v="114622"/>
    <d v="2025-09-22T00:00:00"/>
    <n v="9"/>
    <n v="22"/>
    <n v="2025"/>
    <x v="1"/>
    <s v="Q3"/>
    <x v="4"/>
  </r>
  <r>
    <s v="O108669"/>
    <x v="735"/>
    <x v="0"/>
    <x v="7"/>
    <x v="4"/>
    <x v="2"/>
    <n v="9"/>
    <n v="114607"/>
    <d v="2026-11-06T00:00:00"/>
    <n v="11"/>
    <n v="6"/>
    <n v="2026"/>
    <x v="0"/>
    <s v="Q4"/>
    <x v="4"/>
  </r>
  <r>
    <s v="O106021"/>
    <x v="201"/>
    <x v="3"/>
    <x v="7"/>
    <x v="3"/>
    <x v="0"/>
    <n v="9"/>
    <n v="114521"/>
    <d v="2026-01-01T00:00:00"/>
    <n v="1"/>
    <n v="1"/>
    <n v="2026"/>
    <x v="6"/>
    <s v="Q1"/>
    <x v="3"/>
  </r>
  <r>
    <s v="O102782"/>
    <x v="377"/>
    <x v="10"/>
    <x v="5"/>
    <x v="1"/>
    <x v="2"/>
    <n v="1"/>
    <n v="114516"/>
    <d v="2025-06-18T00:00:00"/>
    <n v="6"/>
    <n v="18"/>
    <n v="2025"/>
    <x v="2"/>
    <s v="Q2"/>
    <x v="1"/>
  </r>
  <r>
    <s v="O108341"/>
    <x v="796"/>
    <x v="10"/>
    <x v="5"/>
    <x v="4"/>
    <x v="2"/>
    <n v="1"/>
    <n v="114498"/>
    <d v="2026-05-22T00:00:00"/>
    <n v="5"/>
    <n v="22"/>
    <n v="2026"/>
    <x v="3"/>
    <s v="Q2"/>
    <x v="4"/>
  </r>
  <r>
    <s v="O102831"/>
    <x v="254"/>
    <x v="8"/>
    <x v="6"/>
    <x v="4"/>
    <x v="1"/>
    <n v="5"/>
    <n v="114415"/>
    <d v="2025-06-21T00:00:00"/>
    <n v="6"/>
    <n v="21"/>
    <n v="2025"/>
    <x v="2"/>
    <s v="Q2"/>
    <x v="4"/>
  </r>
  <r>
    <s v="O103399"/>
    <x v="493"/>
    <x v="8"/>
    <x v="7"/>
    <x v="2"/>
    <x v="0"/>
    <n v="7"/>
    <n v="114332"/>
    <d v="2025-07-26T00:00:00"/>
    <n v="7"/>
    <n v="26"/>
    <n v="2025"/>
    <x v="10"/>
    <s v="Q3"/>
    <x v="2"/>
  </r>
  <r>
    <s v="O106795"/>
    <x v="241"/>
    <x v="5"/>
    <x v="6"/>
    <x v="0"/>
    <x v="1"/>
    <n v="4"/>
    <n v="114310"/>
    <d v="2026-02-17T00:00:00"/>
    <n v="2"/>
    <n v="17"/>
    <n v="2026"/>
    <x v="4"/>
    <s v="Q1"/>
    <x v="0"/>
  </r>
  <r>
    <s v="O108095"/>
    <x v="295"/>
    <x v="10"/>
    <x v="6"/>
    <x v="4"/>
    <x v="0"/>
    <n v="4"/>
    <n v="114302"/>
    <d v="2026-07-05T00:00:00"/>
    <n v="7"/>
    <n v="5"/>
    <n v="2026"/>
    <x v="10"/>
    <s v="Q3"/>
    <x v="4"/>
  </r>
  <r>
    <s v="O108441"/>
    <x v="682"/>
    <x v="5"/>
    <x v="7"/>
    <x v="3"/>
    <x v="3"/>
    <n v="10"/>
    <n v="114260"/>
    <d v="2026-05-28T00:00:00"/>
    <n v="5"/>
    <n v="28"/>
    <n v="2026"/>
    <x v="3"/>
    <s v="Q2"/>
    <x v="3"/>
  </r>
  <r>
    <s v="O108139"/>
    <x v="361"/>
    <x v="9"/>
    <x v="6"/>
    <x v="4"/>
    <x v="1"/>
    <n v="6"/>
    <n v="114231"/>
    <d v="2026-10-05T00:00:00"/>
    <n v="10"/>
    <n v="5"/>
    <n v="2026"/>
    <x v="9"/>
    <s v="Q4"/>
    <x v="4"/>
  </r>
  <r>
    <s v="O102145"/>
    <x v="690"/>
    <x v="8"/>
    <x v="6"/>
    <x v="1"/>
    <x v="3"/>
    <n v="5"/>
    <n v="114071"/>
    <d v="2025-11-05T00:00:00"/>
    <n v="11"/>
    <n v="5"/>
    <n v="2025"/>
    <x v="0"/>
    <s v="Q4"/>
    <x v="1"/>
  </r>
  <r>
    <s v="O103011"/>
    <x v="227"/>
    <x v="9"/>
    <x v="6"/>
    <x v="2"/>
    <x v="1"/>
    <n v="4"/>
    <n v="114041"/>
    <d v="2025-02-07T00:00:00"/>
    <n v="2"/>
    <n v="7"/>
    <n v="2025"/>
    <x v="4"/>
    <s v="Q1"/>
    <x v="2"/>
  </r>
  <r>
    <s v="O107969"/>
    <x v="50"/>
    <x v="5"/>
    <x v="6"/>
    <x v="2"/>
    <x v="0"/>
    <n v="5"/>
    <n v="114040"/>
    <d v="2026-04-30T00:00:00"/>
    <n v="4"/>
    <n v="30"/>
    <n v="2026"/>
    <x v="11"/>
    <s v="Q2"/>
    <x v="2"/>
  </r>
  <r>
    <s v="O109685"/>
    <x v="385"/>
    <x v="2"/>
    <x v="6"/>
    <x v="1"/>
    <x v="3"/>
    <n v="5"/>
    <n v="114037"/>
    <d v="2026-12-08T00:00:00"/>
    <n v="12"/>
    <n v="8"/>
    <n v="2026"/>
    <x v="7"/>
    <s v="Q4"/>
    <x v="1"/>
  </r>
  <r>
    <s v="O111023"/>
    <x v="5"/>
    <x v="8"/>
    <x v="5"/>
    <x v="2"/>
    <x v="0"/>
    <n v="1"/>
    <n v="114017"/>
    <d v="2026-01-11T00:00:00"/>
    <n v="1"/>
    <n v="11"/>
    <n v="2026"/>
    <x v="6"/>
    <s v="Q1"/>
    <x v="2"/>
  </r>
  <r>
    <s v="O102696"/>
    <x v="744"/>
    <x v="0"/>
    <x v="6"/>
    <x v="1"/>
    <x v="1"/>
    <n v="4"/>
    <n v="114002"/>
    <d v="2025-06-13T00:00:00"/>
    <n v="6"/>
    <n v="13"/>
    <n v="2025"/>
    <x v="2"/>
    <m/>
    <x v="1"/>
  </r>
  <r>
    <s v="O106207"/>
    <x v="768"/>
    <x v="4"/>
    <x v="7"/>
    <x v="8"/>
    <x v="3"/>
    <n v="10"/>
    <n v="113990"/>
    <d v="2026-01-13T00:00:00"/>
    <n v="1"/>
    <n v="13"/>
    <n v="2026"/>
    <x v="6"/>
    <s v="Q1"/>
    <x v="2"/>
  </r>
  <r>
    <s v="O102025"/>
    <x v="146"/>
    <x v="1"/>
    <x v="7"/>
    <x v="0"/>
    <x v="1"/>
    <n v="10"/>
    <n v="113986"/>
    <d v="2025-03-05T00:00:00"/>
    <n v="3"/>
    <n v="5"/>
    <n v="2025"/>
    <x v="5"/>
    <s v="Q1"/>
    <x v="0"/>
  </r>
  <r>
    <s v="O100327"/>
    <x v="699"/>
    <x v="8"/>
    <x v="6"/>
    <x v="1"/>
    <x v="0"/>
    <n v="6"/>
    <n v="113866"/>
    <d v="2025-01-20T00:00:00"/>
    <n v="1"/>
    <n v="20"/>
    <n v="2025"/>
    <x v="6"/>
    <s v="Q1"/>
    <x v="1"/>
  </r>
  <r>
    <s v="O110218"/>
    <x v="238"/>
    <x v="10"/>
    <x v="7"/>
    <x v="0"/>
    <x v="1"/>
    <n v="8"/>
    <n v="113851"/>
    <d v="2026-09-13T00:00:00"/>
    <n v="9"/>
    <n v="13"/>
    <n v="2026"/>
    <x v="1"/>
    <s v="Q3"/>
    <x v="0"/>
  </r>
  <r>
    <s v="O100737"/>
    <x v="541"/>
    <x v="6"/>
    <x v="7"/>
    <x v="1"/>
    <x v="0"/>
    <n v="9"/>
    <n v="113798"/>
    <d v="2025-02-14T00:00:00"/>
    <n v="2"/>
    <n v="14"/>
    <n v="2025"/>
    <x v="4"/>
    <s v="Q1"/>
    <x v="1"/>
  </r>
  <r>
    <s v="O104223"/>
    <x v="239"/>
    <x v="4"/>
    <x v="5"/>
    <x v="2"/>
    <x v="1"/>
    <n v="1"/>
    <n v="113707"/>
    <d v="2025-09-14T00:00:00"/>
    <n v="9"/>
    <n v="14"/>
    <n v="2025"/>
    <x v="1"/>
    <s v="Q3"/>
    <x v="2"/>
  </r>
  <r>
    <s v="O107108"/>
    <x v="7"/>
    <x v="10"/>
    <x v="7"/>
    <x v="1"/>
    <x v="2"/>
    <n v="8"/>
    <n v="113636"/>
    <d v="2026-08-03T00:00:00"/>
    <n v="8"/>
    <n v="3"/>
    <n v="2026"/>
    <x v="8"/>
    <s v="Q3"/>
    <x v="1"/>
  </r>
  <r>
    <s v="O108897"/>
    <x v="549"/>
    <x v="6"/>
    <x v="7"/>
    <x v="4"/>
    <x v="3"/>
    <n v="9"/>
    <n v="113611"/>
    <d v="2026-06-25T00:00:00"/>
    <n v="6"/>
    <n v="25"/>
    <n v="2026"/>
    <x v="2"/>
    <s v="Q2"/>
    <x v="4"/>
  </r>
  <r>
    <s v="O104619"/>
    <x v="433"/>
    <x v="4"/>
    <x v="7"/>
    <x v="2"/>
    <x v="1"/>
    <n v="7"/>
    <n v="113597"/>
    <d v="2025-08-10T00:00:00"/>
    <n v="8"/>
    <n v="10"/>
    <n v="2025"/>
    <x v="8"/>
    <s v="Q3"/>
    <x v="2"/>
  </r>
  <r>
    <s v="O106578"/>
    <x v="738"/>
    <x v="2"/>
    <x v="7"/>
    <x v="2"/>
    <x v="1"/>
    <n v="8"/>
    <n v="113540"/>
    <d v="2026-04-02T00:00:00"/>
    <n v="4"/>
    <n v="2"/>
    <n v="2026"/>
    <x v="11"/>
    <s v="Q2"/>
    <x v="2"/>
  </r>
  <r>
    <s v="O102934"/>
    <x v="702"/>
    <x v="5"/>
    <x v="6"/>
    <x v="1"/>
    <x v="3"/>
    <n v="6"/>
    <n v="113371"/>
    <d v="2025-06-28T00:00:00"/>
    <n v="6"/>
    <n v="28"/>
    <n v="2025"/>
    <x v="2"/>
    <s v="Q2"/>
    <x v="1"/>
  </r>
  <r>
    <s v="O104517"/>
    <x v="638"/>
    <x v="4"/>
    <x v="6"/>
    <x v="1"/>
    <x v="2"/>
    <n v="4"/>
    <n v="113358"/>
    <d v="2025-02-10T00:00:00"/>
    <n v="2"/>
    <n v="10"/>
    <n v="2025"/>
    <x v="4"/>
    <s v="Q1"/>
    <x v="1"/>
  </r>
  <r>
    <s v="O110680"/>
    <x v="63"/>
    <x v="6"/>
    <x v="7"/>
    <x v="3"/>
    <x v="0"/>
    <n v="8"/>
    <n v="113259"/>
    <d v="2026-11-10T00:00:00"/>
    <n v="11"/>
    <n v="10"/>
    <n v="2026"/>
    <x v="0"/>
    <s v="Q4"/>
    <x v="3"/>
  </r>
  <r>
    <s v="O108338"/>
    <x v="88"/>
    <x v="4"/>
    <x v="6"/>
    <x v="2"/>
    <x v="1"/>
    <n v="4"/>
    <n v="113248"/>
    <d v="2026-05-22T00:00:00"/>
    <n v="5"/>
    <n v="22"/>
    <n v="2026"/>
    <x v="3"/>
    <s v="Q2"/>
    <x v="2"/>
  </r>
  <r>
    <s v="O111156"/>
    <x v="597"/>
    <x v="10"/>
    <x v="7"/>
    <x v="4"/>
    <x v="0"/>
    <n v="9"/>
    <n v="113243"/>
    <d v="2026-09-11T00:00:00"/>
    <n v="9"/>
    <n v="11"/>
    <n v="2026"/>
    <x v="1"/>
    <s v="Q3"/>
    <x v="4"/>
  </r>
  <r>
    <s v="O100618"/>
    <x v="677"/>
    <x v="0"/>
    <x v="7"/>
    <x v="1"/>
    <x v="3"/>
    <n v="9"/>
    <n v="113224"/>
    <d v="2025-07-02T00:00:00"/>
    <n v="7"/>
    <n v="2"/>
    <n v="2025"/>
    <x v="10"/>
    <s v="Q3"/>
    <x v="1"/>
  </r>
  <r>
    <s v="O100023"/>
    <x v="246"/>
    <x v="5"/>
    <x v="7"/>
    <x v="2"/>
    <x v="3"/>
    <n v="7"/>
    <n v="113189"/>
    <d v="2025-02-01T00:00:00"/>
    <n v="2"/>
    <n v="1"/>
    <n v="2025"/>
    <x v="4"/>
    <s v="Q1"/>
    <x v="2"/>
  </r>
  <r>
    <s v="O101820"/>
    <x v="794"/>
    <x v="6"/>
    <x v="7"/>
    <x v="1"/>
    <x v="1"/>
    <n v="10"/>
    <n v="113186"/>
    <d v="2025-04-21T00:00:00"/>
    <n v="4"/>
    <n v="21"/>
    <n v="2025"/>
    <x v="11"/>
    <s v="Q2"/>
    <x v="1"/>
  </r>
  <r>
    <s v="O102180"/>
    <x v="533"/>
    <x v="9"/>
    <x v="6"/>
    <x v="3"/>
    <x v="3"/>
    <n v="5"/>
    <n v="113172"/>
    <d v="2025-05-13T00:00:00"/>
    <n v="5"/>
    <n v="13"/>
    <n v="2025"/>
    <x v="3"/>
    <s v="Q2"/>
    <x v="3"/>
  </r>
  <r>
    <s v="O104311"/>
    <x v="737"/>
    <x v="5"/>
    <x v="7"/>
    <x v="4"/>
    <x v="2"/>
    <n v="9"/>
    <n v="113164"/>
    <d v="2025-09-19T00:00:00"/>
    <n v="9"/>
    <n v="19"/>
    <n v="2025"/>
    <x v="1"/>
    <s v="Q3"/>
    <x v="4"/>
  </r>
  <r>
    <s v="O105654"/>
    <x v="709"/>
    <x v="0"/>
    <x v="7"/>
    <x v="0"/>
    <x v="3"/>
    <n v="8"/>
    <n v="113147"/>
    <d v="2025-10-12T00:00:00"/>
    <n v="10"/>
    <n v="12"/>
    <n v="2025"/>
    <x v="9"/>
    <s v="Q4"/>
    <x v="0"/>
  </r>
  <r>
    <s v="O109505"/>
    <x v="545"/>
    <x v="9"/>
    <x v="7"/>
    <x v="0"/>
    <x v="0"/>
    <n v="8"/>
    <n v="113132"/>
    <d v="2026-01-08T00:00:00"/>
    <n v="1"/>
    <n v="8"/>
    <n v="2026"/>
    <x v="6"/>
    <s v="Q1"/>
    <x v="0"/>
  </r>
  <r>
    <s v="O106874"/>
    <x v="551"/>
    <x v="10"/>
    <x v="7"/>
    <x v="4"/>
    <x v="2"/>
    <n v="9"/>
    <n v="113127"/>
    <d v="2026-02-22T00:00:00"/>
    <n v="2"/>
    <n v="22"/>
    <n v="2026"/>
    <x v="4"/>
    <s v="Q1"/>
    <x v="4"/>
  </r>
  <r>
    <s v="O109384"/>
    <x v="736"/>
    <x v="3"/>
    <x v="7"/>
    <x v="1"/>
    <x v="1"/>
    <n v="7"/>
    <n v="113096"/>
    <d v="2026-07-25T00:00:00"/>
    <n v="7"/>
    <n v="25"/>
    <n v="2026"/>
    <x v="10"/>
    <s v="Q3"/>
    <x v="1"/>
  </r>
  <r>
    <s v="O102620"/>
    <x v="458"/>
    <x v="9"/>
    <x v="7"/>
    <x v="0"/>
    <x v="2"/>
    <n v="7"/>
    <n v="113094"/>
    <d v="2025-09-06T00:00:00"/>
    <n v="9"/>
    <n v="6"/>
    <n v="2025"/>
    <x v="1"/>
    <s v="Q3"/>
    <x v="0"/>
  </r>
  <r>
    <s v="O104984"/>
    <x v="748"/>
    <x v="3"/>
    <x v="5"/>
    <x v="1"/>
    <x v="2"/>
    <n v="1"/>
    <n v="113008"/>
    <d v="2025-10-30T00:00:00"/>
    <n v="10"/>
    <n v="30"/>
    <n v="2025"/>
    <x v="9"/>
    <s v="Q4"/>
    <x v="1"/>
  </r>
  <r>
    <s v="O106962"/>
    <x v="766"/>
    <x v="1"/>
    <x v="7"/>
    <x v="0"/>
    <x v="3"/>
    <n v="10"/>
    <n v="112997"/>
    <d v="2026-02-27T00:00:00"/>
    <n v="2"/>
    <n v="27"/>
    <n v="2026"/>
    <x v="4"/>
    <s v="Q1"/>
    <x v="0"/>
  </r>
  <r>
    <s v="O110326"/>
    <x v="161"/>
    <x v="6"/>
    <x v="7"/>
    <x v="2"/>
    <x v="1"/>
    <n v="10"/>
    <n v="112955"/>
    <d v="2026-09-20T00:00:00"/>
    <n v="9"/>
    <n v="20"/>
    <n v="2026"/>
    <x v="1"/>
    <s v="Q3"/>
    <x v="2"/>
  </r>
  <r>
    <s v="O106202"/>
    <x v="756"/>
    <x v="1"/>
    <x v="7"/>
    <x v="1"/>
    <x v="1"/>
    <n v="7"/>
    <n v="112932"/>
    <d v="2026-12-01T00:00:00"/>
    <n v="12"/>
    <n v="1"/>
    <n v="2026"/>
    <x v="7"/>
    <s v="Q4"/>
    <x v="1"/>
  </r>
  <r>
    <s v="O100912"/>
    <x v="536"/>
    <x v="8"/>
    <x v="7"/>
    <x v="2"/>
    <x v="1"/>
    <n v="7"/>
    <n v="112804"/>
    <d v="2025-02-25T00:00:00"/>
    <n v="2"/>
    <n v="25"/>
    <n v="2025"/>
    <x v="4"/>
    <s v="Q1"/>
    <x v="2"/>
  </r>
  <r>
    <s v="O105101"/>
    <x v="620"/>
    <x v="0"/>
    <x v="6"/>
    <x v="2"/>
    <x v="3"/>
    <n v="5"/>
    <n v="112795"/>
    <d v="2025-06-11T00:00:00"/>
    <n v="6"/>
    <n v="11"/>
    <n v="2025"/>
    <x v="2"/>
    <s v="Q2"/>
    <x v="2"/>
  </r>
  <r>
    <s v="O106531"/>
    <x v="439"/>
    <x v="5"/>
    <x v="6"/>
    <x v="1"/>
    <x v="1"/>
    <n v="4"/>
    <n v="112764"/>
    <d v="2026-01-02T00:00:00"/>
    <n v="1"/>
    <n v="2"/>
    <n v="2026"/>
    <x v="6"/>
    <s v="Q1"/>
    <x v="1"/>
  </r>
  <r>
    <s v="O108660"/>
    <x v="246"/>
    <x v="4"/>
    <x v="5"/>
    <x v="1"/>
    <x v="1"/>
    <n v="1"/>
    <n v="112731"/>
    <d v="2026-11-06T00:00:00"/>
    <n v="11"/>
    <n v="6"/>
    <n v="2026"/>
    <x v="0"/>
    <s v="Q4"/>
    <x v="1"/>
  </r>
  <r>
    <s v="O108679"/>
    <x v="398"/>
    <x v="4"/>
    <x v="6"/>
    <x v="0"/>
    <x v="3"/>
    <n v="6"/>
    <n v="112660"/>
    <d v="2026-12-06T00:00:00"/>
    <n v="12"/>
    <n v="6"/>
    <n v="2026"/>
    <x v="7"/>
    <s v="Q4"/>
    <x v="0"/>
  </r>
  <r>
    <s v="O106698"/>
    <x v="788"/>
    <x v="4"/>
    <x v="7"/>
    <x v="3"/>
    <x v="3"/>
    <n v="10"/>
    <n v="112536"/>
    <d v="2026-11-02T00:00:00"/>
    <n v="11"/>
    <n v="2"/>
    <n v="2026"/>
    <x v="0"/>
    <s v="Q4"/>
    <x v="3"/>
  </r>
  <r>
    <s v="O103678"/>
    <x v="791"/>
    <x v="10"/>
    <x v="7"/>
    <x v="2"/>
    <x v="2"/>
    <n v="9"/>
    <n v="112524"/>
    <d v="2025-12-08T00:00:00"/>
    <n v="12"/>
    <n v="8"/>
    <n v="2025"/>
    <x v="7"/>
    <s v="Q4"/>
    <x v="2"/>
  </r>
  <r>
    <s v="O107109"/>
    <x v="724"/>
    <x v="1"/>
    <x v="5"/>
    <x v="4"/>
    <x v="0"/>
    <n v="1"/>
    <n v="112515"/>
    <d v="2026-08-03T00:00:00"/>
    <n v="8"/>
    <n v="3"/>
    <n v="2026"/>
    <x v="8"/>
    <s v="Q3"/>
    <x v="4"/>
  </r>
  <r>
    <s v="O104838"/>
    <x v="30"/>
    <x v="9"/>
    <x v="7"/>
    <x v="2"/>
    <x v="1"/>
    <n v="7"/>
    <n v="112416"/>
    <d v="2025-10-21T00:00:00"/>
    <n v="10"/>
    <n v="21"/>
    <n v="2025"/>
    <x v="9"/>
    <s v="Q4"/>
    <x v="2"/>
  </r>
  <r>
    <s v="O106631"/>
    <x v="211"/>
    <x v="3"/>
    <x v="7"/>
    <x v="2"/>
    <x v="0"/>
    <n v="8"/>
    <n v="112317"/>
    <d v="2026-07-02T00:00:00"/>
    <n v="7"/>
    <n v="2"/>
    <n v="2026"/>
    <x v="10"/>
    <s v="Q3"/>
    <x v="2"/>
  </r>
  <r>
    <s v="O100283"/>
    <x v="255"/>
    <x v="1"/>
    <x v="7"/>
    <x v="4"/>
    <x v="2"/>
    <n v="8"/>
    <n v="112285"/>
    <d v="2025-01-18T00:00:00"/>
    <n v="1"/>
    <n v="18"/>
    <n v="2025"/>
    <x v="6"/>
    <s v="Q1"/>
    <x v="4"/>
  </r>
  <r>
    <s v="O101193"/>
    <x v="166"/>
    <x v="1"/>
    <x v="7"/>
    <x v="0"/>
    <x v="0"/>
    <n v="7"/>
    <n v="112274"/>
    <d v="2025-03-14T00:00:00"/>
    <n v="3"/>
    <n v="14"/>
    <n v="2025"/>
    <x v="5"/>
    <s v="Q1"/>
    <x v="0"/>
  </r>
  <r>
    <s v="O110796"/>
    <x v="564"/>
    <x v="5"/>
    <x v="7"/>
    <x v="1"/>
    <x v="2"/>
    <n v="6"/>
    <n v="112252"/>
    <d v="2026-10-18T00:00:00"/>
    <n v="10"/>
    <n v="18"/>
    <n v="2026"/>
    <x v="9"/>
    <s v="Q4"/>
    <x v="1"/>
  </r>
  <r>
    <s v="O111004"/>
    <x v="710"/>
    <x v="4"/>
    <x v="7"/>
    <x v="0"/>
    <x v="0"/>
    <n v="8"/>
    <n v="112246"/>
    <d v="2026-10-31T00:00:00"/>
    <n v="10"/>
    <n v="31"/>
    <n v="2026"/>
    <x v="9"/>
    <s v="Q4"/>
    <x v="0"/>
  </r>
  <r>
    <s v="O109097"/>
    <x v="281"/>
    <x v="6"/>
    <x v="7"/>
    <x v="2"/>
    <x v="1"/>
    <n v="7"/>
    <n v="112242"/>
    <d v="2026-07-07T00:00:00"/>
    <n v="7"/>
    <n v="7"/>
    <n v="2026"/>
    <x v="10"/>
    <s v="Q3"/>
    <x v="2"/>
  </r>
  <r>
    <s v="O101359"/>
    <x v="627"/>
    <x v="3"/>
    <x v="7"/>
    <x v="3"/>
    <x v="0"/>
    <n v="7"/>
    <n v="112131"/>
    <d v="2025-03-24T00:00:00"/>
    <n v="3"/>
    <n v="24"/>
    <n v="2025"/>
    <x v="5"/>
    <s v="Q1"/>
    <x v="3"/>
  </r>
  <r>
    <s v="O103384"/>
    <x v="586"/>
    <x v="3"/>
    <x v="7"/>
    <x v="4"/>
    <x v="2"/>
    <n v="9"/>
    <n v="111948"/>
    <d v="2025-07-25T00:00:00"/>
    <n v="7"/>
    <n v="25"/>
    <n v="2025"/>
    <x v="10"/>
    <s v="Q3"/>
    <x v="4"/>
  </r>
  <r>
    <s v="O102273"/>
    <x v="443"/>
    <x v="1"/>
    <x v="6"/>
    <x v="2"/>
    <x v="2"/>
    <n v="4"/>
    <n v="111942"/>
    <d v="2025-05-19T00:00:00"/>
    <n v="5"/>
    <n v="19"/>
    <n v="2025"/>
    <x v="3"/>
    <m/>
    <x v="2"/>
  </r>
  <r>
    <s v="O108589"/>
    <x v="256"/>
    <x v="6"/>
    <x v="6"/>
    <x v="4"/>
    <x v="1"/>
    <n v="5"/>
    <n v="111783"/>
    <d v="2026-06-06T00:00:00"/>
    <n v="6"/>
    <n v="6"/>
    <n v="2026"/>
    <x v="2"/>
    <s v="Q2"/>
    <x v="4"/>
  </r>
  <r>
    <s v="O110833"/>
    <x v="654"/>
    <x v="1"/>
    <x v="7"/>
    <x v="2"/>
    <x v="0"/>
    <n v="8"/>
    <n v="111729"/>
    <d v="2026-10-21T00:00:00"/>
    <n v="10"/>
    <n v="21"/>
    <n v="2026"/>
    <x v="9"/>
    <s v="Q4"/>
    <x v="2"/>
  </r>
  <r>
    <s v="O104233"/>
    <x v="125"/>
    <x v="0"/>
    <x v="7"/>
    <x v="2"/>
    <x v="2"/>
    <n v="7"/>
    <n v="111551"/>
    <d v="2025-09-15T00:00:00"/>
    <n v="9"/>
    <n v="15"/>
    <n v="2025"/>
    <x v="1"/>
    <s v="Q3"/>
    <x v="2"/>
  </r>
  <r>
    <s v="O104227"/>
    <x v="312"/>
    <x v="5"/>
    <x v="7"/>
    <x v="1"/>
    <x v="0"/>
    <n v="7"/>
    <n v="111473"/>
    <d v="2025-09-14T00:00:00"/>
    <n v="9"/>
    <n v="14"/>
    <n v="2025"/>
    <x v="1"/>
    <s v="Q3"/>
    <x v="1"/>
  </r>
  <r>
    <s v="O105672"/>
    <x v="514"/>
    <x v="9"/>
    <x v="7"/>
    <x v="1"/>
    <x v="3"/>
    <n v="8"/>
    <n v="111473"/>
    <d v="2025-11-12T00:00:00"/>
    <n v="11"/>
    <n v="12"/>
    <n v="2025"/>
    <x v="0"/>
    <m/>
    <x v="1"/>
  </r>
  <r>
    <s v="O104823"/>
    <x v="51"/>
    <x v="1"/>
    <x v="7"/>
    <x v="0"/>
    <x v="2"/>
    <n v="7"/>
    <n v="111271"/>
    <d v="2025-10-20T00:00:00"/>
    <n v="10"/>
    <n v="20"/>
    <n v="2025"/>
    <x v="9"/>
    <m/>
    <x v="0"/>
  </r>
  <r>
    <s v="O110338"/>
    <x v="264"/>
    <x v="9"/>
    <x v="7"/>
    <x v="2"/>
    <x v="0"/>
    <n v="7"/>
    <n v="111193"/>
    <d v="2026-09-21T00:00:00"/>
    <n v="9"/>
    <n v="21"/>
    <n v="2026"/>
    <x v="1"/>
    <s v="Q3"/>
    <x v="2"/>
  </r>
  <r>
    <s v="O109106"/>
    <x v="559"/>
    <x v="8"/>
    <x v="7"/>
    <x v="3"/>
    <x v="1"/>
    <n v="8"/>
    <n v="111142"/>
    <d v="2026-08-07T00:00:00"/>
    <n v="8"/>
    <n v="7"/>
    <n v="2026"/>
    <x v="8"/>
    <m/>
    <x v="3"/>
  </r>
  <r>
    <s v="O104324"/>
    <x v="538"/>
    <x v="4"/>
    <x v="6"/>
    <x v="4"/>
    <x v="1"/>
    <n v="5"/>
    <n v="111079"/>
    <d v="2025-09-20T00:00:00"/>
    <n v="9"/>
    <n v="20"/>
    <n v="2025"/>
    <x v="1"/>
    <m/>
    <x v="4"/>
  </r>
  <r>
    <s v="O107058"/>
    <x v="113"/>
    <x v="4"/>
    <x v="7"/>
    <x v="4"/>
    <x v="0"/>
    <n v="9"/>
    <n v="111057"/>
    <d v="2026-05-03T00:00:00"/>
    <n v="5"/>
    <n v="3"/>
    <n v="2026"/>
    <x v="3"/>
    <s v="Q2"/>
    <x v="4"/>
  </r>
  <r>
    <s v="O107425"/>
    <x v="102"/>
    <x v="3"/>
    <x v="6"/>
    <x v="2"/>
    <x v="1"/>
    <n v="5"/>
    <n v="110956"/>
    <d v="2026-03-28T00:00:00"/>
    <n v="3"/>
    <n v="28"/>
    <n v="2026"/>
    <x v="5"/>
    <s v="Q1"/>
    <x v="2"/>
  </r>
  <r>
    <s v="O106385"/>
    <x v="735"/>
    <x v="6"/>
    <x v="6"/>
    <x v="3"/>
    <x v="2"/>
    <n v="5"/>
    <n v="110897"/>
    <d v="2026-01-23T00:00:00"/>
    <n v="1"/>
    <n v="23"/>
    <n v="2026"/>
    <x v="6"/>
    <s v="Q1"/>
    <x v="3"/>
  </r>
  <r>
    <s v="O100380"/>
    <x v="45"/>
    <x v="0"/>
    <x v="7"/>
    <x v="0"/>
    <x v="1"/>
    <n v="6"/>
    <n v="110879"/>
    <d v="2025-01-24T00:00:00"/>
    <n v="1"/>
    <n v="24"/>
    <n v="2025"/>
    <x v="6"/>
    <s v="Q1"/>
    <x v="0"/>
  </r>
  <r>
    <s v="O111972"/>
    <x v="533"/>
    <x v="10"/>
    <x v="7"/>
    <x v="3"/>
    <x v="1"/>
    <n v="9"/>
    <n v="110779"/>
    <d v="2026-12-29T00:00:00"/>
    <n v="12"/>
    <n v="29"/>
    <n v="2026"/>
    <x v="7"/>
    <s v="Q4"/>
    <x v="3"/>
  </r>
  <r>
    <s v="O108414"/>
    <x v="50"/>
    <x v="1"/>
    <x v="6"/>
    <x v="3"/>
    <x v="3"/>
    <n v="4"/>
    <n v="110771"/>
    <d v="2026-05-27T00:00:00"/>
    <n v="5"/>
    <n v="27"/>
    <n v="2026"/>
    <x v="3"/>
    <s v="Q2"/>
    <x v="3"/>
  </r>
  <r>
    <s v="O109171"/>
    <x v="315"/>
    <x v="8"/>
    <x v="7"/>
    <x v="4"/>
    <x v="0"/>
    <n v="8"/>
    <n v="110759"/>
    <d v="2026-12-07T00:00:00"/>
    <n v="12"/>
    <n v="7"/>
    <n v="2026"/>
    <x v="7"/>
    <s v="Q4"/>
    <x v="4"/>
  </r>
  <r>
    <s v="O105875"/>
    <x v="463"/>
    <x v="2"/>
    <x v="7"/>
    <x v="1"/>
    <x v="3"/>
    <n v="8"/>
    <n v="110695"/>
    <d v="2025-12-23T00:00:00"/>
    <n v="12"/>
    <n v="23"/>
    <n v="2025"/>
    <x v="7"/>
    <s v="Q4"/>
    <x v="1"/>
  </r>
  <r>
    <s v="O100995"/>
    <x v="124"/>
    <x v="0"/>
    <x v="7"/>
    <x v="4"/>
    <x v="1"/>
    <n v="8"/>
    <n v="110560"/>
    <d v="2025-02-03T00:00:00"/>
    <n v="2"/>
    <n v="3"/>
    <n v="2025"/>
    <x v="4"/>
    <s v="Q1"/>
    <x v="4"/>
  </r>
  <r>
    <s v="O105383"/>
    <x v="332"/>
    <x v="3"/>
    <x v="7"/>
    <x v="3"/>
    <x v="3"/>
    <n v="7"/>
    <n v="110460"/>
    <d v="2025-11-23T00:00:00"/>
    <n v="11"/>
    <n v="23"/>
    <n v="2025"/>
    <x v="0"/>
    <s v="Q4"/>
    <x v="3"/>
  </r>
  <r>
    <s v="O105613"/>
    <x v="118"/>
    <x v="8"/>
    <x v="5"/>
    <x v="0"/>
    <x v="1"/>
    <n v="1"/>
    <n v="110432"/>
    <d v="2025-07-12T00:00:00"/>
    <n v="7"/>
    <n v="12"/>
    <n v="2025"/>
    <x v="10"/>
    <s v="Q3"/>
    <x v="0"/>
  </r>
  <r>
    <s v="O111517"/>
    <x v="591"/>
    <x v="3"/>
    <x v="7"/>
    <x v="0"/>
    <x v="1"/>
    <n v="9"/>
    <n v="110397"/>
    <d v="2026-01-12T00:00:00"/>
    <n v="1"/>
    <n v="12"/>
    <n v="2026"/>
    <x v="6"/>
    <s v="Q1"/>
    <x v="0"/>
  </r>
  <r>
    <s v="O103100"/>
    <x v="76"/>
    <x v="5"/>
    <x v="6"/>
    <x v="4"/>
    <x v="2"/>
    <n v="4"/>
    <n v="110256"/>
    <d v="2025-08-07T00:00:00"/>
    <n v="8"/>
    <n v="7"/>
    <n v="2025"/>
    <x v="8"/>
    <s v="Q3"/>
    <x v="4"/>
  </r>
  <r>
    <s v="O110232"/>
    <x v="360"/>
    <x v="10"/>
    <x v="7"/>
    <x v="3"/>
    <x v="0"/>
    <n v="7"/>
    <n v="110233"/>
    <d v="2026-09-14T00:00:00"/>
    <n v="9"/>
    <n v="14"/>
    <n v="2026"/>
    <x v="1"/>
    <s v="Q3"/>
    <x v="3"/>
  </r>
  <r>
    <s v="O104425"/>
    <x v="120"/>
    <x v="2"/>
    <x v="7"/>
    <x v="3"/>
    <x v="3"/>
    <n v="9"/>
    <n v="110114"/>
    <d v="2025-09-26T00:00:00"/>
    <n v="9"/>
    <n v="26"/>
    <n v="2025"/>
    <x v="1"/>
    <s v="Q3"/>
    <x v="3"/>
  </r>
  <r>
    <s v="O102630"/>
    <x v="656"/>
    <x v="4"/>
    <x v="7"/>
    <x v="0"/>
    <x v="2"/>
    <n v="8"/>
    <n v="110105"/>
    <d v="2025-09-06T00:00:00"/>
    <n v="9"/>
    <n v="6"/>
    <n v="2025"/>
    <x v="1"/>
    <s v="Q3"/>
    <x v="0"/>
  </r>
  <r>
    <s v="O105378"/>
    <x v="85"/>
    <x v="6"/>
    <x v="7"/>
    <x v="4"/>
    <x v="2"/>
    <n v="8"/>
    <n v="110052"/>
    <d v="2025-11-23T00:00:00"/>
    <n v="11"/>
    <n v="23"/>
    <n v="2025"/>
    <x v="0"/>
    <s v="Q4"/>
    <x v="4"/>
  </r>
  <r>
    <s v="O102905"/>
    <x v="636"/>
    <x v="5"/>
    <x v="6"/>
    <x v="1"/>
    <x v="1"/>
    <n v="4"/>
    <n v="110017"/>
    <d v="2025-06-26T00:00:00"/>
    <n v="6"/>
    <n v="26"/>
    <n v="2025"/>
    <x v="2"/>
    <s v="Q2"/>
    <x v="1"/>
  </r>
  <r>
    <s v="O103263"/>
    <x v="346"/>
    <x v="5"/>
    <x v="7"/>
    <x v="0"/>
    <x v="0"/>
    <n v="6"/>
    <n v="109954"/>
    <d v="2025-07-18T00:00:00"/>
    <n v="7"/>
    <n v="18"/>
    <n v="2025"/>
    <x v="10"/>
    <m/>
    <x v="0"/>
  </r>
  <r>
    <s v="O109596"/>
    <x v="82"/>
    <x v="3"/>
    <x v="7"/>
    <x v="2"/>
    <x v="2"/>
    <n v="8"/>
    <n v="109874"/>
    <d v="2026-06-08T00:00:00"/>
    <n v="6"/>
    <n v="8"/>
    <n v="2026"/>
    <x v="2"/>
    <s v="Q2"/>
    <x v="2"/>
  </r>
  <r>
    <s v="O106472"/>
    <x v="567"/>
    <x v="8"/>
    <x v="5"/>
    <x v="0"/>
    <x v="1"/>
    <n v="1"/>
    <n v="109821"/>
    <d v="2026-01-29T00:00:00"/>
    <n v="1"/>
    <n v="29"/>
    <n v="2026"/>
    <x v="6"/>
    <s v="Q1"/>
    <x v="0"/>
  </r>
  <r>
    <s v="O104043"/>
    <x v="352"/>
    <x v="0"/>
    <x v="6"/>
    <x v="1"/>
    <x v="3"/>
    <n v="4"/>
    <n v="109815"/>
    <d v="2025-03-09T00:00:00"/>
    <n v="3"/>
    <n v="9"/>
    <n v="2025"/>
    <x v="5"/>
    <s v="Q1"/>
    <x v="1"/>
  </r>
  <r>
    <s v="O110293"/>
    <x v="263"/>
    <x v="1"/>
    <x v="7"/>
    <x v="2"/>
    <x v="2"/>
    <n v="7"/>
    <n v="109766"/>
    <d v="2026-09-18T00:00:00"/>
    <n v="9"/>
    <n v="18"/>
    <n v="2026"/>
    <x v="1"/>
    <s v="Q3"/>
    <x v="2"/>
  </r>
  <r>
    <s v="O107462"/>
    <x v="181"/>
    <x v="1"/>
    <x v="7"/>
    <x v="1"/>
    <x v="3"/>
    <n v="6"/>
    <n v="109729"/>
    <d v="2026-03-30T00:00:00"/>
    <n v="3"/>
    <n v="30"/>
    <n v="2026"/>
    <x v="5"/>
    <s v="Q1"/>
    <x v="1"/>
  </r>
  <r>
    <s v="O105609"/>
    <x v="579"/>
    <x v="0"/>
    <x v="6"/>
    <x v="1"/>
    <x v="1"/>
    <n v="4"/>
    <n v="109725"/>
    <d v="2025-07-12T00:00:00"/>
    <n v="7"/>
    <n v="12"/>
    <n v="2025"/>
    <x v="10"/>
    <s v="Q3"/>
    <x v="1"/>
  </r>
  <r>
    <s v="O106032"/>
    <x v="230"/>
    <x v="0"/>
    <x v="7"/>
    <x v="2"/>
    <x v="3"/>
    <n v="7"/>
    <n v="109707"/>
    <d v="2026-02-01T00:00:00"/>
    <n v="2"/>
    <n v="1"/>
    <n v="2026"/>
    <x v="4"/>
    <s v="Q1"/>
    <x v="2"/>
  </r>
  <r>
    <s v="O108917"/>
    <x v="627"/>
    <x v="5"/>
    <x v="6"/>
    <x v="4"/>
    <x v="3"/>
    <n v="4"/>
    <n v="109705"/>
    <d v="2026-06-26T00:00:00"/>
    <n v="6"/>
    <n v="26"/>
    <n v="2026"/>
    <x v="2"/>
    <s v="Q2"/>
    <x v="4"/>
  </r>
  <r>
    <s v="O102786"/>
    <x v="347"/>
    <x v="10"/>
    <x v="7"/>
    <x v="2"/>
    <x v="1"/>
    <n v="9"/>
    <n v="109687"/>
    <d v="2025-06-19T00:00:00"/>
    <n v="6"/>
    <n v="19"/>
    <n v="2025"/>
    <x v="2"/>
    <s v="Q2"/>
    <x v="2"/>
  </r>
  <r>
    <s v="O102226"/>
    <x v="786"/>
    <x v="9"/>
    <x v="6"/>
    <x v="1"/>
    <x v="2"/>
    <n v="5"/>
    <n v="109675"/>
    <d v="2025-05-16T00:00:00"/>
    <n v="5"/>
    <n v="16"/>
    <n v="2025"/>
    <x v="3"/>
    <s v="Q2"/>
    <x v="1"/>
  </r>
  <r>
    <s v="O105759"/>
    <x v="613"/>
    <x v="6"/>
    <x v="6"/>
    <x v="4"/>
    <x v="0"/>
    <n v="5"/>
    <n v="109534"/>
    <d v="2025-12-16T00:00:00"/>
    <n v="12"/>
    <n v="16"/>
    <n v="2025"/>
    <x v="7"/>
    <s v="Q4"/>
    <x v="4"/>
  </r>
  <r>
    <s v="O104701"/>
    <x v="501"/>
    <x v="10"/>
    <x v="7"/>
    <x v="1"/>
    <x v="3"/>
    <n v="6"/>
    <n v="109493"/>
    <d v="2025-10-13T00:00:00"/>
    <n v="10"/>
    <n v="13"/>
    <n v="2025"/>
    <x v="9"/>
    <s v="Q4"/>
    <x v="1"/>
  </r>
  <r>
    <s v="O105933"/>
    <x v="471"/>
    <x v="3"/>
    <x v="7"/>
    <x v="1"/>
    <x v="0"/>
    <n v="7"/>
    <n v="109400"/>
    <d v="2025-12-27T00:00:00"/>
    <n v="12"/>
    <n v="27"/>
    <n v="2025"/>
    <x v="7"/>
    <s v="Q4"/>
    <x v="1"/>
  </r>
  <r>
    <s v="O104854"/>
    <x v="146"/>
    <x v="0"/>
    <x v="7"/>
    <x v="4"/>
    <x v="3"/>
    <n v="9"/>
    <n v="109389"/>
    <d v="2025-10-22T00:00:00"/>
    <n v="10"/>
    <n v="22"/>
    <n v="2025"/>
    <x v="9"/>
    <s v="Q4"/>
    <x v="4"/>
  </r>
  <r>
    <s v="O103049"/>
    <x v="242"/>
    <x v="1"/>
    <x v="7"/>
    <x v="0"/>
    <x v="0"/>
    <n v="8"/>
    <n v="109318"/>
    <d v="2025-05-07T00:00:00"/>
    <n v="5"/>
    <n v="7"/>
    <n v="2025"/>
    <x v="3"/>
    <s v="Q2"/>
    <x v="0"/>
  </r>
  <r>
    <s v="O104616"/>
    <x v="374"/>
    <x v="3"/>
    <x v="7"/>
    <x v="2"/>
    <x v="3"/>
    <n v="6"/>
    <n v="109290"/>
    <d v="2025-08-10T00:00:00"/>
    <n v="8"/>
    <n v="10"/>
    <n v="2025"/>
    <x v="8"/>
    <s v="Q3"/>
    <x v="2"/>
  </r>
  <r>
    <s v="O107180"/>
    <x v="434"/>
    <x v="2"/>
    <x v="6"/>
    <x v="0"/>
    <x v="1"/>
    <n v="4"/>
    <n v="109288"/>
    <d v="2026-03-13T00:00:00"/>
    <n v="3"/>
    <n v="13"/>
    <n v="2026"/>
    <x v="5"/>
    <s v="Q1"/>
    <x v="0"/>
  </r>
  <r>
    <s v="O111980"/>
    <x v="321"/>
    <x v="2"/>
    <x v="7"/>
    <x v="4"/>
    <x v="0"/>
    <n v="9"/>
    <n v="109286"/>
    <d v="2026-12-29T00:00:00"/>
    <n v="12"/>
    <n v="29"/>
    <n v="2026"/>
    <x v="7"/>
    <s v="Q4"/>
    <x v="4"/>
  </r>
  <r>
    <s v="O104761"/>
    <x v="679"/>
    <x v="3"/>
    <x v="6"/>
    <x v="1"/>
    <x v="2"/>
    <n v="4"/>
    <n v="109253"/>
    <d v="2025-10-17T00:00:00"/>
    <n v="10"/>
    <n v="17"/>
    <n v="2025"/>
    <x v="9"/>
    <s v="Q4"/>
    <x v="1"/>
  </r>
  <r>
    <s v="O103565"/>
    <x v="351"/>
    <x v="0"/>
    <x v="6"/>
    <x v="3"/>
    <x v="0"/>
    <n v="5"/>
    <n v="109131"/>
    <d v="2025-05-08T00:00:00"/>
    <n v="5"/>
    <n v="8"/>
    <n v="2025"/>
    <x v="3"/>
    <s v="Q2"/>
    <x v="3"/>
  </r>
  <r>
    <s v="O101983"/>
    <x v="760"/>
    <x v="3"/>
    <x v="6"/>
    <x v="0"/>
    <x v="2"/>
    <n v="5"/>
    <n v="109043"/>
    <d v="2025-01-05T00:00:00"/>
    <n v="1"/>
    <n v="5"/>
    <n v="2025"/>
    <x v="6"/>
    <s v="Q1"/>
    <x v="0"/>
  </r>
  <r>
    <s v="O104809"/>
    <x v="49"/>
    <x v="6"/>
    <x v="7"/>
    <x v="3"/>
    <x v="2"/>
    <n v="6"/>
    <n v="109031"/>
    <d v="2025-10-20T00:00:00"/>
    <n v="10"/>
    <n v="20"/>
    <n v="2025"/>
    <x v="9"/>
    <s v="Q4"/>
    <x v="3"/>
  </r>
  <r>
    <s v="O104821"/>
    <x v="374"/>
    <x v="9"/>
    <x v="7"/>
    <x v="2"/>
    <x v="0"/>
    <n v="6"/>
    <n v="109016"/>
    <d v="2025-10-20T00:00:00"/>
    <n v="10"/>
    <n v="20"/>
    <n v="2025"/>
    <x v="9"/>
    <s v="Q4"/>
    <x v="2"/>
  </r>
  <r>
    <s v="O111176"/>
    <x v="99"/>
    <x v="0"/>
    <x v="6"/>
    <x v="4"/>
    <x v="1"/>
    <n v="5"/>
    <n v="108991"/>
    <d v="2026-10-11T00:00:00"/>
    <n v="10"/>
    <n v="11"/>
    <n v="2026"/>
    <x v="9"/>
    <s v="Q4"/>
    <x v="4"/>
  </r>
  <r>
    <s v="O103436"/>
    <x v="738"/>
    <x v="8"/>
    <x v="7"/>
    <x v="0"/>
    <x v="3"/>
    <n v="8"/>
    <n v="108946"/>
    <d v="2025-07-28T00:00:00"/>
    <n v="7"/>
    <n v="28"/>
    <n v="2025"/>
    <x v="10"/>
    <s v="Q3"/>
    <x v="0"/>
  </r>
  <r>
    <s v="O104582"/>
    <x v="460"/>
    <x v="2"/>
    <x v="7"/>
    <x v="3"/>
    <x v="3"/>
    <n v="8"/>
    <n v="108914"/>
    <d v="2025-06-10T00:00:00"/>
    <n v="6"/>
    <n v="10"/>
    <n v="2025"/>
    <x v="2"/>
    <s v="Q2"/>
    <x v="3"/>
  </r>
  <r>
    <s v="O109533"/>
    <x v="546"/>
    <x v="8"/>
    <x v="7"/>
    <x v="3"/>
    <x v="1"/>
    <n v="6"/>
    <n v="108800"/>
    <d v="2026-03-08T00:00:00"/>
    <n v="3"/>
    <n v="8"/>
    <n v="2026"/>
    <x v="5"/>
    <s v="Q1"/>
    <x v="3"/>
  </r>
  <r>
    <s v="O108989"/>
    <x v="574"/>
    <x v="3"/>
    <x v="5"/>
    <x v="3"/>
    <x v="3"/>
    <n v="1"/>
    <n v="108759"/>
    <d v="2026-01-07T00:00:00"/>
    <n v="1"/>
    <n v="7"/>
    <n v="2026"/>
    <x v="6"/>
    <s v="Q1"/>
    <x v="3"/>
  </r>
  <r>
    <s v="O104993"/>
    <x v="546"/>
    <x v="10"/>
    <x v="7"/>
    <x v="2"/>
    <x v="1"/>
    <n v="9"/>
    <n v="108757"/>
    <d v="2025-10-31T00:00:00"/>
    <n v="10"/>
    <n v="31"/>
    <n v="2025"/>
    <x v="9"/>
    <s v="Q4"/>
    <x v="2"/>
  </r>
  <r>
    <s v="O103797"/>
    <x v="189"/>
    <x v="6"/>
    <x v="6"/>
    <x v="2"/>
    <x v="0"/>
    <n v="5"/>
    <n v="108753"/>
    <d v="2025-08-19T00:00:00"/>
    <n v="8"/>
    <n v="19"/>
    <n v="2025"/>
    <x v="8"/>
    <s v="Q3"/>
    <x v="2"/>
  </r>
  <r>
    <s v="O102826"/>
    <x v="265"/>
    <x v="2"/>
    <x v="5"/>
    <x v="4"/>
    <x v="2"/>
    <n v="1"/>
    <n v="108674"/>
    <d v="2025-06-21T00:00:00"/>
    <n v="6"/>
    <n v="21"/>
    <n v="2025"/>
    <x v="2"/>
    <s v="Q2"/>
    <x v="4"/>
  </r>
  <r>
    <s v="O111261"/>
    <x v="32"/>
    <x v="8"/>
    <x v="7"/>
    <x v="4"/>
    <x v="2"/>
    <n v="8"/>
    <n v="108655"/>
    <d v="2026-11-16T00:00:00"/>
    <n v="11"/>
    <n v="16"/>
    <n v="2026"/>
    <x v="0"/>
    <s v="Q4"/>
    <x v="4"/>
  </r>
  <r>
    <s v="O100167"/>
    <x v="216"/>
    <x v="5"/>
    <x v="7"/>
    <x v="3"/>
    <x v="1"/>
    <n v="7"/>
    <n v="108571"/>
    <d v="2025-11-01T00:00:00"/>
    <n v="11"/>
    <n v="1"/>
    <n v="2025"/>
    <x v="0"/>
    <s v="Q4"/>
    <x v="3"/>
  </r>
  <r>
    <s v="O108527"/>
    <x v="405"/>
    <x v="5"/>
    <x v="6"/>
    <x v="1"/>
    <x v="1"/>
    <n v="5"/>
    <n v="108557"/>
    <d v="2026-02-06T00:00:00"/>
    <n v="2"/>
    <n v="6"/>
    <n v="2026"/>
    <x v="4"/>
    <s v="Q1"/>
    <x v="1"/>
  </r>
  <r>
    <s v="O106704"/>
    <x v="674"/>
    <x v="5"/>
    <x v="7"/>
    <x v="0"/>
    <x v="1"/>
    <n v="9"/>
    <n v="108535"/>
    <d v="2026-12-02T00:00:00"/>
    <n v="12"/>
    <n v="2"/>
    <n v="2026"/>
    <x v="7"/>
    <s v="Q4"/>
    <x v="0"/>
  </r>
  <r>
    <s v="O111364"/>
    <x v="378"/>
    <x v="8"/>
    <x v="7"/>
    <x v="3"/>
    <x v="2"/>
    <n v="6"/>
    <n v="108519"/>
    <d v="2026-11-22T00:00:00"/>
    <n v="11"/>
    <n v="22"/>
    <n v="2026"/>
    <x v="0"/>
    <m/>
    <x v="3"/>
  </r>
  <r>
    <s v="O108724"/>
    <x v="7"/>
    <x v="6"/>
    <x v="7"/>
    <x v="2"/>
    <x v="0"/>
    <n v="6"/>
    <n v="108504"/>
    <d v="2026-06-14T00:00:00"/>
    <n v="6"/>
    <n v="14"/>
    <n v="2026"/>
    <x v="2"/>
    <s v="Q2"/>
    <x v="2"/>
  </r>
  <r>
    <s v="O102130"/>
    <x v="763"/>
    <x v="0"/>
    <x v="6"/>
    <x v="4"/>
    <x v="3"/>
    <n v="5"/>
    <n v="108503"/>
    <d v="2025-10-05T00:00:00"/>
    <n v="10"/>
    <n v="5"/>
    <n v="2025"/>
    <x v="9"/>
    <s v="Q4"/>
    <x v="4"/>
  </r>
  <r>
    <s v="O101437"/>
    <x v="627"/>
    <x v="1"/>
    <x v="7"/>
    <x v="0"/>
    <x v="2"/>
    <n v="8"/>
    <n v="108480"/>
    <d v="2025-03-29T00:00:00"/>
    <n v="3"/>
    <n v="29"/>
    <n v="2025"/>
    <x v="5"/>
    <s v="Q1"/>
    <x v="0"/>
  </r>
  <r>
    <s v="O101230"/>
    <x v="426"/>
    <x v="3"/>
    <x v="7"/>
    <x v="3"/>
    <x v="1"/>
    <n v="9"/>
    <n v="108434"/>
    <d v="2025-03-16T00:00:00"/>
    <n v="3"/>
    <n v="16"/>
    <n v="2025"/>
    <x v="5"/>
    <s v="Q1"/>
    <x v="3"/>
  </r>
  <r>
    <s v="O105644"/>
    <x v="699"/>
    <x v="4"/>
    <x v="7"/>
    <x v="2"/>
    <x v="1"/>
    <n v="9"/>
    <n v="108303"/>
    <d v="2025-09-12T00:00:00"/>
    <n v="9"/>
    <n v="12"/>
    <n v="2025"/>
    <x v="1"/>
    <s v="Q3"/>
    <x v="2"/>
  </r>
  <r>
    <s v="O111498"/>
    <x v="424"/>
    <x v="4"/>
    <x v="7"/>
    <x v="2"/>
    <x v="2"/>
    <n v="7"/>
    <n v="108301"/>
    <d v="2026-11-30T00:00:00"/>
    <n v="11"/>
    <n v="30"/>
    <n v="2026"/>
    <x v="0"/>
    <s v="Q4"/>
    <x v="2"/>
  </r>
  <r>
    <s v="O103912"/>
    <x v="63"/>
    <x v="8"/>
    <x v="7"/>
    <x v="3"/>
    <x v="1"/>
    <n v="6"/>
    <n v="108229"/>
    <d v="2025-08-26T00:00:00"/>
    <n v="8"/>
    <n v="26"/>
    <n v="2025"/>
    <x v="8"/>
    <s v="Q3"/>
    <x v="3"/>
  </r>
  <r>
    <s v="O100395"/>
    <x v="104"/>
    <x v="10"/>
    <x v="7"/>
    <x v="3"/>
    <x v="1"/>
    <n v="7"/>
    <n v="108202"/>
    <d v="2025-01-24T00:00:00"/>
    <n v="1"/>
    <n v="24"/>
    <n v="2025"/>
    <x v="6"/>
    <s v="Q1"/>
    <x v="3"/>
  </r>
  <r>
    <s v="O100008"/>
    <x v="490"/>
    <x v="6"/>
    <x v="5"/>
    <x v="4"/>
    <x v="3"/>
    <n v="1"/>
    <n v="108075"/>
    <d v="2025-01-01T00:00:00"/>
    <n v="1"/>
    <n v="1"/>
    <n v="2025"/>
    <x v="6"/>
    <s v="Q1"/>
    <x v="4"/>
  </r>
  <r>
    <s v="O101964"/>
    <x v="71"/>
    <x v="5"/>
    <x v="7"/>
    <x v="3"/>
    <x v="1"/>
    <n v="6"/>
    <n v="108070"/>
    <d v="2025-04-30T00:00:00"/>
    <n v="4"/>
    <n v="30"/>
    <n v="2025"/>
    <x v="11"/>
    <s v="Q2"/>
    <x v="3"/>
  </r>
  <r>
    <s v="O109395"/>
    <x v="640"/>
    <x v="10"/>
    <x v="7"/>
    <x v="3"/>
    <x v="1"/>
    <n v="9"/>
    <n v="108032"/>
    <d v="2026-07-25T00:00:00"/>
    <n v="7"/>
    <n v="25"/>
    <n v="2026"/>
    <x v="10"/>
    <s v="Q3"/>
    <x v="3"/>
  </r>
  <r>
    <s v="O110771"/>
    <x v="191"/>
    <x v="3"/>
    <x v="6"/>
    <x v="2"/>
    <x v="3"/>
    <n v="4"/>
    <n v="107936"/>
    <d v="2026-10-17T00:00:00"/>
    <n v="10"/>
    <n v="17"/>
    <n v="2026"/>
    <x v="9"/>
    <s v="Q4"/>
    <x v="2"/>
  </r>
  <r>
    <s v="O109478"/>
    <x v="296"/>
    <x v="1"/>
    <x v="5"/>
    <x v="4"/>
    <x v="3"/>
    <n v="1"/>
    <n v="107769"/>
    <d v="2026-07-30T00:00:00"/>
    <n v="7"/>
    <n v="30"/>
    <n v="2026"/>
    <x v="10"/>
    <s v="Q3"/>
    <x v="4"/>
  </r>
  <r>
    <s v="O100161"/>
    <x v="222"/>
    <x v="4"/>
    <x v="7"/>
    <x v="2"/>
    <x v="1"/>
    <n v="7"/>
    <n v="107766"/>
    <d v="2025-10-01T00:00:00"/>
    <n v="10"/>
    <n v="1"/>
    <n v="2025"/>
    <x v="9"/>
    <s v="Q4"/>
    <x v="2"/>
  </r>
  <r>
    <s v="O105332"/>
    <x v="50"/>
    <x v="9"/>
    <x v="7"/>
    <x v="2"/>
    <x v="0"/>
    <n v="9"/>
    <n v="107765"/>
    <d v="2025-11-20T00:00:00"/>
    <n v="11"/>
    <n v="20"/>
    <n v="2025"/>
    <x v="0"/>
    <s v="Q4"/>
    <x v="2"/>
  </r>
  <r>
    <s v="O106164"/>
    <x v="574"/>
    <x v="4"/>
    <x v="7"/>
    <x v="3"/>
    <x v="3"/>
    <n v="8"/>
    <n v="107733"/>
    <d v="2026-10-01T00:00:00"/>
    <n v="10"/>
    <n v="1"/>
    <n v="2026"/>
    <x v="9"/>
    <s v="Q4"/>
    <x v="3"/>
  </r>
  <r>
    <s v="O110514"/>
    <x v="212"/>
    <x v="9"/>
    <x v="6"/>
    <x v="3"/>
    <x v="0"/>
    <n v="4"/>
    <n v="107732"/>
    <d v="2026-01-10T00:00:00"/>
    <n v="1"/>
    <n v="10"/>
    <n v="2026"/>
    <x v="6"/>
    <s v="Q1"/>
    <x v="3"/>
  </r>
  <r>
    <s v="O101754"/>
    <x v="44"/>
    <x v="8"/>
    <x v="7"/>
    <x v="2"/>
    <x v="3"/>
    <n v="7"/>
    <n v="107716"/>
    <d v="2025-04-17T00:00:00"/>
    <n v="4"/>
    <n v="17"/>
    <n v="2025"/>
    <x v="11"/>
    <s v="Q2"/>
    <x v="2"/>
  </r>
  <r>
    <s v="O103013"/>
    <x v="724"/>
    <x v="6"/>
    <x v="1"/>
    <x v="3"/>
    <x v="2"/>
    <n v="6"/>
    <n v="107633"/>
    <d v="2025-02-07T00:00:00"/>
    <n v="2"/>
    <n v="7"/>
    <n v="2025"/>
    <x v="4"/>
    <s v="Q1"/>
    <x v="3"/>
  </r>
  <r>
    <s v="O101475"/>
    <x v="470"/>
    <x v="3"/>
    <x v="7"/>
    <x v="4"/>
    <x v="2"/>
    <n v="6"/>
    <n v="107580"/>
    <d v="2025-03-31T00:00:00"/>
    <n v="3"/>
    <n v="31"/>
    <n v="2025"/>
    <x v="5"/>
    <s v="Q1"/>
    <x v="4"/>
  </r>
  <r>
    <s v="O107348"/>
    <x v="126"/>
    <x v="1"/>
    <x v="6"/>
    <x v="3"/>
    <x v="1"/>
    <n v="5"/>
    <n v="107511"/>
    <d v="2026-03-23T00:00:00"/>
    <n v="3"/>
    <n v="23"/>
    <n v="2026"/>
    <x v="5"/>
    <s v="Q1"/>
    <x v="3"/>
  </r>
  <r>
    <s v="O110282"/>
    <x v="794"/>
    <x v="3"/>
    <x v="7"/>
    <x v="2"/>
    <x v="1"/>
    <n v="8"/>
    <n v="107499"/>
    <d v="2026-09-17T00:00:00"/>
    <n v="9"/>
    <n v="17"/>
    <n v="2026"/>
    <x v="1"/>
    <s v="Q3"/>
    <x v="2"/>
  </r>
  <r>
    <s v="O102007"/>
    <x v="0"/>
    <x v="0"/>
    <x v="6"/>
    <x v="0"/>
    <x v="1"/>
    <n v="4"/>
    <n v="107458"/>
    <d v="2025-02-05T00:00:00"/>
    <n v="2"/>
    <n v="5"/>
    <n v="2025"/>
    <x v="4"/>
    <s v="Q1"/>
    <x v="0"/>
  </r>
  <r>
    <s v="O110184"/>
    <x v="137"/>
    <x v="4"/>
    <x v="7"/>
    <x v="1"/>
    <x v="1"/>
    <n v="7"/>
    <n v="107383"/>
    <d v="2026-11-09T00:00:00"/>
    <n v="11"/>
    <n v="9"/>
    <n v="2026"/>
    <x v="0"/>
    <s v="Q4"/>
    <x v="1"/>
  </r>
  <r>
    <s v="O106557"/>
    <x v="423"/>
    <x v="10"/>
    <x v="7"/>
    <x v="3"/>
    <x v="3"/>
    <n v="6"/>
    <n v="107338"/>
    <d v="2026-03-02T00:00:00"/>
    <n v="3"/>
    <n v="2"/>
    <n v="2026"/>
    <x v="5"/>
    <s v="Q1"/>
    <x v="3"/>
  </r>
  <r>
    <s v="O105124"/>
    <x v="510"/>
    <x v="8"/>
    <x v="6"/>
    <x v="1"/>
    <x v="3"/>
    <n v="4"/>
    <n v="107296"/>
    <d v="2025-08-11T00:00:00"/>
    <n v="8"/>
    <n v="11"/>
    <n v="2025"/>
    <x v="8"/>
    <s v="Q3"/>
    <x v="1"/>
  </r>
  <r>
    <s v="O106051"/>
    <x v="61"/>
    <x v="10"/>
    <x v="6"/>
    <x v="1"/>
    <x v="3"/>
    <n v="5"/>
    <n v="107243"/>
    <d v="2026-03-01T00:00:00"/>
    <n v="3"/>
    <n v="1"/>
    <n v="2026"/>
    <x v="5"/>
    <s v="Q1"/>
    <x v="1"/>
  </r>
  <r>
    <s v="O106341"/>
    <x v="228"/>
    <x v="3"/>
    <x v="7"/>
    <x v="3"/>
    <x v="0"/>
    <n v="6"/>
    <n v="107190"/>
    <d v="2026-01-21T00:00:00"/>
    <n v="1"/>
    <n v="21"/>
    <n v="2026"/>
    <x v="6"/>
    <s v="Q1"/>
    <x v="3"/>
  </r>
  <r>
    <s v="O100156"/>
    <x v="313"/>
    <x v="0"/>
    <x v="7"/>
    <x v="3"/>
    <x v="3"/>
    <n v="6"/>
    <n v="107086"/>
    <d v="2025-10-01T00:00:00"/>
    <n v="10"/>
    <n v="1"/>
    <n v="2025"/>
    <x v="9"/>
    <s v="Q4"/>
    <x v="3"/>
  </r>
  <r>
    <s v="O105181"/>
    <x v="375"/>
    <x v="9"/>
    <x v="7"/>
    <x v="2"/>
    <x v="0"/>
    <n v="7"/>
    <n v="107086"/>
    <d v="2025-11-11T00:00:00"/>
    <n v="11"/>
    <n v="11"/>
    <n v="2025"/>
    <x v="0"/>
    <s v="Q4"/>
    <x v="2"/>
  </r>
  <r>
    <s v="O111535"/>
    <x v="734"/>
    <x v="5"/>
    <x v="7"/>
    <x v="0"/>
    <x v="1"/>
    <n v="7"/>
    <n v="107084"/>
    <d v="2026-02-12T00:00:00"/>
    <n v="2"/>
    <n v="12"/>
    <n v="2026"/>
    <x v="4"/>
    <s v="Q1"/>
    <x v="0"/>
  </r>
  <r>
    <s v="O111683"/>
    <x v="124"/>
    <x v="8"/>
    <x v="6"/>
    <x v="4"/>
    <x v="2"/>
    <n v="5"/>
    <n v="107078"/>
    <d v="2026-11-12T00:00:00"/>
    <n v="11"/>
    <n v="12"/>
    <n v="2026"/>
    <x v="0"/>
    <s v="Q4"/>
    <x v="4"/>
  </r>
  <r>
    <s v="O109219"/>
    <x v="135"/>
    <x v="8"/>
    <x v="5"/>
    <x v="2"/>
    <x v="3"/>
    <n v="1"/>
    <n v="106908"/>
    <d v="2026-07-15T00:00:00"/>
    <n v="7"/>
    <n v="15"/>
    <n v="2026"/>
    <x v="10"/>
    <s v="Q3"/>
    <x v="2"/>
  </r>
  <r>
    <s v="O111420"/>
    <x v="691"/>
    <x v="5"/>
    <x v="6"/>
    <x v="3"/>
    <x v="0"/>
    <n v="5"/>
    <n v="106894"/>
    <d v="2026-11-25T00:00:00"/>
    <n v="11"/>
    <n v="25"/>
    <n v="2026"/>
    <x v="0"/>
    <m/>
    <x v="3"/>
  </r>
  <r>
    <s v="O111776"/>
    <x v="384"/>
    <x v="0"/>
    <x v="7"/>
    <x v="3"/>
    <x v="0"/>
    <n v="9"/>
    <n v="106832"/>
    <d v="2026-12-17T00:00:00"/>
    <n v="12"/>
    <n v="17"/>
    <n v="2026"/>
    <x v="7"/>
    <s v="Q4"/>
    <x v="3"/>
  </r>
  <r>
    <s v="O102701"/>
    <x v="198"/>
    <x v="9"/>
    <x v="6"/>
    <x v="0"/>
    <x v="1"/>
    <n v="5"/>
    <n v="106731"/>
    <d v="2025-06-14T00:00:00"/>
    <n v="6"/>
    <n v="14"/>
    <n v="2025"/>
    <x v="2"/>
    <s v="Q2"/>
    <x v="0"/>
  </r>
  <r>
    <s v="O111276"/>
    <x v="119"/>
    <x v="10"/>
    <x v="7"/>
    <x v="2"/>
    <x v="0"/>
    <n v="8"/>
    <n v="106679"/>
    <d v="2026-11-17T00:00:00"/>
    <n v="11"/>
    <n v="17"/>
    <n v="2026"/>
    <x v="0"/>
    <s v="Q4"/>
    <x v="2"/>
  </r>
  <r>
    <s v="O102757"/>
    <x v="795"/>
    <x v="3"/>
    <x v="6"/>
    <x v="1"/>
    <x v="1"/>
    <n v="5"/>
    <n v="106599"/>
    <d v="2025-06-17T00:00:00"/>
    <n v="6"/>
    <n v="17"/>
    <n v="2025"/>
    <x v="2"/>
    <s v="Q2"/>
    <x v="1"/>
  </r>
  <r>
    <s v="O105876"/>
    <x v="206"/>
    <x v="0"/>
    <x v="7"/>
    <x v="0"/>
    <x v="0"/>
    <n v="9"/>
    <n v="106592"/>
    <d v="2025-12-23T00:00:00"/>
    <n v="12"/>
    <n v="23"/>
    <n v="2025"/>
    <x v="7"/>
    <s v="Q4"/>
    <x v="0"/>
  </r>
  <r>
    <s v="O110920"/>
    <x v="462"/>
    <x v="4"/>
    <x v="7"/>
    <x v="5"/>
    <x v="1"/>
    <n v="9"/>
    <n v="106587"/>
    <d v="2026-10-26T00:00:00"/>
    <n v="10"/>
    <n v="26"/>
    <n v="2026"/>
    <x v="9"/>
    <s v="Q4"/>
    <x v="5"/>
  </r>
  <r>
    <s v="O108012"/>
    <x v="107"/>
    <x v="5"/>
    <x v="6"/>
    <x v="2"/>
    <x v="1"/>
    <n v="4"/>
    <n v="106532"/>
    <d v="2026-02-05T00:00:00"/>
    <n v="2"/>
    <n v="5"/>
    <n v="2026"/>
    <x v="4"/>
    <s v="Q1"/>
    <x v="2"/>
  </r>
  <r>
    <s v="O105861"/>
    <x v="231"/>
    <x v="8"/>
    <x v="6"/>
    <x v="0"/>
    <x v="0"/>
    <n v="5"/>
    <n v="106473"/>
    <d v="2025-12-23T00:00:00"/>
    <n v="12"/>
    <n v="23"/>
    <n v="2025"/>
    <x v="7"/>
    <s v="Q4"/>
    <x v="0"/>
  </r>
  <r>
    <s v="O110018"/>
    <x v="762"/>
    <x v="1"/>
    <x v="7"/>
    <x v="0"/>
    <x v="1"/>
    <n v="6"/>
    <n v="106427"/>
    <d v="2026-01-09T00:00:00"/>
    <n v="1"/>
    <n v="9"/>
    <n v="2026"/>
    <x v="6"/>
    <s v="Q1"/>
    <x v="0"/>
  </r>
  <r>
    <s v="O100377"/>
    <x v="629"/>
    <x v="6"/>
    <x v="5"/>
    <x v="4"/>
    <x v="3"/>
    <n v="1"/>
    <n v="106328"/>
    <d v="2025-01-23T00:00:00"/>
    <n v="1"/>
    <n v="23"/>
    <n v="2025"/>
    <x v="6"/>
    <s v="Q1"/>
    <x v="4"/>
  </r>
  <r>
    <s v="O110584"/>
    <x v="254"/>
    <x v="0"/>
    <x v="6"/>
    <x v="3"/>
    <x v="1"/>
    <n v="4"/>
    <n v="106040"/>
    <d v="2026-05-10T00:00:00"/>
    <n v="5"/>
    <n v="10"/>
    <n v="2026"/>
    <x v="3"/>
    <s v="Q2"/>
    <x v="3"/>
  </r>
  <r>
    <s v="O106333"/>
    <x v="192"/>
    <x v="0"/>
    <x v="6"/>
    <x v="2"/>
    <x v="3"/>
    <n v="4"/>
    <n v="105844"/>
    <d v="2026-01-20T00:00:00"/>
    <n v="1"/>
    <n v="20"/>
    <n v="2026"/>
    <x v="6"/>
    <s v="Q1"/>
    <x v="2"/>
  </r>
  <r>
    <s v="O108349"/>
    <x v="472"/>
    <x v="3"/>
    <x v="6"/>
    <x v="2"/>
    <x v="0"/>
    <n v="4"/>
    <n v="105740"/>
    <d v="2026-05-23T00:00:00"/>
    <n v="5"/>
    <n v="23"/>
    <n v="2026"/>
    <x v="3"/>
    <s v="Q2"/>
    <x v="2"/>
  </r>
  <r>
    <s v="O100573"/>
    <x v="139"/>
    <x v="1"/>
    <x v="7"/>
    <x v="2"/>
    <x v="2"/>
    <n v="6"/>
    <n v="105724"/>
    <d v="2025-04-02T00:00:00"/>
    <n v="4"/>
    <n v="2"/>
    <n v="2025"/>
    <x v="11"/>
    <s v="Q2"/>
    <x v="2"/>
  </r>
  <r>
    <s v="O111719"/>
    <x v="748"/>
    <x v="8"/>
    <x v="7"/>
    <x v="2"/>
    <x v="0"/>
    <n v="6"/>
    <n v="105708"/>
    <d v="2026-12-13T00:00:00"/>
    <n v="12"/>
    <n v="13"/>
    <n v="2026"/>
    <x v="7"/>
    <s v="Q4"/>
    <x v="2"/>
  </r>
  <r>
    <s v="O109134"/>
    <x v="710"/>
    <x v="2"/>
    <x v="7"/>
    <x v="4"/>
    <x v="3"/>
    <n v="7"/>
    <n v="105630"/>
    <d v="2026-09-07T00:00:00"/>
    <n v="9"/>
    <n v="7"/>
    <n v="2026"/>
    <x v="1"/>
    <s v="Q3"/>
    <x v="4"/>
  </r>
  <r>
    <s v="O107290"/>
    <x v="560"/>
    <x v="6"/>
    <x v="5"/>
    <x v="2"/>
    <x v="1"/>
    <n v="1"/>
    <n v="105602"/>
    <d v="2026-03-19T00:00:00"/>
    <n v="3"/>
    <n v="19"/>
    <n v="2026"/>
    <x v="5"/>
    <s v="Q1"/>
    <x v="2"/>
  </r>
  <r>
    <s v="O110354"/>
    <x v="373"/>
    <x v="9"/>
    <x v="5"/>
    <x v="4"/>
    <x v="0"/>
    <n v="1"/>
    <n v="105570"/>
    <d v="2026-09-21T00:00:00"/>
    <n v="9"/>
    <n v="21"/>
    <n v="2026"/>
    <x v="1"/>
    <s v="Q3"/>
    <x v="4"/>
  </r>
  <r>
    <s v="O103159"/>
    <x v="412"/>
    <x v="4"/>
    <x v="5"/>
    <x v="4"/>
    <x v="3"/>
    <n v="1"/>
    <n v="105530"/>
    <d v="2025-11-07T00:00:00"/>
    <n v="11"/>
    <n v="7"/>
    <n v="2025"/>
    <x v="0"/>
    <s v="Q4"/>
    <x v="4"/>
  </r>
  <r>
    <s v="O111969"/>
    <x v="438"/>
    <x v="1"/>
    <x v="7"/>
    <x v="2"/>
    <x v="1"/>
    <n v="6"/>
    <n v="105517"/>
    <d v="2026-12-29T00:00:00"/>
    <n v="12"/>
    <n v="29"/>
    <n v="2026"/>
    <x v="7"/>
    <s v="Q4"/>
    <x v="2"/>
  </r>
  <r>
    <s v="O110580"/>
    <x v="108"/>
    <x v="2"/>
    <x v="5"/>
    <x v="0"/>
    <x v="3"/>
    <n v="1"/>
    <n v="105479"/>
    <d v="2026-05-10T00:00:00"/>
    <n v="5"/>
    <n v="10"/>
    <n v="2026"/>
    <x v="3"/>
    <s v="Q2"/>
    <x v="0"/>
  </r>
  <r>
    <s v="O101415"/>
    <x v="490"/>
    <x v="4"/>
    <x v="6"/>
    <x v="0"/>
    <x v="3"/>
    <n v="4"/>
    <n v="105463"/>
    <d v="2025-03-27T00:00:00"/>
    <n v="3"/>
    <n v="27"/>
    <n v="2025"/>
    <x v="5"/>
    <s v="Q1"/>
    <x v="0"/>
  </r>
  <r>
    <s v="O105018"/>
    <x v="622"/>
    <x v="10"/>
    <x v="7"/>
    <x v="2"/>
    <x v="3"/>
    <n v="7"/>
    <n v="105454"/>
    <d v="2025-01-11T00:00:00"/>
    <n v="1"/>
    <n v="11"/>
    <n v="2025"/>
    <x v="6"/>
    <s v="Q1"/>
    <x v="2"/>
  </r>
  <r>
    <s v="O110844"/>
    <x v="538"/>
    <x v="0"/>
    <x v="7"/>
    <x v="1"/>
    <x v="2"/>
    <n v="9"/>
    <n v="105447"/>
    <d v="2026-10-21T00:00:00"/>
    <n v="10"/>
    <n v="21"/>
    <n v="2026"/>
    <x v="9"/>
    <m/>
    <x v="1"/>
  </r>
  <r>
    <s v="O107890"/>
    <x v="657"/>
    <x v="10"/>
    <x v="7"/>
    <x v="2"/>
    <x v="3"/>
    <n v="6"/>
    <n v="105388"/>
    <d v="2026-04-25T00:00:00"/>
    <n v="4"/>
    <n v="25"/>
    <n v="2026"/>
    <x v="11"/>
    <s v="Q2"/>
    <x v="2"/>
  </r>
  <r>
    <s v="O110163"/>
    <x v="109"/>
    <x v="10"/>
    <x v="6"/>
    <x v="2"/>
    <x v="3"/>
    <n v="5"/>
    <n v="105358"/>
    <d v="2026-10-09T00:00:00"/>
    <n v="10"/>
    <n v="9"/>
    <n v="2026"/>
    <x v="9"/>
    <s v="Q4"/>
    <x v="2"/>
  </r>
  <r>
    <s v="O108357"/>
    <x v="653"/>
    <x v="10"/>
    <x v="7"/>
    <x v="3"/>
    <x v="1"/>
    <n v="6"/>
    <n v="105341"/>
    <d v="2026-05-23T00:00:00"/>
    <n v="5"/>
    <n v="23"/>
    <n v="2026"/>
    <x v="3"/>
    <s v="Q2"/>
    <x v="3"/>
  </r>
  <r>
    <s v="O102648"/>
    <x v="667"/>
    <x v="9"/>
    <x v="6"/>
    <x v="4"/>
    <x v="1"/>
    <n v="4"/>
    <n v="105331"/>
    <d v="2025-10-06T00:00:00"/>
    <n v="10"/>
    <n v="6"/>
    <n v="2025"/>
    <x v="9"/>
    <s v="Q4"/>
    <x v="4"/>
  </r>
  <r>
    <s v="O103907"/>
    <x v="748"/>
    <x v="0"/>
    <x v="6"/>
    <x v="2"/>
    <x v="1"/>
    <n v="5"/>
    <n v="105321"/>
    <d v="2025-08-26T00:00:00"/>
    <n v="8"/>
    <n v="26"/>
    <n v="2025"/>
    <x v="8"/>
    <s v="Q3"/>
    <x v="2"/>
  </r>
  <r>
    <s v="O109071"/>
    <x v="528"/>
    <x v="10"/>
    <x v="5"/>
    <x v="2"/>
    <x v="2"/>
    <n v="1"/>
    <n v="105280"/>
    <d v="2026-06-07T00:00:00"/>
    <n v="6"/>
    <n v="7"/>
    <n v="2026"/>
    <x v="2"/>
    <s v="Q2"/>
    <x v="2"/>
  </r>
  <r>
    <s v="O101912"/>
    <x v="24"/>
    <x v="9"/>
    <x v="5"/>
    <x v="4"/>
    <x v="3"/>
    <n v="1"/>
    <n v="105268"/>
    <d v="2025-04-27T00:00:00"/>
    <n v="4"/>
    <n v="27"/>
    <n v="2025"/>
    <x v="11"/>
    <s v="Q2"/>
    <x v="4"/>
  </r>
  <r>
    <s v="O101527"/>
    <x v="625"/>
    <x v="4"/>
    <x v="7"/>
    <x v="4"/>
    <x v="3"/>
    <n v="8"/>
    <n v="105218"/>
    <d v="2025-03-04T00:00:00"/>
    <n v="3"/>
    <n v="4"/>
    <n v="2025"/>
    <x v="5"/>
    <s v="Q1"/>
    <x v="4"/>
  </r>
  <r>
    <s v="O108737"/>
    <x v="360"/>
    <x v="6"/>
    <x v="7"/>
    <x v="4"/>
    <x v="0"/>
    <n v="6"/>
    <n v="105176"/>
    <d v="2026-06-15T00:00:00"/>
    <n v="6"/>
    <n v="15"/>
    <n v="2026"/>
    <x v="2"/>
    <s v="Q2"/>
    <x v="4"/>
  </r>
  <r>
    <s v="O109450"/>
    <x v="180"/>
    <x v="10"/>
    <x v="7"/>
    <x v="4"/>
    <x v="0"/>
    <n v="7"/>
    <n v="105090"/>
    <d v="2026-07-29T00:00:00"/>
    <n v="7"/>
    <n v="29"/>
    <n v="2026"/>
    <x v="10"/>
    <s v="Q3"/>
    <x v="4"/>
  </r>
  <r>
    <s v="O105601"/>
    <x v="425"/>
    <x v="5"/>
    <x v="7"/>
    <x v="1"/>
    <x v="2"/>
    <n v="6"/>
    <n v="105088"/>
    <d v="2025-07-12T00:00:00"/>
    <n v="7"/>
    <n v="12"/>
    <n v="2025"/>
    <x v="10"/>
    <s v="Q3"/>
    <x v="1"/>
  </r>
  <r>
    <s v="O110834"/>
    <x v="236"/>
    <x v="5"/>
    <x v="7"/>
    <x v="3"/>
    <x v="3"/>
    <n v="9"/>
    <n v="105084"/>
    <d v="2026-10-21T00:00:00"/>
    <n v="10"/>
    <n v="21"/>
    <n v="2026"/>
    <x v="9"/>
    <s v="Q4"/>
    <x v="3"/>
  </r>
  <r>
    <s v="O102029"/>
    <x v="386"/>
    <x v="3"/>
    <x v="7"/>
    <x v="3"/>
    <x v="3"/>
    <n v="6"/>
    <n v="105068"/>
    <d v="2025-04-05T00:00:00"/>
    <n v="4"/>
    <n v="5"/>
    <n v="2025"/>
    <x v="11"/>
    <s v="Q2"/>
    <x v="3"/>
  </r>
  <r>
    <s v="O106188"/>
    <x v="152"/>
    <x v="0"/>
    <x v="7"/>
    <x v="1"/>
    <x v="1"/>
    <n v="6"/>
    <n v="105035"/>
    <d v="2026-11-01T00:00:00"/>
    <n v="11"/>
    <n v="1"/>
    <n v="2026"/>
    <x v="0"/>
    <s v="Q4"/>
    <x v="1"/>
  </r>
  <r>
    <s v="O107665"/>
    <x v="683"/>
    <x v="8"/>
    <x v="7"/>
    <x v="0"/>
    <x v="3"/>
    <n v="7"/>
    <n v="105008"/>
    <d v="2026-11-04T00:00:00"/>
    <n v="11"/>
    <n v="4"/>
    <n v="2026"/>
    <x v="0"/>
    <s v="Q4"/>
    <x v="0"/>
  </r>
  <r>
    <s v="O107962"/>
    <x v="554"/>
    <x v="5"/>
    <x v="7"/>
    <x v="0"/>
    <x v="0"/>
    <n v="8"/>
    <n v="104988"/>
    <d v="2026-04-29T00:00:00"/>
    <n v="4"/>
    <n v="29"/>
    <n v="2026"/>
    <x v="11"/>
    <s v="Q2"/>
    <x v="0"/>
  </r>
  <r>
    <s v="O100694"/>
    <x v="620"/>
    <x v="2"/>
    <x v="7"/>
    <x v="1"/>
    <x v="0"/>
    <n v="8"/>
    <n v="104968"/>
    <d v="2025-12-02T00:00:00"/>
    <n v="12"/>
    <n v="2"/>
    <n v="2025"/>
    <x v="7"/>
    <s v="Q4"/>
    <x v="1"/>
  </r>
  <r>
    <s v="O110366"/>
    <x v="654"/>
    <x v="8"/>
    <x v="7"/>
    <x v="2"/>
    <x v="0"/>
    <n v="7"/>
    <n v="104875"/>
    <d v="2026-09-22T00:00:00"/>
    <n v="9"/>
    <n v="22"/>
    <n v="2026"/>
    <x v="1"/>
    <s v="Q3"/>
    <x v="2"/>
  </r>
  <r>
    <s v="O104544"/>
    <x v="185"/>
    <x v="3"/>
    <x v="7"/>
    <x v="4"/>
    <x v="0"/>
    <n v="9"/>
    <n v="104867"/>
    <d v="2025-04-10T00:00:00"/>
    <n v="4"/>
    <n v="10"/>
    <n v="2025"/>
    <x v="11"/>
    <s v="Q2"/>
    <x v="4"/>
  </r>
  <r>
    <s v="O110028"/>
    <x v="181"/>
    <x v="5"/>
    <x v="5"/>
    <x v="1"/>
    <x v="0"/>
    <n v="1"/>
    <n v="104810"/>
    <d v="2026-02-09T00:00:00"/>
    <n v="2"/>
    <n v="9"/>
    <n v="2026"/>
    <x v="4"/>
    <s v="Q1"/>
    <x v="1"/>
  </r>
  <r>
    <s v="O107029"/>
    <x v="148"/>
    <x v="3"/>
    <x v="7"/>
    <x v="1"/>
    <x v="1"/>
    <n v="6"/>
    <n v="104782"/>
    <d v="2026-03-03T00:00:00"/>
    <n v="3"/>
    <n v="3"/>
    <n v="2026"/>
    <x v="5"/>
    <s v="Q1"/>
    <x v="1"/>
  </r>
  <r>
    <s v="O109002"/>
    <x v="352"/>
    <x v="5"/>
    <x v="6"/>
    <x v="2"/>
    <x v="2"/>
    <n v="5"/>
    <n v="104747"/>
    <d v="2026-01-07T00:00:00"/>
    <n v="1"/>
    <n v="7"/>
    <n v="2026"/>
    <x v="6"/>
    <s v="Q1"/>
    <x v="2"/>
  </r>
  <r>
    <s v="O100154"/>
    <x v="579"/>
    <x v="9"/>
    <x v="6"/>
    <x v="4"/>
    <x v="1"/>
    <n v="5"/>
    <n v="104693"/>
    <d v="2025-10-01T00:00:00"/>
    <n v="10"/>
    <n v="1"/>
    <n v="2025"/>
    <x v="9"/>
    <s v="Q4"/>
    <x v="4"/>
  </r>
  <r>
    <s v="O110212"/>
    <x v="281"/>
    <x v="8"/>
    <x v="7"/>
    <x v="1"/>
    <x v="2"/>
    <n v="6"/>
    <n v="104585"/>
    <d v="2026-09-13T00:00:00"/>
    <n v="9"/>
    <n v="13"/>
    <n v="2026"/>
    <x v="1"/>
    <s v="Q3"/>
    <x v="1"/>
  </r>
  <r>
    <s v="O102593"/>
    <x v="562"/>
    <x v="5"/>
    <x v="6"/>
    <x v="4"/>
    <x v="2"/>
    <n v="4"/>
    <n v="104580"/>
    <d v="2025-07-06T00:00:00"/>
    <n v="7"/>
    <n v="6"/>
    <n v="2025"/>
    <x v="10"/>
    <s v="Q3"/>
    <x v="4"/>
  </r>
  <r>
    <s v="O102615"/>
    <x v="8"/>
    <x v="3"/>
    <x v="7"/>
    <x v="3"/>
    <x v="0"/>
    <n v="7"/>
    <n v="104506"/>
    <d v="2025-08-06T00:00:00"/>
    <n v="8"/>
    <n v="6"/>
    <n v="2025"/>
    <x v="8"/>
    <s v="Q3"/>
    <x v="3"/>
  </r>
  <r>
    <s v="O110540"/>
    <x v="572"/>
    <x v="6"/>
    <x v="6"/>
    <x v="1"/>
    <x v="0"/>
    <n v="4"/>
    <n v="104498"/>
    <d v="2026-03-10T00:00:00"/>
    <n v="3"/>
    <n v="10"/>
    <n v="2026"/>
    <x v="5"/>
    <s v="Q1"/>
    <x v="1"/>
  </r>
  <r>
    <s v="O102109"/>
    <x v="37"/>
    <x v="9"/>
    <x v="7"/>
    <x v="2"/>
    <x v="3"/>
    <n v="8"/>
    <n v="104472"/>
    <d v="2025-09-05T00:00:00"/>
    <n v="9"/>
    <n v="5"/>
    <n v="2025"/>
    <x v="1"/>
    <s v="Q3"/>
    <x v="2"/>
  </r>
  <r>
    <s v="O106601"/>
    <x v="97"/>
    <x v="3"/>
    <x v="6"/>
    <x v="4"/>
    <x v="1"/>
    <n v="4"/>
    <n v="104413"/>
    <d v="2026-05-02T00:00:00"/>
    <n v="5"/>
    <n v="2"/>
    <n v="2026"/>
    <x v="3"/>
    <s v="Q2"/>
    <x v="4"/>
  </r>
  <r>
    <s v="O108365"/>
    <x v="119"/>
    <x v="10"/>
    <x v="6"/>
    <x v="0"/>
    <x v="2"/>
    <n v="4"/>
    <n v="104407"/>
    <d v="2026-05-24T00:00:00"/>
    <n v="5"/>
    <n v="24"/>
    <n v="2026"/>
    <x v="3"/>
    <s v="Q2"/>
    <x v="0"/>
  </r>
  <r>
    <s v="O104604"/>
    <x v="438"/>
    <x v="3"/>
    <x v="7"/>
    <x v="3"/>
    <x v="3"/>
    <n v="8"/>
    <n v="104369"/>
    <d v="2025-07-10T00:00:00"/>
    <n v="7"/>
    <n v="10"/>
    <n v="2025"/>
    <x v="10"/>
    <s v="Q3"/>
    <x v="3"/>
  </r>
  <r>
    <s v="O103014"/>
    <x v="656"/>
    <x v="9"/>
    <x v="7"/>
    <x v="2"/>
    <x v="1"/>
    <n v="6"/>
    <n v="104346"/>
    <d v="2025-03-07T00:00:00"/>
    <n v="3"/>
    <n v="7"/>
    <n v="2025"/>
    <x v="5"/>
    <s v="Q1"/>
    <x v="2"/>
  </r>
  <r>
    <s v="O103985"/>
    <x v="707"/>
    <x v="3"/>
    <x v="5"/>
    <x v="3"/>
    <x v="1"/>
    <n v="1"/>
    <n v="104271"/>
    <d v="2025-08-31T00:00:00"/>
    <n v="8"/>
    <n v="31"/>
    <n v="2025"/>
    <x v="8"/>
    <s v="Q3"/>
    <x v="3"/>
  </r>
  <r>
    <s v="O103307"/>
    <x v="394"/>
    <x v="3"/>
    <x v="7"/>
    <x v="3"/>
    <x v="3"/>
    <n v="6"/>
    <n v="104249"/>
    <d v="2025-07-20T00:00:00"/>
    <n v="7"/>
    <n v="20"/>
    <n v="2025"/>
    <x v="10"/>
    <s v="Q3"/>
    <x v="3"/>
  </r>
  <r>
    <s v="O110762"/>
    <x v="359"/>
    <x v="4"/>
    <x v="7"/>
    <x v="4"/>
    <x v="0"/>
    <n v="6"/>
    <n v="104246"/>
    <d v="2026-10-16T00:00:00"/>
    <n v="10"/>
    <n v="16"/>
    <n v="2026"/>
    <x v="9"/>
    <s v="Q4"/>
    <x v="4"/>
  </r>
  <r>
    <s v="O108354"/>
    <x v="643"/>
    <x v="2"/>
    <x v="6"/>
    <x v="1"/>
    <x v="2"/>
    <n v="5"/>
    <n v="104230"/>
    <d v="2026-05-23T00:00:00"/>
    <n v="5"/>
    <n v="23"/>
    <n v="2026"/>
    <x v="3"/>
    <s v="Q2"/>
    <x v="1"/>
  </r>
  <r>
    <s v="O101888"/>
    <x v="619"/>
    <x v="10"/>
    <x v="7"/>
    <x v="3"/>
    <x v="2"/>
    <n v="7"/>
    <n v="104178"/>
    <d v="2025-04-25T00:00:00"/>
    <n v="4"/>
    <n v="25"/>
    <n v="2025"/>
    <x v="11"/>
    <s v="Q2"/>
    <x v="3"/>
  </r>
  <r>
    <s v="O104253"/>
    <x v="202"/>
    <x v="9"/>
    <x v="7"/>
    <x v="0"/>
    <x v="2"/>
    <n v="6"/>
    <n v="104166"/>
    <d v="2025-09-16T00:00:00"/>
    <n v="9"/>
    <n v="16"/>
    <n v="2025"/>
    <x v="1"/>
    <s v="Q3"/>
    <x v="0"/>
  </r>
  <r>
    <s v="O105079"/>
    <x v="499"/>
    <x v="10"/>
    <x v="6"/>
    <x v="0"/>
    <x v="2"/>
    <n v="4"/>
    <n v="104152"/>
    <d v="2025-05-11T00:00:00"/>
    <n v="5"/>
    <n v="11"/>
    <n v="2025"/>
    <x v="3"/>
    <s v="Q2"/>
    <x v="0"/>
  </r>
  <r>
    <s v="O109339"/>
    <x v="640"/>
    <x v="6"/>
    <x v="7"/>
    <x v="3"/>
    <x v="2"/>
    <n v="9"/>
    <n v="104131"/>
    <d v="2026-07-22T00:00:00"/>
    <n v="7"/>
    <n v="22"/>
    <n v="2026"/>
    <x v="10"/>
    <s v="Q3"/>
    <x v="3"/>
  </r>
  <r>
    <s v="O105786"/>
    <x v="31"/>
    <x v="9"/>
    <x v="5"/>
    <x v="3"/>
    <x v="0"/>
    <n v="1"/>
    <n v="104079"/>
    <d v="2025-12-18T00:00:00"/>
    <n v="12"/>
    <n v="18"/>
    <n v="2025"/>
    <x v="7"/>
    <s v="Q4"/>
    <x v="3"/>
  </r>
  <r>
    <s v="O105999"/>
    <x v="50"/>
    <x v="3"/>
    <x v="6"/>
    <x v="0"/>
    <x v="2"/>
    <n v="5"/>
    <n v="104031"/>
    <d v="2025-12-31T00:00:00"/>
    <n v="12"/>
    <n v="31"/>
    <n v="2025"/>
    <x v="7"/>
    <s v="Q4"/>
    <x v="0"/>
  </r>
  <r>
    <s v="O109945"/>
    <x v="774"/>
    <x v="2"/>
    <x v="7"/>
    <x v="1"/>
    <x v="3"/>
    <n v="9"/>
    <n v="103901"/>
    <d v="2026-08-28T00:00:00"/>
    <n v="8"/>
    <n v="28"/>
    <n v="2026"/>
    <x v="8"/>
    <s v="Q3"/>
    <x v="1"/>
  </r>
  <r>
    <s v="O101662"/>
    <x v="500"/>
    <x v="6"/>
    <x v="6"/>
    <x v="0"/>
    <x v="1"/>
    <n v="4"/>
    <n v="103860"/>
    <d v="2025-11-04T00:00:00"/>
    <n v="11"/>
    <n v="4"/>
    <n v="2025"/>
    <x v="0"/>
    <s v="Q4"/>
    <x v="0"/>
  </r>
  <r>
    <s v="O100908"/>
    <x v="315"/>
    <x v="4"/>
    <x v="7"/>
    <x v="1"/>
    <x v="3"/>
    <n v="6"/>
    <n v="103796"/>
    <d v="2025-02-25T00:00:00"/>
    <n v="2"/>
    <n v="25"/>
    <n v="2025"/>
    <x v="4"/>
    <s v="Q1"/>
    <x v="1"/>
  </r>
  <r>
    <s v="O104012"/>
    <x v="186"/>
    <x v="9"/>
    <x v="7"/>
    <x v="2"/>
    <x v="0"/>
    <n v="9"/>
    <n v="103775"/>
    <d v="2025-01-09T00:00:00"/>
    <n v="1"/>
    <n v="9"/>
    <n v="2025"/>
    <x v="6"/>
    <s v="Q1"/>
    <x v="2"/>
  </r>
  <r>
    <s v="O102286"/>
    <x v="41"/>
    <x v="6"/>
    <x v="7"/>
    <x v="4"/>
    <x v="0"/>
    <n v="6"/>
    <n v="103730"/>
    <d v="2025-05-19T00:00:00"/>
    <n v="5"/>
    <n v="19"/>
    <n v="2025"/>
    <x v="3"/>
    <s v="Q2"/>
    <x v="4"/>
  </r>
  <r>
    <s v="O106937"/>
    <x v="468"/>
    <x v="10"/>
    <x v="7"/>
    <x v="4"/>
    <x v="3"/>
    <n v="7"/>
    <n v="103714"/>
    <d v="2026-02-26T00:00:00"/>
    <n v="2"/>
    <n v="26"/>
    <n v="2026"/>
    <x v="4"/>
    <s v="Q1"/>
    <x v="4"/>
  </r>
  <r>
    <s v="O107269"/>
    <x v="290"/>
    <x v="4"/>
    <x v="6"/>
    <x v="1"/>
    <x v="3"/>
    <n v="5"/>
    <n v="103683"/>
    <d v="2026-03-18T00:00:00"/>
    <n v="3"/>
    <n v="18"/>
    <n v="2026"/>
    <x v="5"/>
    <s v="Q1"/>
    <x v="1"/>
  </r>
  <r>
    <s v="O102317"/>
    <x v="320"/>
    <x v="0"/>
    <x v="7"/>
    <x v="4"/>
    <x v="2"/>
    <n v="6"/>
    <n v="103633"/>
    <d v="2025-05-21T00:00:00"/>
    <n v="5"/>
    <n v="21"/>
    <n v="2025"/>
    <x v="3"/>
    <s v="Q2"/>
    <x v="4"/>
  </r>
  <r>
    <s v="O105036"/>
    <x v="582"/>
    <x v="5"/>
    <x v="7"/>
    <x v="0"/>
    <x v="1"/>
    <n v="8"/>
    <n v="103630"/>
    <d v="2025-02-11T00:00:00"/>
    <n v="2"/>
    <n v="11"/>
    <n v="2025"/>
    <x v="4"/>
    <s v="Q1"/>
    <x v="0"/>
  </r>
  <r>
    <s v="O100570"/>
    <x v="727"/>
    <x v="9"/>
    <x v="7"/>
    <x v="2"/>
    <x v="2"/>
    <n v="6"/>
    <n v="103607"/>
    <d v="2025-04-02T00:00:00"/>
    <n v="4"/>
    <n v="2"/>
    <n v="2025"/>
    <x v="11"/>
    <s v="Q2"/>
    <x v="2"/>
  </r>
  <r>
    <s v="O104289"/>
    <x v="37"/>
    <x v="6"/>
    <x v="7"/>
    <x v="4"/>
    <x v="1"/>
    <n v="6"/>
    <n v="103579"/>
    <d v="2025-09-18T00:00:00"/>
    <n v="9"/>
    <n v="18"/>
    <n v="2025"/>
    <x v="1"/>
    <s v="Q3"/>
    <x v="4"/>
  </r>
  <r>
    <s v="O108882"/>
    <x v="541"/>
    <x v="2"/>
    <x v="6"/>
    <x v="3"/>
    <x v="3"/>
    <n v="4"/>
    <n v="103576"/>
    <d v="2026-06-24T00:00:00"/>
    <n v="6"/>
    <n v="24"/>
    <n v="2026"/>
    <x v="2"/>
    <s v="Q2"/>
    <x v="3"/>
  </r>
  <r>
    <s v="O104681"/>
    <x v="450"/>
    <x v="10"/>
    <x v="7"/>
    <x v="1"/>
    <x v="1"/>
    <n v="6"/>
    <n v="103559"/>
    <d v="2025-12-10T00:00:00"/>
    <n v="12"/>
    <n v="10"/>
    <n v="2025"/>
    <x v="7"/>
    <s v="Q4"/>
    <x v="1"/>
  </r>
  <r>
    <s v="O108204"/>
    <x v="258"/>
    <x v="4"/>
    <x v="7"/>
    <x v="2"/>
    <x v="3"/>
    <n v="8"/>
    <n v="103499"/>
    <d v="2026-05-14T00:00:00"/>
    <n v="5"/>
    <n v="14"/>
    <n v="2026"/>
    <x v="3"/>
    <m/>
    <x v="2"/>
  </r>
  <r>
    <s v="O106658"/>
    <x v="123"/>
    <x v="9"/>
    <x v="7"/>
    <x v="3"/>
    <x v="2"/>
    <n v="9"/>
    <n v="103498"/>
    <d v="2026-09-02T00:00:00"/>
    <n v="9"/>
    <n v="2"/>
    <n v="2026"/>
    <x v="1"/>
    <s v="Q3"/>
    <x v="3"/>
  </r>
  <r>
    <s v="O108150"/>
    <x v="667"/>
    <x v="4"/>
    <x v="7"/>
    <x v="4"/>
    <x v="2"/>
    <n v="9"/>
    <n v="103487"/>
    <d v="2026-11-05T00:00:00"/>
    <n v="11"/>
    <n v="5"/>
    <n v="2026"/>
    <x v="0"/>
    <s v="Q4"/>
    <x v="4"/>
  </r>
  <r>
    <s v="O102501"/>
    <x v="249"/>
    <x v="1"/>
    <x v="5"/>
    <x v="3"/>
    <x v="2"/>
    <n v="1"/>
    <n v="103461"/>
    <d v="2025-01-06T00:00:00"/>
    <n v="1"/>
    <n v="6"/>
    <n v="2025"/>
    <x v="6"/>
    <s v="Q1"/>
    <x v="3"/>
  </r>
  <r>
    <s v="O105555"/>
    <x v="250"/>
    <x v="9"/>
    <x v="5"/>
    <x v="0"/>
    <x v="1"/>
    <n v="1"/>
    <n v="103446"/>
    <d v="2025-04-12T00:00:00"/>
    <n v="4"/>
    <n v="12"/>
    <n v="2025"/>
    <x v="11"/>
    <s v="Q2"/>
    <x v="0"/>
  </r>
  <r>
    <s v="O109297"/>
    <x v="515"/>
    <x v="0"/>
    <x v="5"/>
    <x v="1"/>
    <x v="2"/>
    <n v="1"/>
    <n v="103436"/>
    <d v="2026-07-19T00:00:00"/>
    <n v="7"/>
    <n v="19"/>
    <n v="2026"/>
    <x v="10"/>
    <s v="Q3"/>
    <x v="1"/>
  </r>
  <r>
    <s v="O111488"/>
    <x v="638"/>
    <x v="10"/>
    <x v="7"/>
    <x v="4"/>
    <x v="3"/>
    <n v="8"/>
    <n v="103372"/>
    <d v="2026-11-29T00:00:00"/>
    <n v="11"/>
    <n v="29"/>
    <n v="2026"/>
    <x v="0"/>
    <s v="Q4"/>
    <x v="4"/>
  </r>
  <r>
    <s v="O102591"/>
    <x v="460"/>
    <x v="5"/>
    <x v="5"/>
    <x v="0"/>
    <x v="2"/>
    <n v="1"/>
    <n v="103314"/>
    <d v="2025-07-06T00:00:00"/>
    <n v="7"/>
    <n v="6"/>
    <n v="2025"/>
    <x v="10"/>
    <s v="Q3"/>
    <x v="0"/>
  </r>
  <r>
    <s v="O109424"/>
    <x v="283"/>
    <x v="4"/>
    <x v="7"/>
    <x v="1"/>
    <x v="1"/>
    <n v="7"/>
    <n v="103313"/>
    <d v="2026-07-27T00:00:00"/>
    <n v="7"/>
    <n v="27"/>
    <n v="2026"/>
    <x v="10"/>
    <s v="Q3"/>
    <x v="1"/>
  </r>
  <r>
    <s v="O108555"/>
    <x v="637"/>
    <x v="3"/>
    <x v="7"/>
    <x v="1"/>
    <x v="2"/>
    <n v="7"/>
    <n v="103291"/>
    <d v="2026-04-06T00:00:00"/>
    <n v="4"/>
    <n v="6"/>
    <n v="2026"/>
    <x v="11"/>
    <s v="Q2"/>
    <x v="1"/>
  </r>
  <r>
    <s v="O109350"/>
    <x v="511"/>
    <x v="4"/>
    <x v="5"/>
    <x v="1"/>
    <x v="2"/>
    <n v="1"/>
    <n v="103214"/>
    <d v="2026-07-22T00:00:00"/>
    <n v="7"/>
    <n v="22"/>
    <n v="2026"/>
    <x v="10"/>
    <s v="Q3"/>
    <x v="1"/>
  </r>
  <r>
    <s v="O100196"/>
    <x v="604"/>
    <x v="1"/>
    <x v="7"/>
    <x v="0"/>
    <x v="2"/>
    <n v="8"/>
    <n v="103211"/>
    <d v="2025-12-01T00:00:00"/>
    <n v="12"/>
    <n v="1"/>
    <n v="2025"/>
    <x v="7"/>
    <s v="Q4"/>
    <x v="0"/>
  </r>
  <r>
    <s v="O100384"/>
    <x v="792"/>
    <x v="10"/>
    <x v="5"/>
    <x v="0"/>
    <x v="0"/>
    <n v="1"/>
    <n v="103166"/>
    <d v="2025-01-24T00:00:00"/>
    <n v="1"/>
    <n v="24"/>
    <n v="2025"/>
    <x v="6"/>
    <s v="Q1"/>
    <x v="0"/>
  </r>
  <r>
    <s v="O101270"/>
    <x v="502"/>
    <x v="3"/>
    <x v="7"/>
    <x v="3"/>
    <x v="1"/>
    <n v="7"/>
    <n v="103136"/>
    <d v="2025-03-19T00:00:00"/>
    <n v="3"/>
    <n v="19"/>
    <n v="2025"/>
    <x v="5"/>
    <s v="Q1"/>
    <x v="3"/>
  </r>
  <r>
    <s v="O104632"/>
    <x v="422"/>
    <x v="0"/>
    <x v="7"/>
    <x v="2"/>
    <x v="1"/>
    <n v="6"/>
    <n v="103059"/>
    <d v="2025-09-10T00:00:00"/>
    <n v="9"/>
    <n v="10"/>
    <n v="2025"/>
    <x v="1"/>
    <m/>
    <x v="2"/>
  </r>
  <r>
    <s v="O103240"/>
    <x v="72"/>
    <x v="6"/>
    <x v="6"/>
    <x v="3"/>
    <x v="1"/>
    <n v="4"/>
    <n v="102991"/>
    <d v="2025-07-16T00:00:00"/>
    <n v="7"/>
    <n v="16"/>
    <n v="2025"/>
    <x v="10"/>
    <s v="Q3"/>
    <x v="3"/>
  </r>
  <r>
    <s v="O103538"/>
    <x v="227"/>
    <x v="5"/>
    <x v="7"/>
    <x v="2"/>
    <x v="0"/>
    <n v="7"/>
    <n v="102943"/>
    <d v="2025-03-08T00:00:00"/>
    <n v="3"/>
    <n v="8"/>
    <n v="2025"/>
    <x v="5"/>
    <s v="Q1"/>
    <x v="2"/>
  </r>
  <r>
    <s v="O103050"/>
    <x v="425"/>
    <x v="8"/>
    <x v="7"/>
    <x v="0"/>
    <x v="3"/>
    <n v="6"/>
    <n v="102897"/>
    <d v="2025-05-07T00:00:00"/>
    <n v="5"/>
    <n v="7"/>
    <n v="2025"/>
    <x v="3"/>
    <s v="Q2"/>
    <x v="0"/>
  </r>
  <r>
    <s v="O103859"/>
    <x v="645"/>
    <x v="1"/>
    <x v="7"/>
    <x v="4"/>
    <x v="3"/>
    <n v="8"/>
    <n v="102815"/>
    <d v="2025-08-23T00:00:00"/>
    <n v="8"/>
    <n v="23"/>
    <n v="2025"/>
    <x v="8"/>
    <s v="Q3"/>
    <x v="4"/>
  </r>
  <r>
    <s v="O101132"/>
    <x v="746"/>
    <x v="4"/>
    <x v="6"/>
    <x v="1"/>
    <x v="0"/>
    <n v="4"/>
    <n v="102704"/>
    <d v="2025-10-03T00:00:00"/>
    <n v="10"/>
    <n v="3"/>
    <n v="2025"/>
    <x v="9"/>
    <s v="Q4"/>
    <x v="1"/>
  </r>
  <r>
    <s v="O102768"/>
    <x v="424"/>
    <x v="4"/>
    <x v="7"/>
    <x v="4"/>
    <x v="2"/>
    <n v="6"/>
    <n v="102690"/>
    <d v="2025-06-18T00:00:00"/>
    <n v="6"/>
    <n v="18"/>
    <n v="2025"/>
    <x v="2"/>
    <s v="Q2"/>
    <x v="4"/>
  </r>
  <r>
    <s v="O102410"/>
    <x v="685"/>
    <x v="5"/>
    <x v="6"/>
    <x v="0"/>
    <x v="2"/>
    <n v="4"/>
    <n v="102651"/>
    <d v="2025-05-27T00:00:00"/>
    <n v="5"/>
    <n v="27"/>
    <n v="2025"/>
    <x v="3"/>
    <s v="Q2"/>
    <x v="0"/>
  </r>
  <r>
    <s v="O102467"/>
    <x v="261"/>
    <x v="0"/>
    <x v="7"/>
    <x v="0"/>
    <x v="3"/>
    <n v="7"/>
    <n v="102618"/>
    <d v="2025-05-30T00:00:00"/>
    <n v="5"/>
    <n v="30"/>
    <n v="2025"/>
    <x v="3"/>
    <s v="Q2"/>
    <x v="0"/>
  </r>
  <r>
    <s v="O102672"/>
    <x v="488"/>
    <x v="5"/>
    <x v="7"/>
    <x v="3"/>
    <x v="3"/>
    <n v="6"/>
    <n v="102551"/>
    <d v="2025-12-06T00:00:00"/>
    <n v="12"/>
    <n v="6"/>
    <n v="2025"/>
    <x v="7"/>
    <s v="Q4"/>
    <x v="3"/>
  </r>
  <r>
    <s v="O103958"/>
    <x v="741"/>
    <x v="2"/>
    <x v="7"/>
    <x v="3"/>
    <x v="2"/>
    <n v="8"/>
    <n v="102540"/>
    <d v="2025-08-29T00:00:00"/>
    <n v="8"/>
    <n v="29"/>
    <n v="2025"/>
    <x v="8"/>
    <s v="Q3"/>
    <x v="3"/>
  </r>
  <r>
    <s v="O108676"/>
    <x v="306"/>
    <x v="3"/>
    <x v="7"/>
    <x v="1"/>
    <x v="3"/>
    <n v="6"/>
    <n v="102515"/>
    <d v="2026-12-06T00:00:00"/>
    <n v="12"/>
    <n v="6"/>
    <n v="2026"/>
    <x v="7"/>
    <s v="Q4"/>
    <x v="1"/>
  </r>
  <r>
    <s v="O100452"/>
    <x v="462"/>
    <x v="1"/>
    <x v="6"/>
    <x v="2"/>
    <x v="3"/>
    <n v="4"/>
    <n v="102504"/>
    <d v="2025-01-28T00:00:00"/>
    <n v="1"/>
    <n v="28"/>
    <n v="2025"/>
    <x v="6"/>
    <s v="Q1"/>
    <x v="2"/>
  </r>
  <r>
    <s v="O103821"/>
    <x v="290"/>
    <x v="6"/>
    <x v="7"/>
    <x v="3"/>
    <x v="0"/>
    <n v="9"/>
    <n v="102474"/>
    <d v="2025-08-21T00:00:00"/>
    <n v="8"/>
    <n v="21"/>
    <n v="2025"/>
    <x v="8"/>
    <s v="Q3"/>
    <x v="3"/>
  </r>
  <r>
    <s v="O101614"/>
    <x v="523"/>
    <x v="3"/>
    <x v="7"/>
    <x v="4"/>
    <x v="0"/>
    <n v="9"/>
    <n v="102436"/>
    <d v="2025-08-04T00:00:00"/>
    <n v="8"/>
    <n v="4"/>
    <n v="2025"/>
    <x v="8"/>
    <s v="Q3"/>
    <x v="4"/>
  </r>
  <r>
    <s v="O103483"/>
    <x v="731"/>
    <x v="6"/>
    <x v="7"/>
    <x v="3"/>
    <x v="3"/>
    <n v="6"/>
    <n v="102368"/>
    <d v="2025-07-31T00:00:00"/>
    <n v="7"/>
    <n v="31"/>
    <n v="2025"/>
    <x v="10"/>
    <s v="Q3"/>
    <x v="3"/>
  </r>
  <r>
    <s v="O107530"/>
    <x v="712"/>
    <x v="6"/>
    <x v="7"/>
    <x v="3"/>
    <x v="1"/>
    <n v="7"/>
    <n v="102354"/>
    <d v="2026-03-04T00:00:00"/>
    <n v="3"/>
    <n v="4"/>
    <n v="2026"/>
    <x v="5"/>
    <s v="Q1"/>
    <x v="3"/>
  </r>
  <r>
    <s v="O100537"/>
    <x v="124"/>
    <x v="10"/>
    <x v="5"/>
    <x v="0"/>
    <x v="1"/>
    <n v="1"/>
    <n v="102238"/>
    <d v="2025-02-02T00:00:00"/>
    <n v="2"/>
    <n v="2"/>
    <n v="2025"/>
    <x v="4"/>
    <s v="Q1"/>
    <x v="0"/>
  </r>
  <r>
    <s v="O107854"/>
    <x v="553"/>
    <x v="9"/>
    <x v="7"/>
    <x v="0"/>
    <x v="3"/>
    <n v="9"/>
    <n v="102213"/>
    <d v="2026-04-23T00:00:00"/>
    <n v="4"/>
    <n v="23"/>
    <n v="2026"/>
    <x v="11"/>
    <s v="Q2"/>
    <x v="0"/>
  </r>
  <r>
    <s v="O106107"/>
    <x v="234"/>
    <x v="0"/>
    <x v="6"/>
    <x v="3"/>
    <x v="1"/>
    <n v="5"/>
    <n v="102019"/>
    <d v="2026-06-01T00:00:00"/>
    <n v="6"/>
    <n v="1"/>
    <n v="2026"/>
    <x v="2"/>
    <s v="Q2"/>
    <x v="3"/>
  </r>
  <r>
    <s v="O111513"/>
    <x v="398"/>
    <x v="1"/>
    <x v="5"/>
    <x v="2"/>
    <x v="1"/>
    <n v="1"/>
    <n v="102005"/>
    <d v="2026-01-12T00:00:00"/>
    <n v="1"/>
    <n v="12"/>
    <n v="2026"/>
    <x v="6"/>
    <s v="Q1"/>
    <x v="2"/>
  </r>
  <r>
    <s v="O101227"/>
    <x v="414"/>
    <x v="0"/>
    <x v="7"/>
    <x v="4"/>
    <x v="0"/>
    <n v="6"/>
    <n v="101956"/>
    <d v="2025-03-16T00:00:00"/>
    <n v="3"/>
    <n v="16"/>
    <n v="2025"/>
    <x v="5"/>
    <s v="Q1"/>
    <x v="4"/>
  </r>
  <r>
    <s v="O106656"/>
    <x v="235"/>
    <x v="0"/>
    <x v="7"/>
    <x v="4"/>
    <x v="1"/>
    <n v="8"/>
    <n v="101924"/>
    <d v="2026-09-02T00:00:00"/>
    <n v="9"/>
    <n v="2"/>
    <n v="2026"/>
    <x v="1"/>
    <s v="Q3"/>
    <x v="4"/>
  </r>
  <r>
    <s v="O105950"/>
    <x v="663"/>
    <x v="8"/>
    <x v="5"/>
    <x v="4"/>
    <x v="1"/>
    <n v="1"/>
    <n v="101905"/>
    <d v="2025-12-28T00:00:00"/>
    <n v="12"/>
    <n v="28"/>
    <n v="2025"/>
    <x v="7"/>
    <s v="Q4"/>
    <x v="4"/>
  </r>
  <r>
    <s v="O108381"/>
    <x v="148"/>
    <x v="0"/>
    <x v="6"/>
    <x v="4"/>
    <x v="1"/>
    <n v="5"/>
    <n v="101889"/>
    <d v="2026-05-25T00:00:00"/>
    <n v="5"/>
    <n v="25"/>
    <n v="2026"/>
    <x v="3"/>
    <s v="Q2"/>
    <x v="4"/>
  </r>
  <r>
    <s v="O108760"/>
    <x v="335"/>
    <x v="1"/>
    <x v="6"/>
    <x v="4"/>
    <x v="0"/>
    <n v="5"/>
    <n v="101835"/>
    <d v="2026-06-17T00:00:00"/>
    <n v="6"/>
    <n v="17"/>
    <n v="2026"/>
    <x v="2"/>
    <s v="Q2"/>
    <x v="4"/>
  </r>
  <r>
    <s v="O102579"/>
    <x v="550"/>
    <x v="6"/>
    <x v="7"/>
    <x v="2"/>
    <x v="1"/>
    <n v="6"/>
    <n v="101798"/>
    <d v="2025-06-06T00:00:00"/>
    <n v="6"/>
    <n v="6"/>
    <n v="2025"/>
    <x v="2"/>
    <s v="Q2"/>
    <x v="2"/>
  </r>
  <r>
    <s v="O105704"/>
    <x v="203"/>
    <x v="4"/>
    <x v="7"/>
    <x v="1"/>
    <x v="0"/>
    <n v="8"/>
    <n v="101788"/>
    <d v="2025-12-13T00:00:00"/>
    <n v="12"/>
    <n v="13"/>
    <n v="2025"/>
    <x v="7"/>
    <s v="Q4"/>
    <x v="1"/>
  </r>
  <r>
    <s v="O105447"/>
    <x v="609"/>
    <x v="2"/>
    <x v="7"/>
    <x v="0"/>
    <x v="1"/>
    <n v="6"/>
    <n v="101746"/>
    <d v="2025-11-27T00:00:00"/>
    <n v="11"/>
    <n v="27"/>
    <n v="2025"/>
    <x v="0"/>
    <s v="Q4"/>
    <x v="0"/>
  </r>
  <r>
    <s v="O111635"/>
    <x v="279"/>
    <x v="4"/>
    <x v="7"/>
    <x v="4"/>
    <x v="0"/>
    <n v="7"/>
    <n v="101641"/>
    <d v="2026-08-12T00:00:00"/>
    <n v="8"/>
    <n v="12"/>
    <n v="2026"/>
    <x v="8"/>
    <s v="Q3"/>
    <x v="4"/>
  </r>
  <r>
    <s v="O100329"/>
    <x v="637"/>
    <x v="3"/>
    <x v="7"/>
    <x v="4"/>
    <x v="3"/>
    <n v="7"/>
    <n v="101447"/>
    <d v="2025-01-20T00:00:00"/>
    <n v="1"/>
    <n v="20"/>
    <n v="2025"/>
    <x v="6"/>
    <s v="Q1"/>
    <x v="4"/>
  </r>
  <r>
    <s v="O107209"/>
    <x v="300"/>
    <x v="9"/>
    <x v="7"/>
    <x v="4"/>
    <x v="1"/>
    <n v="9"/>
    <n v="101443"/>
    <d v="2026-03-14T00:00:00"/>
    <n v="3"/>
    <n v="14"/>
    <n v="2026"/>
    <x v="5"/>
    <s v="Q1"/>
    <x v="4"/>
  </r>
  <r>
    <s v="O103248"/>
    <x v="285"/>
    <x v="6"/>
    <x v="7"/>
    <x v="1"/>
    <x v="1"/>
    <n v="9"/>
    <n v="101412"/>
    <d v="2025-07-17T00:00:00"/>
    <n v="7"/>
    <n v="17"/>
    <n v="2025"/>
    <x v="10"/>
    <s v="Q3"/>
    <x v="1"/>
  </r>
  <r>
    <s v="O111343"/>
    <x v="211"/>
    <x v="8"/>
    <x v="7"/>
    <x v="3"/>
    <x v="0"/>
    <n v="8"/>
    <n v="101368"/>
    <d v="2026-11-21T00:00:00"/>
    <n v="11"/>
    <n v="21"/>
    <n v="2026"/>
    <x v="0"/>
    <s v="Q4"/>
    <x v="3"/>
  </r>
  <r>
    <s v="O110160"/>
    <x v="239"/>
    <x v="8"/>
    <x v="5"/>
    <x v="0"/>
    <x v="0"/>
    <n v="1"/>
    <n v="101348"/>
    <d v="2026-10-09T00:00:00"/>
    <n v="10"/>
    <n v="9"/>
    <n v="2026"/>
    <x v="9"/>
    <s v="Q4"/>
    <x v="0"/>
  </r>
  <r>
    <s v="O107366"/>
    <x v="445"/>
    <x v="3"/>
    <x v="7"/>
    <x v="0"/>
    <x v="2"/>
    <n v="7"/>
    <n v="101249"/>
    <d v="2026-03-24T00:00:00"/>
    <n v="3"/>
    <n v="24"/>
    <n v="2026"/>
    <x v="5"/>
    <s v="Q1"/>
    <x v="0"/>
  </r>
  <r>
    <s v="O105890"/>
    <x v="549"/>
    <x v="1"/>
    <x v="6"/>
    <x v="2"/>
    <x v="1"/>
    <n v="5"/>
    <n v="101238"/>
    <d v="2025-12-24T00:00:00"/>
    <n v="12"/>
    <n v="24"/>
    <n v="2025"/>
    <x v="7"/>
    <s v="Q4"/>
    <x v="2"/>
  </r>
  <r>
    <s v="O103146"/>
    <x v="5"/>
    <x v="3"/>
    <x v="7"/>
    <x v="4"/>
    <x v="1"/>
    <n v="7"/>
    <n v="101237"/>
    <d v="2025-11-07T00:00:00"/>
    <n v="11"/>
    <n v="7"/>
    <n v="2025"/>
    <x v="0"/>
    <s v="Q4"/>
    <x v="4"/>
  </r>
  <r>
    <s v="O104932"/>
    <x v="497"/>
    <x v="4"/>
    <x v="7"/>
    <x v="1"/>
    <x v="2"/>
    <n v="6"/>
    <n v="101201"/>
    <d v="2025-10-27T00:00:00"/>
    <n v="10"/>
    <n v="27"/>
    <n v="2025"/>
    <x v="9"/>
    <s v="Q4"/>
    <x v="1"/>
  </r>
  <r>
    <s v="O102129"/>
    <x v="463"/>
    <x v="2"/>
    <x v="5"/>
    <x v="3"/>
    <x v="0"/>
    <n v="1"/>
    <n v="101103"/>
    <d v="2025-10-05T00:00:00"/>
    <n v="10"/>
    <n v="5"/>
    <n v="2025"/>
    <x v="9"/>
    <s v="Q4"/>
    <x v="3"/>
  </r>
  <r>
    <s v="O103487"/>
    <x v="703"/>
    <x v="5"/>
    <x v="7"/>
    <x v="0"/>
    <x v="3"/>
    <n v="6"/>
    <n v="101046"/>
    <d v="2025-07-31T00:00:00"/>
    <n v="7"/>
    <n v="31"/>
    <n v="2025"/>
    <x v="10"/>
    <s v="Q3"/>
    <x v="0"/>
  </r>
  <r>
    <s v="O107865"/>
    <x v="213"/>
    <x v="2"/>
    <x v="7"/>
    <x v="2"/>
    <x v="3"/>
    <n v="7"/>
    <n v="100986"/>
    <d v="2026-04-23T00:00:00"/>
    <n v="4"/>
    <n v="23"/>
    <n v="2026"/>
    <x v="11"/>
    <m/>
    <x v="2"/>
  </r>
  <r>
    <s v="O107892"/>
    <x v="645"/>
    <x v="3"/>
    <x v="6"/>
    <x v="0"/>
    <x v="2"/>
    <n v="4"/>
    <n v="100968"/>
    <d v="2026-04-25T00:00:00"/>
    <n v="4"/>
    <n v="25"/>
    <n v="2026"/>
    <x v="11"/>
    <s v="Q2"/>
    <x v="0"/>
  </r>
  <r>
    <s v="O107417"/>
    <x v="90"/>
    <x v="2"/>
    <x v="7"/>
    <x v="1"/>
    <x v="1"/>
    <n v="8"/>
    <n v="100940"/>
    <d v="2026-03-27T00:00:00"/>
    <n v="3"/>
    <n v="27"/>
    <n v="2026"/>
    <x v="5"/>
    <s v="Q1"/>
    <x v="1"/>
  </r>
  <r>
    <s v="O110109"/>
    <x v="797"/>
    <x v="6"/>
    <x v="7"/>
    <x v="1"/>
    <x v="0"/>
    <n v="8"/>
    <n v="100928"/>
    <d v="2026-07-09T00:00:00"/>
    <n v="7"/>
    <n v="9"/>
    <n v="2026"/>
    <x v="10"/>
    <s v="Q3"/>
    <x v="1"/>
  </r>
  <r>
    <s v="O103652"/>
    <x v="612"/>
    <x v="8"/>
    <x v="7"/>
    <x v="3"/>
    <x v="2"/>
    <n v="7"/>
    <n v="100895"/>
    <d v="2025-10-08T00:00:00"/>
    <n v="10"/>
    <n v="8"/>
    <n v="2025"/>
    <x v="9"/>
    <s v="Q4"/>
    <x v="3"/>
  </r>
  <r>
    <s v="O105618"/>
    <x v="253"/>
    <x v="8"/>
    <x v="7"/>
    <x v="0"/>
    <x v="3"/>
    <n v="7"/>
    <n v="100850"/>
    <d v="2025-08-12T00:00:00"/>
    <n v="8"/>
    <n v="12"/>
    <n v="2025"/>
    <x v="8"/>
    <s v="Q3"/>
    <x v="0"/>
  </r>
  <r>
    <s v="O106667"/>
    <x v="559"/>
    <x v="2"/>
    <x v="7"/>
    <x v="1"/>
    <x v="3"/>
    <n v="6"/>
    <n v="100849"/>
    <d v="2026-09-02T00:00:00"/>
    <n v="9"/>
    <n v="2"/>
    <n v="2026"/>
    <x v="1"/>
    <m/>
    <x v="1"/>
  </r>
  <r>
    <s v="O104627"/>
    <x v="503"/>
    <x v="8"/>
    <x v="7"/>
    <x v="2"/>
    <x v="2"/>
    <n v="6"/>
    <n v="100846"/>
    <d v="2025-09-10T00:00:00"/>
    <n v="9"/>
    <n v="10"/>
    <n v="2025"/>
    <x v="1"/>
    <s v="Q3"/>
    <x v="2"/>
  </r>
  <r>
    <s v="O100503"/>
    <x v="353"/>
    <x v="3"/>
    <x v="7"/>
    <x v="0"/>
    <x v="0"/>
    <n v="6"/>
    <n v="100821"/>
    <d v="2025-01-31T00:00:00"/>
    <n v="1"/>
    <n v="31"/>
    <n v="2025"/>
    <x v="6"/>
    <s v="Q1"/>
    <x v="0"/>
  </r>
  <r>
    <s v="O110658"/>
    <x v="245"/>
    <x v="4"/>
    <x v="6"/>
    <x v="4"/>
    <x v="1"/>
    <n v="5"/>
    <n v="100765"/>
    <d v="2026-10-10T00:00:00"/>
    <n v="10"/>
    <n v="10"/>
    <n v="2026"/>
    <x v="9"/>
    <s v="Q4"/>
    <x v="4"/>
  </r>
  <r>
    <s v="O104545"/>
    <x v="628"/>
    <x v="9"/>
    <x v="7"/>
    <x v="4"/>
    <x v="3"/>
    <n v="7"/>
    <n v="100690"/>
    <d v="2025-04-10T00:00:00"/>
    <n v="4"/>
    <n v="10"/>
    <n v="2025"/>
    <x v="11"/>
    <s v="Q2"/>
    <x v="4"/>
  </r>
  <r>
    <s v="O106454"/>
    <x v="700"/>
    <x v="2"/>
    <x v="7"/>
    <x v="2"/>
    <x v="2"/>
    <n v="6"/>
    <n v="100570"/>
    <d v="2026-01-28T00:00:00"/>
    <n v="1"/>
    <n v="28"/>
    <n v="2026"/>
    <x v="6"/>
    <s v="Q1"/>
    <x v="2"/>
  </r>
  <r>
    <s v="O110759"/>
    <x v="410"/>
    <x v="3"/>
    <x v="7"/>
    <x v="3"/>
    <x v="2"/>
    <n v="6"/>
    <n v="100455"/>
    <d v="2026-10-16T00:00:00"/>
    <n v="10"/>
    <n v="16"/>
    <n v="2026"/>
    <x v="9"/>
    <s v="Q4"/>
    <x v="3"/>
  </r>
  <r>
    <s v="O106562"/>
    <x v="591"/>
    <x v="4"/>
    <x v="7"/>
    <x v="2"/>
    <x v="2"/>
    <n v="8"/>
    <n v="100400"/>
    <d v="2026-03-02T00:00:00"/>
    <n v="3"/>
    <n v="2"/>
    <n v="2026"/>
    <x v="5"/>
    <s v="Q1"/>
    <x v="2"/>
  </r>
  <r>
    <s v="O109597"/>
    <x v="248"/>
    <x v="5"/>
    <x v="1"/>
    <x v="4"/>
    <x v="2"/>
    <n v="5"/>
    <n v="100393"/>
    <d v="2026-07-08T00:00:00"/>
    <n v="7"/>
    <n v="8"/>
    <n v="2026"/>
    <x v="10"/>
    <s v="Q3"/>
    <x v="4"/>
  </r>
  <r>
    <s v="O109378"/>
    <x v="727"/>
    <x v="2"/>
    <x v="7"/>
    <x v="4"/>
    <x v="2"/>
    <n v="6"/>
    <n v="100388"/>
    <d v="2026-07-24T00:00:00"/>
    <n v="7"/>
    <n v="24"/>
    <n v="2026"/>
    <x v="10"/>
    <s v="Q3"/>
    <x v="4"/>
  </r>
  <r>
    <s v="O101813"/>
    <x v="184"/>
    <x v="1"/>
    <x v="7"/>
    <x v="4"/>
    <x v="1"/>
    <n v="6"/>
    <n v="100284"/>
    <d v="2025-04-21T00:00:00"/>
    <n v="4"/>
    <n v="21"/>
    <n v="2025"/>
    <x v="11"/>
    <s v="Q2"/>
    <x v="4"/>
  </r>
  <r>
    <s v="O110635"/>
    <x v="728"/>
    <x v="0"/>
    <x v="7"/>
    <x v="3"/>
    <x v="2"/>
    <n v="8"/>
    <n v="100269"/>
    <d v="2026-09-10T00:00:00"/>
    <n v="9"/>
    <n v="10"/>
    <n v="2026"/>
    <x v="1"/>
    <s v="Q3"/>
    <x v="3"/>
  </r>
  <r>
    <s v="O103409"/>
    <x v="91"/>
    <x v="8"/>
    <x v="7"/>
    <x v="4"/>
    <x v="1"/>
    <n v="8"/>
    <n v="100259"/>
    <d v="2025-07-27T00:00:00"/>
    <n v="7"/>
    <n v="27"/>
    <n v="2025"/>
    <x v="10"/>
    <s v="Q3"/>
    <x v="4"/>
  </r>
  <r>
    <s v="O104895"/>
    <x v="641"/>
    <x v="2"/>
    <x v="7"/>
    <x v="4"/>
    <x v="1"/>
    <n v="8"/>
    <n v="100134"/>
    <d v="2025-10-25T00:00:00"/>
    <n v="10"/>
    <n v="25"/>
    <n v="2025"/>
    <x v="9"/>
    <s v="Q4"/>
    <x v="4"/>
  </r>
  <r>
    <s v="O103530"/>
    <x v="708"/>
    <x v="0"/>
    <x v="6"/>
    <x v="1"/>
    <x v="0"/>
    <n v="4"/>
    <n v="100069"/>
    <d v="2025-03-08T00:00:00"/>
    <n v="3"/>
    <n v="8"/>
    <n v="2025"/>
    <x v="5"/>
    <s v="Q1"/>
    <x v="1"/>
  </r>
  <r>
    <s v="O111048"/>
    <x v="394"/>
    <x v="10"/>
    <x v="7"/>
    <x v="3"/>
    <x v="2"/>
    <n v="6"/>
    <n v="100053"/>
    <d v="2026-03-11T00:00:00"/>
    <n v="3"/>
    <n v="11"/>
    <n v="2026"/>
    <x v="5"/>
    <s v="Q1"/>
    <x v="3"/>
  </r>
  <r>
    <s v="O109890"/>
    <x v="385"/>
    <x v="1"/>
    <x v="7"/>
    <x v="1"/>
    <x v="3"/>
    <n v="8"/>
    <n v="99978"/>
    <d v="2026-08-24T00:00:00"/>
    <n v="8"/>
    <n v="24"/>
    <n v="2026"/>
    <x v="8"/>
    <s v="Q3"/>
    <x v="1"/>
  </r>
  <r>
    <s v="O110588"/>
    <x v="185"/>
    <x v="0"/>
    <x v="5"/>
    <x v="2"/>
    <x v="0"/>
    <n v="1"/>
    <n v="99952"/>
    <d v="2026-06-10T00:00:00"/>
    <n v="6"/>
    <n v="10"/>
    <n v="2026"/>
    <x v="2"/>
    <s v="Q2"/>
    <x v="2"/>
  </r>
  <r>
    <s v="O104263"/>
    <x v="793"/>
    <x v="6"/>
    <x v="7"/>
    <x v="1"/>
    <x v="0"/>
    <n v="6"/>
    <n v="99912"/>
    <d v="2025-09-16T00:00:00"/>
    <n v="9"/>
    <n v="16"/>
    <n v="2025"/>
    <x v="1"/>
    <s v="Q3"/>
    <x v="1"/>
  </r>
  <r>
    <s v="O103511"/>
    <x v="18"/>
    <x v="6"/>
    <x v="7"/>
    <x v="4"/>
    <x v="2"/>
    <n v="6"/>
    <n v="99880"/>
    <d v="2025-02-08T00:00:00"/>
    <n v="2"/>
    <n v="8"/>
    <n v="2025"/>
    <x v="4"/>
    <s v="Q1"/>
    <x v="4"/>
  </r>
  <r>
    <s v="O104533"/>
    <x v="550"/>
    <x v="9"/>
    <x v="7"/>
    <x v="3"/>
    <x v="2"/>
    <n v="8"/>
    <n v="99869"/>
    <d v="2025-03-10T00:00:00"/>
    <n v="3"/>
    <n v="10"/>
    <n v="2025"/>
    <x v="5"/>
    <s v="Q1"/>
    <x v="3"/>
  </r>
  <r>
    <s v="O108376"/>
    <x v="81"/>
    <x v="9"/>
    <x v="7"/>
    <x v="4"/>
    <x v="1"/>
    <n v="6"/>
    <n v="99866"/>
    <d v="2026-05-24T00:00:00"/>
    <n v="5"/>
    <n v="24"/>
    <n v="2026"/>
    <x v="3"/>
    <s v="Q2"/>
    <x v="4"/>
  </r>
  <r>
    <s v="O106367"/>
    <x v="712"/>
    <x v="2"/>
    <x v="7"/>
    <x v="2"/>
    <x v="3"/>
    <n v="8"/>
    <n v="99837"/>
    <d v="2026-01-22T00:00:00"/>
    <n v="1"/>
    <n v="22"/>
    <n v="2026"/>
    <x v="6"/>
    <s v="Q1"/>
    <x v="2"/>
  </r>
  <r>
    <s v="O102417"/>
    <x v="215"/>
    <x v="10"/>
    <x v="7"/>
    <x v="1"/>
    <x v="0"/>
    <n v="7"/>
    <n v="99799"/>
    <d v="2025-05-27T00:00:00"/>
    <n v="5"/>
    <n v="27"/>
    <n v="2025"/>
    <x v="3"/>
    <s v="Q2"/>
    <x v="1"/>
  </r>
  <r>
    <s v="O109848"/>
    <x v="426"/>
    <x v="9"/>
    <x v="7"/>
    <x v="2"/>
    <x v="1"/>
    <n v="8"/>
    <n v="99755"/>
    <d v="2026-08-22T00:00:00"/>
    <n v="8"/>
    <n v="22"/>
    <n v="2026"/>
    <x v="8"/>
    <s v="Q3"/>
    <x v="2"/>
  </r>
  <r>
    <s v="O107039"/>
    <x v="783"/>
    <x v="3"/>
    <x v="6"/>
    <x v="2"/>
    <x v="1"/>
    <n v="4"/>
    <n v="99706"/>
    <d v="2026-04-03T00:00:00"/>
    <n v="4"/>
    <n v="3"/>
    <n v="2026"/>
    <x v="11"/>
    <s v="Q2"/>
    <x v="2"/>
  </r>
  <r>
    <s v="O106581"/>
    <x v="622"/>
    <x v="6"/>
    <x v="5"/>
    <x v="0"/>
    <x v="3"/>
    <n v="1"/>
    <n v="99700"/>
    <d v="2026-04-02T00:00:00"/>
    <n v="4"/>
    <n v="2"/>
    <n v="2026"/>
    <x v="11"/>
    <s v="Q2"/>
    <x v="0"/>
  </r>
  <r>
    <s v="O103032"/>
    <x v="720"/>
    <x v="5"/>
    <x v="7"/>
    <x v="0"/>
    <x v="0"/>
    <n v="7"/>
    <n v="99682"/>
    <d v="2025-04-07T00:00:00"/>
    <n v="4"/>
    <n v="7"/>
    <n v="2025"/>
    <x v="11"/>
    <s v="Q2"/>
    <x v="0"/>
  </r>
  <r>
    <s v="O103896"/>
    <x v="124"/>
    <x v="9"/>
    <x v="5"/>
    <x v="4"/>
    <x v="1"/>
    <n v="1"/>
    <n v="99649"/>
    <d v="2025-08-25T00:00:00"/>
    <n v="8"/>
    <n v="25"/>
    <n v="2025"/>
    <x v="8"/>
    <s v="Q3"/>
    <x v="4"/>
  </r>
  <r>
    <s v="O102566"/>
    <x v="406"/>
    <x v="10"/>
    <x v="7"/>
    <x v="4"/>
    <x v="0"/>
    <n v="6"/>
    <n v="99601"/>
    <d v="2025-05-06T00:00:00"/>
    <n v="5"/>
    <n v="6"/>
    <n v="2025"/>
    <x v="3"/>
    <s v="Q2"/>
    <x v="4"/>
  </r>
  <r>
    <s v="O106460"/>
    <x v="360"/>
    <x v="5"/>
    <x v="7"/>
    <x v="1"/>
    <x v="2"/>
    <n v="7"/>
    <n v="99564"/>
    <d v="2026-01-28T00:00:00"/>
    <n v="1"/>
    <n v="28"/>
    <n v="2026"/>
    <x v="6"/>
    <s v="Q1"/>
    <x v="1"/>
  </r>
  <r>
    <s v="O108753"/>
    <x v="576"/>
    <x v="2"/>
    <x v="7"/>
    <x v="0"/>
    <x v="0"/>
    <n v="6"/>
    <n v="99534"/>
    <d v="2026-06-16T00:00:00"/>
    <n v="6"/>
    <n v="16"/>
    <n v="2026"/>
    <x v="2"/>
    <s v="Q2"/>
    <x v="0"/>
  </r>
  <r>
    <s v="O110935"/>
    <x v="442"/>
    <x v="6"/>
    <x v="6"/>
    <x v="0"/>
    <x v="1"/>
    <n v="4"/>
    <n v="99526"/>
    <d v="2026-10-27T00:00:00"/>
    <n v="10"/>
    <n v="27"/>
    <n v="2026"/>
    <x v="9"/>
    <s v="Q4"/>
    <x v="0"/>
  </r>
  <r>
    <s v="O107188"/>
    <x v="670"/>
    <x v="10"/>
    <x v="7"/>
    <x v="3"/>
    <x v="2"/>
    <n v="8"/>
    <n v="99435"/>
    <d v="2026-03-13T00:00:00"/>
    <n v="3"/>
    <n v="13"/>
    <n v="2026"/>
    <x v="5"/>
    <s v="Q1"/>
    <x v="3"/>
  </r>
  <r>
    <s v="O104218"/>
    <x v="33"/>
    <x v="5"/>
    <x v="6"/>
    <x v="0"/>
    <x v="0"/>
    <n v="5"/>
    <n v="99429"/>
    <d v="2025-09-14T00:00:00"/>
    <n v="9"/>
    <n v="14"/>
    <n v="2025"/>
    <x v="1"/>
    <s v="Q3"/>
    <x v="0"/>
  </r>
  <r>
    <s v="O108330"/>
    <x v="326"/>
    <x v="3"/>
    <x v="6"/>
    <x v="3"/>
    <x v="2"/>
    <n v="5"/>
    <n v="99421"/>
    <d v="2026-05-22T00:00:00"/>
    <n v="5"/>
    <n v="22"/>
    <n v="2026"/>
    <x v="3"/>
    <s v="Q2"/>
    <x v="3"/>
  </r>
  <r>
    <s v="O109594"/>
    <x v="124"/>
    <x v="3"/>
    <x v="7"/>
    <x v="2"/>
    <x v="2"/>
    <n v="6"/>
    <n v="99346"/>
    <d v="2026-06-08T00:00:00"/>
    <n v="6"/>
    <n v="8"/>
    <n v="2026"/>
    <x v="2"/>
    <s v="Q2"/>
    <x v="2"/>
  </r>
  <r>
    <s v="O106424"/>
    <x v="659"/>
    <x v="1"/>
    <x v="7"/>
    <x v="2"/>
    <x v="3"/>
    <n v="7"/>
    <n v="99298"/>
    <d v="2026-01-26T00:00:00"/>
    <n v="1"/>
    <n v="26"/>
    <n v="2026"/>
    <x v="6"/>
    <s v="Q1"/>
    <x v="2"/>
  </r>
  <r>
    <s v="O111216"/>
    <x v="86"/>
    <x v="2"/>
    <x v="7"/>
    <x v="3"/>
    <x v="3"/>
    <n v="6"/>
    <n v="99184"/>
    <d v="2026-11-13T00:00:00"/>
    <n v="11"/>
    <n v="13"/>
    <n v="2026"/>
    <x v="0"/>
    <s v="Q4"/>
    <x v="3"/>
  </r>
  <r>
    <s v="O109812"/>
    <x v="353"/>
    <x v="2"/>
    <x v="5"/>
    <x v="3"/>
    <x v="0"/>
    <n v="1"/>
    <n v="99141"/>
    <d v="2026-08-20T00:00:00"/>
    <n v="8"/>
    <n v="20"/>
    <n v="2026"/>
    <x v="8"/>
    <s v="Q3"/>
    <x v="3"/>
  </r>
  <r>
    <s v="O104595"/>
    <x v="40"/>
    <x v="4"/>
    <x v="6"/>
    <x v="2"/>
    <x v="1"/>
    <n v="4"/>
    <n v="99123"/>
    <d v="2025-07-10T00:00:00"/>
    <n v="7"/>
    <n v="10"/>
    <n v="2025"/>
    <x v="10"/>
    <s v="Q3"/>
    <x v="2"/>
  </r>
  <r>
    <s v="O110426"/>
    <x v="687"/>
    <x v="8"/>
    <x v="5"/>
    <x v="3"/>
    <x v="1"/>
    <n v="1"/>
    <n v="99075"/>
    <d v="2026-09-26T00:00:00"/>
    <n v="9"/>
    <n v="26"/>
    <n v="2026"/>
    <x v="1"/>
    <s v="Q3"/>
    <x v="3"/>
  </r>
  <r>
    <s v="O111196"/>
    <x v="605"/>
    <x v="2"/>
    <x v="7"/>
    <x v="4"/>
    <x v="1"/>
    <n v="8"/>
    <n v="98820"/>
    <d v="2026-12-11T00:00:00"/>
    <n v="12"/>
    <n v="11"/>
    <n v="2026"/>
    <x v="7"/>
    <s v="Q4"/>
    <x v="4"/>
  </r>
  <r>
    <s v="O110597"/>
    <x v="102"/>
    <x v="2"/>
    <x v="6"/>
    <x v="4"/>
    <x v="2"/>
    <n v="5"/>
    <n v="98702"/>
    <d v="2026-06-10T00:00:00"/>
    <n v="6"/>
    <n v="10"/>
    <n v="2026"/>
    <x v="2"/>
    <s v="Q2"/>
    <x v="4"/>
  </r>
  <r>
    <s v="O105177"/>
    <x v="74"/>
    <x v="0"/>
    <x v="5"/>
    <x v="2"/>
    <x v="2"/>
    <n v="1"/>
    <n v="98668"/>
    <d v="2025-11-11T00:00:00"/>
    <n v="11"/>
    <n v="11"/>
    <n v="2025"/>
    <x v="0"/>
    <s v="Q4"/>
    <x v="2"/>
  </r>
  <r>
    <s v="O104021"/>
    <x v="360"/>
    <x v="5"/>
    <x v="7"/>
    <x v="4"/>
    <x v="1"/>
    <n v="7"/>
    <n v="98590"/>
    <d v="2025-02-09T00:00:00"/>
    <n v="2"/>
    <n v="9"/>
    <n v="2025"/>
    <x v="4"/>
    <s v="Q1"/>
    <x v="4"/>
  </r>
  <r>
    <s v="O105782"/>
    <x v="152"/>
    <x v="2"/>
    <x v="7"/>
    <x v="1"/>
    <x v="2"/>
    <n v="6"/>
    <n v="98567"/>
    <d v="2025-12-18T00:00:00"/>
    <n v="12"/>
    <n v="18"/>
    <n v="2025"/>
    <x v="7"/>
    <s v="Q4"/>
    <x v="1"/>
  </r>
  <r>
    <s v="O111362"/>
    <x v="635"/>
    <x v="3"/>
    <x v="6"/>
    <x v="2"/>
    <x v="1"/>
    <n v="4"/>
    <n v="98538"/>
    <d v="2026-11-22T00:00:00"/>
    <n v="11"/>
    <n v="22"/>
    <n v="2026"/>
    <x v="0"/>
    <s v="Q4"/>
    <x v="2"/>
  </r>
  <r>
    <s v="O108938"/>
    <x v="85"/>
    <x v="0"/>
    <x v="5"/>
    <x v="3"/>
    <x v="3"/>
    <n v="1"/>
    <n v="98470"/>
    <d v="2026-06-27T00:00:00"/>
    <n v="6"/>
    <n v="27"/>
    <n v="2026"/>
    <x v="2"/>
    <s v="Q2"/>
    <x v="3"/>
  </r>
  <r>
    <s v="O103534"/>
    <x v="496"/>
    <x v="2"/>
    <x v="7"/>
    <x v="4"/>
    <x v="2"/>
    <n v="6"/>
    <n v="98448"/>
    <d v="2025-03-08T00:00:00"/>
    <n v="3"/>
    <n v="8"/>
    <n v="2025"/>
    <x v="5"/>
    <s v="Q1"/>
    <x v="4"/>
  </r>
  <r>
    <s v="O102653"/>
    <x v="523"/>
    <x v="0"/>
    <x v="7"/>
    <x v="2"/>
    <x v="0"/>
    <n v="6"/>
    <n v="98371"/>
    <d v="2025-11-06T00:00:00"/>
    <n v="11"/>
    <n v="6"/>
    <n v="2025"/>
    <x v="0"/>
    <s v="Q4"/>
    <x v="2"/>
  </r>
  <r>
    <s v="O108388"/>
    <x v="687"/>
    <x v="0"/>
    <x v="7"/>
    <x v="1"/>
    <x v="3"/>
    <n v="6"/>
    <n v="98288"/>
    <d v="2026-05-25T00:00:00"/>
    <n v="5"/>
    <n v="25"/>
    <n v="2026"/>
    <x v="3"/>
    <s v="Q2"/>
    <x v="1"/>
  </r>
  <r>
    <s v="O103242"/>
    <x v="462"/>
    <x v="1"/>
    <x v="6"/>
    <x v="4"/>
    <x v="3"/>
    <n v="4"/>
    <n v="98252"/>
    <d v="2025-07-16T00:00:00"/>
    <n v="7"/>
    <n v="16"/>
    <n v="2025"/>
    <x v="10"/>
    <s v="Q3"/>
    <x v="4"/>
  </r>
  <r>
    <s v="O105643"/>
    <x v="768"/>
    <x v="2"/>
    <x v="7"/>
    <x v="3"/>
    <x v="0"/>
    <n v="6"/>
    <n v="98245"/>
    <d v="2025-09-12T00:00:00"/>
    <n v="9"/>
    <n v="12"/>
    <n v="2025"/>
    <x v="1"/>
    <s v="Q3"/>
    <x v="3"/>
  </r>
  <r>
    <s v="O105441"/>
    <x v="730"/>
    <x v="6"/>
    <x v="6"/>
    <x v="1"/>
    <x v="3"/>
    <n v="4"/>
    <n v="98239"/>
    <d v="2025-11-27T00:00:00"/>
    <n v="11"/>
    <n v="27"/>
    <n v="2025"/>
    <x v="0"/>
    <s v="Q4"/>
    <x v="1"/>
  </r>
  <r>
    <s v="O101530"/>
    <x v="99"/>
    <x v="10"/>
    <x v="6"/>
    <x v="2"/>
    <x v="0"/>
    <n v="4"/>
    <n v="98229"/>
    <d v="2025-03-04T00:00:00"/>
    <n v="3"/>
    <n v="4"/>
    <n v="2025"/>
    <x v="5"/>
    <s v="Q1"/>
    <x v="2"/>
  </r>
  <r>
    <s v="O108918"/>
    <x v="171"/>
    <x v="3"/>
    <x v="5"/>
    <x v="3"/>
    <x v="2"/>
    <n v="1"/>
    <n v="98210"/>
    <d v="2026-06-26T00:00:00"/>
    <n v="6"/>
    <n v="26"/>
    <n v="2026"/>
    <x v="2"/>
    <s v="Q2"/>
    <x v="3"/>
  </r>
  <r>
    <s v="O103024"/>
    <x v="441"/>
    <x v="4"/>
    <x v="7"/>
    <x v="1"/>
    <x v="3"/>
    <n v="8"/>
    <n v="98147"/>
    <d v="2025-03-07T00:00:00"/>
    <n v="3"/>
    <n v="7"/>
    <n v="2025"/>
    <x v="5"/>
    <s v="Q1"/>
    <x v="1"/>
  </r>
  <r>
    <s v="O107156"/>
    <x v="568"/>
    <x v="9"/>
    <x v="5"/>
    <x v="3"/>
    <x v="0"/>
    <n v="1"/>
    <n v="98146"/>
    <d v="2026-11-03T00:00:00"/>
    <n v="11"/>
    <n v="3"/>
    <n v="2026"/>
    <x v="0"/>
    <s v="Q4"/>
    <x v="3"/>
  </r>
  <r>
    <s v="O110928"/>
    <x v="775"/>
    <x v="3"/>
    <x v="6"/>
    <x v="3"/>
    <x v="1"/>
    <n v="4"/>
    <n v="98096"/>
    <d v="2026-10-26T00:00:00"/>
    <n v="10"/>
    <n v="26"/>
    <n v="2026"/>
    <x v="9"/>
    <s v="Q4"/>
    <x v="3"/>
  </r>
  <r>
    <s v="O103788"/>
    <x v="608"/>
    <x v="6"/>
    <x v="6"/>
    <x v="4"/>
    <x v="0"/>
    <n v="5"/>
    <n v="97931"/>
    <d v="2025-08-19T00:00:00"/>
    <n v="8"/>
    <n v="19"/>
    <n v="2025"/>
    <x v="8"/>
    <s v="Q3"/>
    <x v="4"/>
  </r>
  <r>
    <s v="O104497"/>
    <x v="389"/>
    <x v="1"/>
    <x v="6"/>
    <x v="4"/>
    <x v="0"/>
    <n v="4"/>
    <n v="97915"/>
    <d v="2025-01-10T00:00:00"/>
    <n v="1"/>
    <n v="10"/>
    <n v="2025"/>
    <x v="6"/>
    <s v="Q1"/>
    <x v="4"/>
  </r>
  <r>
    <s v="O102147"/>
    <x v="605"/>
    <x v="9"/>
    <x v="6"/>
    <x v="3"/>
    <x v="3"/>
    <n v="5"/>
    <n v="97908"/>
    <d v="2025-11-05T00:00:00"/>
    <n v="11"/>
    <n v="5"/>
    <n v="2025"/>
    <x v="0"/>
    <s v="Q4"/>
    <x v="3"/>
  </r>
  <r>
    <s v="O103093"/>
    <x v="536"/>
    <x v="5"/>
    <x v="7"/>
    <x v="1"/>
    <x v="2"/>
    <n v="8"/>
    <n v="97853"/>
    <d v="2025-07-07T00:00:00"/>
    <n v="7"/>
    <n v="7"/>
    <n v="2025"/>
    <x v="10"/>
    <s v="Q3"/>
    <x v="1"/>
  </r>
  <r>
    <s v="O109686"/>
    <x v="74"/>
    <x v="10"/>
    <x v="6"/>
    <x v="3"/>
    <x v="2"/>
    <n v="4"/>
    <n v="97822"/>
    <d v="2026-12-08T00:00:00"/>
    <n v="12"/>
    <n v="8"/>
    <n v="2026"/>
    <x v="7"/>
    <s v="Q4"/>
    <x v="3"/>
  </r>
  <r>
    <s v="O105646"/>
    <x v="273"/>
    <x v="2"/>
    <x v="7"/>
    <x v="3"/>
    <x v="2"/>
    <n v="6"/>
    <n v="97793"/>
    <d v="2025-09-12T00:00:00"/>
    <n v="9"/>
    <n v="12"/>
    <n v="2025"/>
    <x v="1"/>
    <s v="Q3"/>
    <x v="3"/>
  </r>
  <r>
    <s v="O110611"/>
    <x v="123"/>
    <x v="10"/>
    <x v="6"/>
    <x v="4"/>
    <x v="3"/>
    <n v="4"/>
    <n v="97593"/>
    <d v="2026-07-10T00:00:00"/>
    <n v="7"/>
    <n v="10"/>
    <n v="2026"/>
    <x v="10"/>
    <s v="Q3"/>
    <x v="4"/>
  </r>
  <r>
    <s v="O108271"/>
    <x v="533"/>
    <x v="8"/>
    <x v="7"/>
    <x v="0"/>
    <x v="3"/>
    <n v="7"/>
    <n v="97545"/>
    <d v="2026-05-18T00:00:00"/>
    <n v="5"/>
    <n v="18"/>
    <n v="2026"/>
    <x v="3"/>
    <s v="Q2"/>
    <x v="0"/>
  </r>
  <r>
    <s v="O108467"/>
    <x v="43"/>
    <x v="3"/>
    <x v="6"/>
    <x v="3"/>
    <x v="3"/>
    <n v="5"/>
    <n v="97541"/>
    <d v="2026-05-30T00:00:00"/>
    <n v="5"/>
    <n v="30"/>
    <n v="2026"/>
    <x v="3"/>
    <s v="Q2"/>
    <x v="3"/>
  </r>
  <r>
    <s v="O110271"/>
    <x v="702"/>
    <x v="0"/>
    <x v="7"/>
    <x v="2"/>
    <x v="1"/>
    <n v="6"/>
    <n v="97527"/>
    <d v="2026-09-16T00:00:00"/>
    <n v="9"/>
    <n v="16"/>
    <n v="2026"/>
    <x v="1"/>
    <s v="Q3"/>
    <x v="2"/>
  </r>
  <r>
    <s v="O111426"/>
    <x v="706"/>
    <x v="9"/>
    <x v="7"/>
    <x v="0"/>
    <x v="0"/>
    <n v="8"/>
    <n v="97457"/>
    <d v="2026-11-26T00:00:00"/>
    <n v="11"/>
    <n v="26"/>
    <n v="2026"/>
    <x v="0"/>
    <s v="Q4"/>
    <x v="0"/>
  </r>
  <r>
    <s v="O104567"/>
    <x v="714"/>
    <x v="10"/>
    <x v="7"/>
    <x v="2"/>
    <x v="2"/>
    <n v="8"/>
    <n v="97420"/>
    <d v="2025-05-10T00:00:00"/>
    <n v="5"/>
    <n v="10"/>
    <n v="2025"/>
    <x v="3"/>
    <s v="Q2"/>
    <x v="2"/>
  </r>
  <r>
    <s v="O100993"/>
    <x v="71"/>
    <x v="8"/>
    <x v="7"/>
    <x v="4"/>
    <x v="3"/>
    <n v="7"/>
    <n v="97405"/>
    <d v="2025-02-03T00:00:00"/>
    <n v="2"/>
    <n v="3"/>
    <n v="2025"/>
    <x v="4"/>
    <s v="Q1"/>
    <x v="4"/>
  </r>
  <r>
    <s v="O111264"/>
    <x v="0"/>
    <x v="5"/>
    <x v="6"/>
    <x v="2"/>
    <x v="1"/>
    <n v="4"/>
    <n v="97299"/>
    <d v="2026-11-16T00:00:00"/>
    <n v="11"/>
    <n v="16"/>
    <n v="2026"/>
    <x v="0"/>
    <s v="Q4"/>
    <x v="2"/>
  </r>
  <r>
    <s v="O111474"/>
    <x v="166"/>
    <x v="1"/>
    <x v="6"/>
    <x v="3"/>
    <x v="2"/>
    <n v="4"/>
    <n v="97270"/>
    <d v="2026-11-29T00:00:00"/>
    <n v="11"/>
    <n v="29"/>
    <n v="2026"/>
    <x v="0"/>
    <s v="Q4"/>
    <x v="3"/>
  </r>
  <r>
    <s v="O102881"/>
    <x v="728"/>
    <x v="3"/>
    <x v="7"/>
    <x v="0"/>
    <x v="3"/>
    <n v="6"/>
    <n v="97268"/>
    <d v="2025-06-24T00:00:00"/>
    <n v="6"/>
    <n v="24"/>
    <n v="2025"/>
    <x v="2"/>
    <s v="Q2"/>
    <x v="0"/>
  </r>
  <r>
    <s v="O100693"/>
    <x v="484"/>
    <x v="5"/>
    <x v="6"/>
    <x v="2"/>
    <x v="1"/>
    <n v="5"/>
    <n v="97233"/>
    <d v="2025-12-02T00:00:00"/>
    <n v="12"/>
    <n v="2"/>
    <n v="2025"/>
    <x v="7"/>
    <s v="Q4"/>
    <x v="2"/>
  </r>
  <r>
    <s v="O104016"/>
    <x v="551"/>
    <x v="1"/>
    <x v="7"/>
    <x v="1"/>
    <x v="0"/>
    <n v="6"/>
    <n v="97168"/>
    <d v="2025-01-09T00:00:00"/>
    <n v="1"/>
    <n v="9"/>
    <n v="2025"/>
    <x v="6"/>
    <s v="Q1"/>
    <x v="1"/>
  </r>
  <r>
    <s v="O103771"/>
    <x v="398"/>
    <x v="10"/>
    <x v="6"/>
    <x v="3"/>
    <x v="0"/>
    <n v="5"/>
    <n v="97094"/>
    <d v="2025-08-18T00:00:00"/>
    <n v="8"/>
    <n v="18"/>
    <n v="2025"/>
    <x v="8"/>
    <s v="Q3"/>
    <x v="3"/>
  </r>
  <r>
    <s v="O104516"/>
    <x v="454"/>
    <x v="0"/>
    <x v="7"/>
    <x v="1"/>
    <x v="3"/>
    <n v="6"/>
    <n v="96990"/>
    <d v="2025-02-10T00:00:00"/>
    <n v="2"/>
    <n v="10"/>
    <n v="2025"/>
    <x v="4"/>
    <s v="Q1"/>
    <x v="1"/>
  </r>
  <r>
    <s v="O104917"/>
    <x v="10"/>
    <x v="5"/>
    <x v="7"/>
    <x v="0"/>
    <x v="0"/>
    <n v="8"/>
    <n v="96914"/>
    <d v="2025-10-26T00:00:00"/>
    <n v="10"/>
    <n v="26"/>
    <n v="2025"/>
    <x v="9"/>
    <s v="Q4"/>
    <x v="0"/>
  </r>
  <r>
    <s v="O102413"/>
    <x v="526"/>
    <x v="6"/>
    <x v="6"/>
    <x v="4"/>
    <x v="1"/>
    <n v="4"/>
    <n v="96892"/>
    <d v="2025-05-27T00:00:00"/>
    <n v="5"/>
    <n v="27"/>
    <n v="2025"/>
    <x v="3"/>
    <s v="Q2"/>
    <x v="4"/>
  </r>
  <r>
    <s v="O102606"/>
    <x v="444"/>
    <x v="2"/>
    <x v="6"/>
    <x v="3"/>
    <x v="1"/>
    <n v="5"/>
    <n v="96866"/>
    <d v="2025-08-06T00:00:00"/>
    <n v="8"/>
    <n v="6"/>
    <n v="2025"/>
    <x v="8"/>
    <s v="Q3"/>
    <x v="3"/>
  </r>
  <r>
    <s v="O107757"/>
    <x v="423"/>
    <x v="5"/>
    <x v="7"/>
    <x v="1"/>
    <x v="0"/>
    <n v="7"/>
    <n v="96854"/>
    <d v="2026-04-17T00:00:00"/>
    <n v="4"/>
    <n v="17"/>
    <n v="2026"/>
    <x v="11"/>
    <s v="Q2"/>
    <x v="1"/>
  </r>
  <r>
    <s v="O107556"/>
    <x v="506"/>
    <x v="9"/>
    <x v="6"/>
    <x v="0"/>
    <x v="0"/>
    <n v="4"/>
    <n v="96814"/>
    <d v="2026-05-04T00:00:00"/>
    <n v="5"/>
    <n v="4"/>
    <n v="2026"/>
    <x v="3"/>
    <s v="Q2"/>
    <x v="0"/>
  </r>
  <r>
    <s v="O103571"/>
    <x v="91"/>
    <x v="9"/>
    <x v="7"/>
    <x v="1"/>
    <x v="2"/>
    <n v="8"/>
    <n v="96801"/>
    <d v="2025-05-08T00:00:00"/>
    <n v="5"/>
    <n v="8"/>
    <n v="2025"/>
    <x v="3"/>
    <s v="Q2"/>
    <x v="1"/>
  </r>
  <r>
    <s v="O101375"/>
    <x v="496"/>
    <x v="6"/>
    <x v="7"/>
    <x v="2"/>
    <x v="3"/>
    <n v="8"/>
    <n v="96799"/>
    <d v="2025-03-25T00:00:00"/>
    <n v="3"/>
    <n v="25"/>
    <n v="2025"/>
    <x v="5"/>
    <s v="Q1"/>
    <x v="2"/>
  </r>
  <r>
    <s v="O101357"/>
    <x v="722"/>
    <x v="1"/>
    <x v="5"/>
    <x v="0"/>
    <x v="0"/>
    <n v="1"/>
    <n v="96797"/>
    <d v="2025-03-24T00:00:00"/>
    <n v="3"/>
    <n v="24"/>
    <n v="2025"/>
    <x v="5"/>
    <s v="Q1"/>
    <x v="0"/>
  </r>
  <r>
    <s v="O100784"/>
    <x v="65"/>
    <x v="1"/>
    <x v="7"/>
    <x v="0"/>
    <x v="2"/>
    <n v="8"/>
    <n v="96793"/>
    <d v="2025-02-17T00:00:00"/>
    <n v="2"/>
    <n v="17"/>
    <n v="2025"/>
    <x v="4"/>
    <s v="Q1"/>
    <x v="0"/>
  </r>
  <r>
    <s v="O110440"/>
    <x v="210"/>
    <x v="5"/>
    <x v="7"/>
    <x v="1"/>
    <x v="2"/>
    <n v="7"/>
    <n v="96744"/>
    <d v="2026-09-27T00:00:00"/>
    <n v="9"/>
    <n v="27"/>
    <n v="2026"/>
    <x v="1"/>
    <s v="Q3"/>
    <x v="1"/>
  </r>
  <r>
    <s v="O108585"/>
    <x v="341"/>
    <x v="5"/>
    <x v="6"/>
    <x v="3"/>
    <x v="3"/>
    <n v="4"/>
    <n v="96660"/>
    <d v="2026-06-06T00:00:00"/>
    <n v="6"/>
    <n v="6"/>
    <n v="2026"/>
    <x v="2"/>
    <m/>
    <x v="3"/>
  </r>
  <r>
    <s v="O110419"/>
    <x v="534"/>
    <x v="5"/>
    <x v="7"/>
    <x v="3"/>
    <x v="0"/>
    <n v="6"/>
    <n v="96658"/>
    <d v="2026-09-25T00:00:00"/>
    <n v="9"/>
    <n v="25"/>
    <n v="2026"/>
    <x v="1"/>
    <s v="Q3"/>
    <x v="3"/>
  </r>
  <r>
    <s v="O110870"/>
    <x v="521"/>
    <x v="10"/>
    <x v="7"/>
    <x v="4"/>
    <x v="1"/>
    <n v="7"/>
    <n v="96556"/>
    <d v="2026-10-23T00:00:00"/>
    <n v="10"/>
    <n v="23"/>
    <n v="2026"/>
    <x v="9"/>
    <s v="Q4"/>
    <x v="4"/>
  </r>
  <r>
    <s v="O109340"/>
    <x v="731"/>
    <x v="5"/>
    <x v="6"/>
    <x v="4"/>
    <x v="3"/>
    <n v="5"/>
    <n v="96537"/>
    <d v="2026-07-22T00:00:00"/>
    <n v="7"/>
    <n v="22"/>
    <n v="2026"/>
    <x v="10"/>
    <s v="Q3"/>
    <x v="4"/>
  </r>
  <r>
    <s v="O100553"/>
    <x v="747"/>
    <x v="8"/>
    <x v="6"/>
    <x v="4"/>
    <x v="0"/>
    <n v="4"/>
    <n v="96496"/>
    <d v="2025-03-02T00:00:00"/>
    <n v="3"/>
    <n v="2"/>
    <n v="2025"/>
    <x v="5"/>
    <m/>
    <x v="4"/>
  </r>
  <r>
    <s v="O100131"/>
    <x v="261"/>
    <x v="2"/>
    <x v="7"/>
    <x v="4"/>
    <x v="1"/>
    <n v="6"/>
    <n v="96427"/>
    <d v="2025-08-01T00:00:00"/>
    <n v="8"/>
    <n v="1"/>
    <n v="2025"/>
    <x v="8"/>
    <s v="Q3"/>
    <x v="4"/>
  </r>
  <r>
    <s v="O106515"/>
    <x v="626"/>
    <x v="1"/>
    <x v="6"/>
    <x v="1"/>
    <x v="0"/>
    <n v="4"/>
    <n v="96379"/>
    <d v="2026-01-31T00:00:00"/>
    <n v="1"/>
    <n v="31"/>
    <n v="2026"/>
    <x v="6"/>
    <s v="Q1"/>
    <x v="1"/>
  </r>
  <r>
    <s v="O111014"/>
    <x v="46"/>
    <x v="2"/>
    <x v="7"/>
    <x v="1"/>
    <x v="3"/>
    <n v="6"/>
    <n v="96374"/>
    <d v="2026-01-11T00:00:00"/>
    <n v="1"/>
    <n v="11"/>
    <n v="2026"/>
    <x v="6"/>
    <s v="Q1"/>
    <x v="1"/>
  </r>
  <r>
    <s v="O110182"/>
    <x v="545"/>
    <x v="3"/>
    <x v="6"/>
    <x v="2"/>
    <x v="3"/>
    <n v="5"/>
    <n v="96269"/>
    <d v="2026-11-09T00:00:00"/>
    <n v="11"/>
    <n v="9"/>
    <n v="2026"/>
    <x v="0"/>
    <s v="Q4"/>
    <x v="2"/>
  </r>
  <r>
    <s v="O110735"/>
    <x v="117"/>
    <x v="3"/>
    <x v="7"/>
    <x v="0"/>
    <x v="0"/>
    <n v="7"/>
    <n v="96244"/>
    <d v="2026-10-15T00:00:00"/>
    <n v="10"/>
    <n v="15"/>
    <n v="2026"/>
    <x v="9"/>
    <s v="Q4"/>
    <x v="0"/>
  </r>
  <r>
    <s v="O104787"/>
    <x v="312"/>
    <x v="2"/>
    <x v="5"/>
    <x v="0"/>
    <x v="2"/>
    <n v="1"/>
    <n v="96202"/>
    <d v="2025-10-18T00:00:00"/>
    <n v="10"/>
    <n v="18"/>
    <n v="2025"/>
    <x v="9"/>
    <s v="Q4"/>
    <x v="0"/>
  </r>
  <r>
    <s v="O102729"/>
    <x v="467"/>
    <x v="3"/>
    <x v="7"/>
    <x v="0"/>
    <x v="0"/>
    <n v="6"/>
    <n v="96173"/>
    <d v="2025-06-15T00:00:00"/>
    <n v="6"/>
    <n v="15"/>
    <n v="2025"/>
    <x v="2"/>
    <m/>
    <x v="0"/>
  </r>
  <r>
    <s v="O107334"/>
    <x v="748"/>
    <x v="1"/>
    <x v="6"/>
    <x v="4"/>
    <x v="3"/>
    <n v="5"/>
    <n v="96166"/>
    <d v="2026-03-22T00:00:00"/>
    <n v="3"/>
    <n v="22"/>
    <n v="2026"/>
    <x v="5"/>
    <s v="Q1"/>
    <x v="4"/>
  </r>
  <r>
    <s v="O100491"/>
    <x v="311"/>
    <x v="6"/>
    <x v="6"/>
    <x v="4"/>
    <x v="3"/>
    <n v="5"/>
    <n v="96033"/>
    <d v="2025-01-30T00:00:00"/>
    <n v="1"/>
    <n v="30"/>
    <n v="2025"/>
    <x v="6"/>
    <s v="Q1"/>
    <x v="4"/>
  </r>
  <r>
    <s v="O107508"/>
    <x v="381"/>
    <x v="2"/>
    <x v="7"/>
    <x v="0"/>
    <x v="3"/>
    <n v="8"/>
    <n v="95991"/>
    <d v="2026-02-04T00:00:00"/>
    <n v="2"/>
    <n v="4"/>
    <n v="2026"/>
    <x v="4"/>
    <s v="Q1"/>
    <x v="0"/>
  </r>
  <r>
    <s v="O104691"/>
    <x v="718"/>
    <x v="4"/>
    <x v="7"/>
    <x v="2"/>
    <x v="2"/>
    <n v="8"/>
    <n v="95909"/>
    <d v="2025-12-10T00:00:00"/>
    <n v="12"/>
    <n v="10"/>
    <n v="2025"/>
    <x v="7"/>
    <s v="Q4"/>
    <x v="2"/>
  </r>
  <r>
    <s v="O103122"/>
    <x v="354"/>
    <x v="6"/>
    <x v="7"/>
    <x v="2"/>
    <x v="1"/>
    <n v="7"/>
    <n v="95871"/>
    <d v="2025-09-07T00:00:00"/>
    <n v="9"/>
    <n v="7"/>
    <n v="2025"/>
    <x v="1"/>
    <s v="Q3"/>
    <x v="2"/>
  </r>
  <r>
    <s v="O102396"/>
    <x v="438"/>
    <x v="4"/>
    <x v="7"/>
    <x v="4"/>
    <x v="3"/>
    <n v="8"/>
    <n v="95855"/>
    <d v="2025-05-26T00:00:00"/>
    <n v="5"/>
    <n v="26"/>
    <n v="2025"/>
    <x v="3"/>
    <s v="Q2"/>
    <x v="4"/>
  </r>
  <r>
    <s v="O111077"/>
    <x v="673"/>
    <x v="2"/>
    <x v="7"/>
    <x v="4"/>
    <x v="3"/>
    <n v="7"/>
    <n v="95854"/>
    <d v="2026-04-11T00:00:00"/>
    <n v="4"/>
    <n v="11"/>
    <n v="2026"/>
    <x v="11"/>
    <s v="Q2"/>
    <x v="4"/>
  </r>
  <r>
    <s v="O100774"/>
    <x v="417"/>
    <x v="5"/>
    <x v="7"/>
    <x v="3"/>
    <x v="2"/>
    <n v="7"/>
    <n v="95802"/>
    <d v="2025-02-16T00:00:00"/>
    <n v="2"/>
    <n v="16"/>
    <n v="2025"/>
    <x v="4"/>
    <s v="Q1"/>
    <x v="3"/>
  </r>
  <r>
    <s v="O102998"/>
    <x v="662"/>
    <x v="3"/>
    <x v="7"/>
    <x v="0"/>
    <x v="1"/>
    <n v="6"/>
    <n v="95787"/>
    <d v="2025-02-07T00:00:00"/>
    <n v="2"/>
    <n v="7"/>
    <n v="2025"/>
    <x v="4"/>
    <s v="Q1"/>
    <x v="0"/>
  </r>
  <r>
    <s v="O106999"/>
    <x v="148"/>
    <x v="6"/>
    <x v="7"/>
    <x v="3"/>
    <x v="1"/>
    <n v="6"/>
    <n v="95771"/>
    <d v="2026-02-03T00:00:00"/>
    <n v="2"/>
    <n v="3"/>
    <n v="2026"/>
    <x v="4"/>
    <s v="Q1"/>
    <x v="3"/>
  </r>
  <r>
    <s v="O111689"/>
    <x v="262"/>
    <x v="0"/>
    <x v="7"/>
    <x v="2"/>
    <x v="1"/>
    <n v="7"/>
    <n v="95770"/>
    <d v="2026-12-12T00:00:00"/>
    <n v="12"/>
    <n v="12"/>
    <n v="2026"/>
    <x v="7"/>
    <s v="Q4"/>
    <x v="2"/>
  </r>
  <r>
    <s v="O106752"/>
    <x v="292"/>
    <x v="2"/>
    <x v="6"/>
    <x v="0"/>
    <x v="1"/>
    <n v="4"/>
    <n v="95762"/>
    <d v="2026-02-15T00:00:00"/>
    <n v="2"/>
    <n v="15"/>
    <n v="2026"/>
    <x v="4"/>
    <s v="Q1"/>
    <x v="0"/>
  </r>
  <r>
    <s v="O110111"/>
    <x v="11"/>
    <x v="2"/>
    <x v="7"/>
    <x v="1"/>
    <x v="3"/>
    <n v="6"/>
    <n v="95738"/>
    <d v="2026-07-09T00:00:00"/>
    <n v="7"/>
    <n v="9"/>
    <n v="2026"/>
    <x v="10"/>
    <s v="Q3"/>
    <x v="1"/>
  </r>
  <r>
    <s v="O103522"/>
    <x v="759"/>
    <x v="3"/>
    <x v="6"/>
    <x v="0"/>
    <x v="1"/>
    <n v="4"/>
    <n v="95720"/>
    <d v="2025-02-08T00:00:00"/>
    <n v="2"/>
    <n v="8"/>
    <n v="2025"/>
    <x v="4"/>
    <s v="Q1"/>
    <x v="0"/>
  </r>
  <r>
    <s v="O101942"/>
    <x v="198"/>
    <x v="10"/>
    <x v="7"/>
    <x v="2"/>
    <x v="3"/>
    <n v="7"/>
    <n v="95677"/>
    <d v="2025-04-28T00:00:00"/>
    <n v="4"/>
    <n v="28"/>
    <n v="2025"/>
    <x v="11"/>
    <s v="Q2"/>
    <x v="2"/>
  </r>
  <r>
    <s v="O107868"/>
    <x v="307"/>
    <x v="6"/>
    <x v="7"/>
    <x v="2"/>
    <x v="2"/>
    <n v="7"/>
    <n v="95662"/>
    <d v="2026-04-23T00:00:00"/>
    <n v="4"/>
    <n v="23"/>
    <n v="2026"/>
    <x v="11"/>
    <s v="Q2"/>
    <x v="2"/>
  </r>
  <r>
    <s v="O103074"/>
    <x v="170"/>
    <x v="5"/>
    <x v="7"/>
    <x v="0"/>
    <x v="0"/>
    <n v="7"/>
    <n v="95557"/>
    <d v="2025-06-07T00:00:00"/>
    <n v="6"/>
    <n v="7"/>
    <n v="2025"/>
    <x v="2"/>
    <s v="Q2"/>
    <x v="0"/>
  </r>
  <r>
    <s v="O103662"/>
    <x v="465"/>
    <x v="2"/>
    <x v="6"/>
    <x v="2"/>
    <x v="0"/>
    <n v="5"/>
    <n v="95519"/>
    <d v="2025-11-08T00:00:00"/>
    <n v="11"/>
    <n v="8"/>
    <n v="2025"/>
    <x v="0"/>
    <s v="Q4"/>
    <x v="2"/>
  </r>
  <r>
    <s v="O102685"/>
    <x v="481"/>
    <x v="5"/>
    <x v="7"/>
    <x v="3"/>
    <x v="1"/>
    <n v="6"/>
    <n v="95487"/>
    <d v="2025-06-13T00:00:00"/>
    <n v="6"/>
    <n v="13"/>
    <n v="2025"/>
    <x v="2"/>
    <s v="Q2"/>
    <x v="3"/>
  </r>
  <r>
    <s v="O107485"/>
    <x v="390"/>
    <x v="5"/>
    <x v="7"/>
    <x v="1"/>
    <x v="2"/>
    <n v="7"/>
    <n v="95486"/>
    <d v="2026-03-31T00:00:00"/>
    <n v="3"/>
    <n v="31"/>
    <n v="2026"/>
    <x v="5"/>
    <s v="Q1"/>
    <x v="1"/>
  </r>
  <r>
    <s v="O103141"/>
    <x v="540"/>
    <x v="4"/>
    <x v="7"/>
    <x v="4"/>
    <x v="3"/>
    <n v="7"/>
    <n v="95478"/>
    <d v="2025-10-07T00:00:00"/>
    <n v="10"/>
    <n v="7"/>
    <n v="2025"/>
    <x v="9"/>
    <s v="Q4"/>
    <x v="4"/>
  </r>
  <r>
    <s v="O104167"/>
    <x v="672"/>
    <x v="0"/>
    <x v="7"/>
    <x v="0"/>
    <x v="0"/>
    <n v="8"/>
    <n v="95440"/>
    <d v="2025-11-09T00:00:00"/>
    <n v="11"/>
    <n v="9"/>
    <n v="2025"/>
    <x v="0"/>
    <s v="Q4"/>
    <x v="0"/>
  </r>
  <r>
    <s v="O104941"/>
    <x v="646"/>
    <x v="1"/>
    <x v="7"/>
    <x v="3"/>
    <x v="3"/>
    <n v="6"/>
    <n v="95404"/>
    <d v="2025-10-28T00:00:00"/>
    <n v="10"/>
    <n v="28"/>
    <n v="2025"/>
    <x v="9"/>
    <s v="Q4"/>
    <x v="3"/>
  </r>
  <r>
    <s v="O105323"/>
    <x v="646"/>
    <x v="3"/>
    <x v="7"/>
    <x v="3"/>
    <x v="3"/>
    <n v="8"/>
    <n v="95348"/>
    <d v="2025-11-20T00:00:00"/>
    <n v="11"/>
    <n v="20"/>
    <n v="2025"/>
    <x v="0"/>
    <s v="Q4"/>
    <x v="3"/>
  </r>
  <r>
    <s v="O104867"/>
    <x v="47"/>
    <x v="3"/>
    <x v="7"/>
    <x v="0"/>
    <x v="1"/>
    <n v="7"/>
    <n v="95303"/>
    <d v="2025-10-23T00:00:00"/>
    <n v="10"/>
    <n v="23"/>
    <n v="2025"/>
    <x v="9"/>
    <s v="Q4"/>
    <x v="0"/>
  </r>
  <r>
    <s v="O102426"/>
    <x v="425"/>
    <x v="8"/>
    <x v="5"/>
    <x v="0"/>
    <x v="0"/>
    <n v="1"/>
    <n v="95229"/>
    <d v="2025-05-28T00:00:00"/>
    <n v="5"/>
    <n v="28"/>
    <n v="2025"/>
    <x v="3"/>
    <s v="Q2"/>
    <x v="0"/>
  </r>
  <r>
    <s v="O103867"/>
    <x v="96"/>
    <x v="0"/>
    <x v="7"/>
    <x v="0"/>
    <x v="2"/>
    <n v="7"/>
    <n v="95211"/>
    <d v="2025-08-23T00:00:00"/>
    <n v="8"/>
    <n v="23"/>
    <n v="2025"/>
    <x v="8"/>
    <s v="Q3"/>
    <x v="0"/>
  </r>
  <r>
    <s v="O104163"/>
    <x v="258"/>
    <x v="3"/>
    <x v="6"/>
    <x v="0"/>
    <x v="3"/>
    <n v="5"/>
    <n v="95168"/>
    <d v="2025-10-09T00:00:00"/>
    <n v="10"/>
    <n v="9"/>
    <n v="2025"/>
    <x v="9"/>
    <m/>
    <x v="0"/>
  </r>
  <r>
    <s v="O110168"/>
    <x v="274"/>
    <x v="10"/>
    <x v="7"/>
    <x v="0"/>
    <x v="0"/>
    <n v="8"/>
    <n v="95135"/>
    <d v="2026-10-09T00:00:00"/>
    <n v="10"/>
    <n v="9"/>
    <n v="2026"/>
    <x v="9"/>
    <s v="Q4"/>
    <x v="0"/>
  </r>
  <r>
    <s v="O100042"/>
    <x v="620"/>
    <x v="2"/>
    <x v="6"/>
    <x v="2"/>
    <x v="0"/>
    <n v="4"/>
    <n v="95133"/>
    <d v="2025-03-01T00:00:00"/>
    <n v="3"/>
    <n v="1"/>
    <n v="2025"/>
    <x v="5"/>
    <s v="Q1"/>
    <x v="2"/>
  </r>
  <r>
    <s v="O108572"/>
    <x v="65"/>
    <x v="8"/>
    <x v="7"/>
    <x v="3"/>
    <x v="0"/>
    <n v="6"/>
    <n v="95079"/>
    <d v="2026-05-06T00:00:00"/>
    <n v="5"/>
    <n v="6"/>
    <n v="2026"/>
    <x v="3"/>
    <s v="Q2"/>
    <x v="3"/>
  </r>
  <r>
    <s v="O105060"/>
    <x v="396"/>
    <x v="6"/>
    <x v="7"/>
    <x v="0"/>
    <x v="1"/>
    <n v="6"/>
    <n v="95033"/>
    <d v="2025-04-11T00:00:00"/>
    <n v="4"/>
    <n v="11"/>
    <n v="2025"/>
    <x v="11"/>
    <s v="Q2"/>
    <x v="0"/>
  </r>
  <r>
    <s v="O104042"/>
    <x v="723"/>
    <x v="2"/>
    <x v="7"/>
    <x v="0"/>
    <x v="0"/>
    <n v="6"/>
    <n v="94960"/>
    <d v="2025-03-09T00:00:00"/>
    <n v="3"/>
    <n v="9"/>
    <n v="2025"/>
    <x v="5"/>
    <s v="Q1"/>
    <x v="0"/>
  </r>
  <r>
    <s v="O106513"/>
    <x v="574"/>
    <x v="2"/>
    <x v="5"/>
    <x v="2"/>
    <x v="3"/>
    <n v="1"/>
    <n v="94878"/>
    <d v="2026-01-31T00:00:00"/>
    <n v="1"/>
    <n v="31"/>
    <n v="2026"/>
    <x v="6"/>
    <s v="Q1"/>
    <x v="2"/>
  </r>
  <r>
    <s v="O105371"/>
    <x v="625"/>
    <x v="10"/>
    <x v="7"/>
    <x v="0"/>
    <x v="3"/>
    <n v="6"/>
    <n v="94846"/>
    <d v="2025-11-23T00:00:00"/>
    <n v="11"/>
    <n v="23"/>
    <n v="2025"/>
    <x v="0"/>
    <s v="Q4"/>
    <x v="0"/>
  </r>
  <r>
    <s v="O105235"/>
    <x v="643"/>
    <x v="0"/>
    <x v="6"/>
    <x v="3"/>
    <x v="1"/>
    <n v="5"/>
    <n v="94763"/>
    <d v="2025-11-14T00:00:00"/>
    <n v="11"/>
    <n v="14"/>
    <n v="2025"/>
    <x v="0"/>
    <s v="Q4"/>
    <x v="3"/>
  </r>
  <r>
    <s v="O108516"/>
    <x v="607"/>
    <x v="5"/>
    <x v="7"/>
    <x v="2"/>
    <x v="1"/>
    <n v="8"/>
    <n v="94733"/>
    <d v="2026-02-06T00:00:00"/>
    <n v="2"/>
    <n v="6"/>
    <n v="2026"/>
    <x v="4"/>
    <s v="Q1"/>
    <x v="2"/>
  </r>
  <r>
    <s v="O109301"/>
    <x v="698"/>
    <x v="4"/>
    <x v="7"/>
    <x v="4"/>
    <x v="2"/>
    <n v="6"/>
    <n v="94712"/>
    <d v="2026-07-20T00:00:00"/>
    <n v="7"/>
    <n v="20"/>
    <n v="2026"/>
    <x v="10"/>
    <s v="Q3"/>
    <x v="4"/>
  </r>
  <r>
    <s v="O109343"/>
    <x v="685"/>
    <x v="1"/>
    <x v="5"/>
    <x v="3"/>
    <x v="2"/>
    <n v="1"/>
    <n v="94614"/>
    <d v="2026-07-22T00:00:00"/>
    <n v="7"/>
    <n v="22"/>
    <n v="2026"/>
    <x v="10"/>
    <s v="Q3"/>
    <x v="3"/>
  </r>
  <r>
    <s v="O105718"/>
    <x v="437"/>
    <x v="3"/>
    <x v="7"/>
    <x v="4"/>
    <x v="0"/>
    <n v="8"/>
    <n v="94590"/>
    <d v="2025-12-14T00:00:00"/>
    <n v="12"/>
    <n v="14"/>
    <n v="2025"/>
    <x v="7"/>
    <s v="Q4"/>
    <x v="4"/>
  </r>
  <r>
    <s v="O103841"/>
    <x v="647"/>
    <x v="0"/>
    <x v="6"/>
    <x v="1"/>
    <x v="2"/>
    <n v="5"/>
    <n v="94560"/>
    <d v="2025-08-22T00:00:00"/>
    <n v="8"/>
    <n v="22"/>
    <n v="2025"/>
    <x v="8"/>
    <s v="Q3"/>
    <x v="1"/>
  </r>
  <r>
    <s v="O110002"/>
    <x v="248"/>
    <x v="10"/>
    <x v="7"/>
    <x v="2"/>
    <x v="2"/>
    <n v="7"/>
    <n v="94530"/>
    <d v="2026-08-31T00:00:00"/>
    <n v="8"/>
    <n v="31"/>
    <n v="2026"/>
    <x v="8"/>
    <s v="Q3"/>
    <x v="2"/>
  </r>
  <r>
    <s v="O104795"/>
    <x v="527"/>
    <x v="8"/>
    <x v="7"/>
    <x v="1"/>
    <x v="2"/>
    <n v="8"/>
    <n v="94511"/>
    <d v="2025-10-19T00:00:00"/>
    <n v="10"/>
    <n v="19"/>
    <n v="2025"/>
    <x v="9"/>
    <m/>
    <x v="1"/>
  </r>
  <r>
    <s v="O108524"/>
    <x v="63"/>
    <x v="10"/>
    <x v="6"/>
    <x v="0"/>
    <x v="1"/>
    <n v="4"/>
    <n v="94467"/>
    <d v="2026-02-06T00:00:00"/>
    <n v="2"/>
    <n v="6"/>
    <n v="2026"/>
    <x v="4"/>
    <s v="Q1"/>
    <x v="0"/>
  </r>
  <r>
    <s v="O109565"/>
    <x v="109"/>
    <x v="10"/>
    <x v="7"/>
    <x v="1"/>
    <x v="1"/>
    <n v="7"/>
    <n v="94463"/>
    <d v="2026-05-08T00:00:00"/>
    <n v="5"/>
    <n v="8"/>
    <n v="2026"/>
    <x v="3"/>
    <s v="Q2"/>
    <x v="1"/>
  </r>
  <r>
    <s v="O100812"/>
    <x v="478"/>
    <x v="4"/>
    <x v="5"/>
    <x v="1"/>
    <x v="3"/>
    <n v="1"/>
    <n v="94420"/>
    <d v="2025-02-19T00:00:00"/>
    <n v="2"/>
    <n v="19"/>
    <n v="2025"/>
    <x v="4"/>
    <s v="Q1"/>
    <x v="1"/>
  </r>
  <r>
    <s v="O101962"/>
    <x v="743"/>
    <x v="10"/>
    <x v="7"/>
    <x v="3"/>
    <x v="1"/>
    <n v="8"/>
    <n v="94368"/>
    <d v="2025-04-30T00:00:00"/>
    <n v="4"/>
    <n v="30"/>
    <n v="2025"/>
    <x v="11"/>
    <s v="Q2"/>
    <x v="3"/>
  </r>
  <r>
    <s v="O111073"/>
    <x v="598"/>
    <x v="9"/>
    <x v="7"/>
    <x v="1"/>
    <x v="2"/>
    <n v="6"/>
    <n v="94228"/>
    <d v="2026-04-11T00:00:00"/>
    <n v="4"/>
    <n v="11"/>
    <n v="2026"/>
    <x v="11"/>
    <s v="Q2"/>
    <x v="1"/>
  </r>
  <r>
    <s v="O109813"/>
    <x v="596"/>
    <x v="9"/>
    <x v="7"/>
    <x v="0"/>
    <x v="2"/>
    <n v="8"/>
    <n v="94226"/>
    <d v="2026-08-20T00:00:00"/>
    <n v="8"/>
    <n v="20"/>
    <n v="2026"/>
    <x v="8"/>
    <m/>
    <x v="0"/>
  </r>
  <r>
    <s v="O111236"/>
    <x v="425"/>
    <x v="6"/>
    <x v="6"/>
    <x v="4"/>
    <x v="3"/>
    <n v="4"/>
    <n v="94159"/>
    <d v="2026-11-14T00:00:00"/>
    <n v="11"/>
    <n v="14"/>
    <n v="2026"/>
    <x v="0"/>
    <s v="Q4"/>
    <x v="4"/>
  </r>
  <r>
    <s v="O105382"/>
    <x v="758"/>
    <x v="3"/>
    <x v="6"/>
    <x v="3"/>
    <x v="3"/>
    <n v="5"/>
    <n v="94068"/>
    <d v="2025-11-23T00:00:00"/>
    <n v="11"/>
    <n v="23"/>
    <n v="2025"/>
    <x v="0"/>
    <s v="Q4"/>
    <x v="3"/>
  </r>
  <r>
    <s v="O101076"/>
    <x v="158"/>
    <x v="8"/>
    <x v="6"/>
    <x v="2"/>
    <x v="2"/>
    <n v="5"/>
    <n v="94058"/>
    <d v="2025-07-03T00:00:00"/>
    <n v="7"/>
    <n v="3"/>
    <n v="2025"/>
    <x v="10"/>
    <s v="Q3"/>
    <x v="2"/>
  </r>
  <r>
    <s v="O101395"/>
    <x v="29"/>
    <x v="10"/>
    <x v="7"/>
    <x v="3"/>
    <x v="1"/>
    <n v="7"/>
    <n v="93957"/>
    <d v="2025-03-26T00:00:00"/>
    <n v="3"/>
    <n v="26"/>
    <n v="2025"/>
    <x v="5"/>
    <s v="Q1"/>
    <x v="3"/>
  </r>
  <r>
    <s v="O109160"/>
    <x v="188"/>
    <x v="4"/>
    <x v="7"/>
    <x v="2"/>
    <x v="0"/>
    <n v="8"/>
    <n v="93933"/>
    <d v="2026-11-07T00:00:00"/>
    <n v="11"/>
    <n v="7"/>
    <n v="2026"/>
    <x v="0"/>
    <s v="Q4"/>
    <x v="2"/>
  </r>
  <r>
    <s v="O111925"/>
    <x v="483"/>
    <x v="5"/>
    <x v="7"/>
    <x v="3"/>
    <x v="1"/>
    <n v="7"/>
    <n v="93927"/>
    <d v="2026-12-26T00:00:00"/>
    <n v="12"/>
    <n v="26"/>
    <n v="2026"/>
    <x v="7"/>
    <s v="Q4"/>
    <x v="3"/>
  </r>
  <r>
    <s v="O106613"/>
    <x v="572"/>
    <x v="0"/>
    <x v="7"/>
    <x v="3"/>
    <x v="2"/>
    <n v="7"/>
    <n v="93903"/>
    <d v="2026-06-02T00:00:00"/>
    <n v="6"/>
    <n v="2"/>
    <n v="2026"/>
    <x v="2"/>
    <s v="Q2"/>
    <x v="3"/>
  </r>
  <r>
    <s v="O100602"/>
    <x v="93"/>
    <x v="3"/>
    <x v="7"/>
    <x v="0"/>
    <x v="2"/>
    <n v="6"/>
    <n v="93878"/>
    <d v="2025-06-02T00:00:00"/>
    <n v="6"/>
    <n v="2"/>
    <n v="2025"/>
    <x v="2"/>
    <s v="Q2"/>
    <x v="0"/>
  </r>
  <r>
    <s v="O102230"/>
    <x v="711"/>
    <x v="6"/>
    <x v="7"/>
    <x v="2"/>
    <x v="3"/>
    <n v="7"/>
    <n v="93831"/>
    <d v="2025-05-16T00:00:00"/>
    <n v="5"/>
    <n v="16"/>
    <n v="2025"/>
    <x v="3"/>
    <s v="Q2"/>
    <x v="2"/>
  </r>
  <r>
    <s v="O111973"/>
    <x v="331"/>
    <x v="5"/>
    <x v="7"/>
    <x v="3"/>
    <x v="0"/>
    <n v="6"/>
    <n v="93819"/>
    <d v="2026-12-29T00:00:00"/>
    <n v="12"/>
    <n v="29"/>
    <n v="2026"/>
    <x v="7"/>
    <s v="Q4"/>
    <x v="3"/>
  </r>
  <r>
    <s v="O111873"/>
    <x v="597"/>
    <x v="2"/>
    <x v="7"/>
    <x v="4"/>
    <x v="3"/>
    <n v="7"/>
    <n v="93773"/>
    <d v="2026-12-23T00:00:00"/>
    <n v="12"/>
    <n v="23"/>
    <n v="2026"/>
    <x v="7"/>
    <s v="Q4"/>
    <x v="4"/>
  </r>
  <r>
    <s v="O103805"/>
    <x v="248"/>
    <x v="4"/>
    <x v="7"/>
    <x v="1"/>
    <x v="0"/>
    <n v="6"/>
    <n v="93742"/>
    <d v="2025-08-20T00:00:00"/>
    <n v="8"/>
    <n v="20"/>
    <n v="2025"/>
    <x v="8"/>
    <s v="Q3"/>
    <x v="1"/>
  </r>
  <r>
    <s v="O101658"/>
    <x v="631"/>
    <x v="5"/>
    <x v="7"/>
    <x v="4"/>
    <x v="3"/>
    <n v="6"/>
    <n v="93709"/>
    <d v="2025-11-04T00:00:00"/>
    <n v="11"/>
    <n v="4"/>
    <n v="2025"/>
    <x v="0"/>
    <s v="Q4"/>
    <x v="4"/>
  </r>
  <r>
    <s v="O105580"/>
    <x v="426"/>
    <x v="0"/>
    <x v="6"/>
    <x v="3"/>
    <x v="1"/>
    <n v="3"/>
    <n v="93657"/>
    <d v="2025-05-12T00:00:00"/>
    <n v="5"/>
    <n v="12"/>
    <n v="2025"/>
    <x v="3"/>
    <s v="Q2"/>
    <x v="3"/>
  </r>
  <r>
    <s v="O110088"/>
    <x v="442"/>
    <x v="5"/>
    <x v="7"/>
    <x v="2"/>
    <x v="1"/>
    <n v="8"/>
    <n v="93609"/>
    <d v="2026-05-09T00:00:00"/>
    <n v="5"/>
    <n v="9"/>
    <n v="2026"/>
    <x v="3"/>
    <s v="Q2"/>
    <x v="2"/>
  </r>
  <r>
    <s v="O111313"/>
    <x v="181"/>
    <x v="1"/>
    <x v="6"/>
    <x v="0"/>
    <x v="2"/>
    <n v="4"/>
    <n v="93595"/>
    <d v="2026-11-19T00:00:00"/>
    <n v="11"/>
    <n v="19"/>
    <n v="2026"/>
    <x v="0"/>
    <s v="Q4"/>
    <x v="0"/>
  </r>
  <r>
    <s v="O102254"/>
    <x v="571"/>
    <x v="6"/>
    <x v="5"/>
    <x v="1"/>
    <x v="0"/>
    <n v="1"/>
    <n v="93587"/>
    <d v="2025-05-17T00:00:00"/>
    <n v="5"/>
    <n v="17"/>
    <n v="2025"/>
    <x v="3"/>
    <s v="Q2"/>
    <x v="1"/>
  </r>
  <r>
    <s v="O100496"/>
    <x v="568"/>
    <x v="6"/>
    <x v="7"/>
    <x v="1"/>
    <x v="2"/>
    <n v="7"/>
    <n v="93573"/>
    <d v="2025-01-31T00:00:00"/>
    <n v="1"/>
    <n v="31"/>
    <n v="2025"/>
    <x v="6"/>
    <s v="Q1"/>
    <x v="1"/>
  </r>
  <r>
    <s v="O104061"/>
    <x v="454"/>
    <x v="9"/>
    <x v="7"/>
    <x v="1"/>
    <x v="2"/>
    <n v="7"/>
    <n v="93521"/>
    <d v="2025-04-09T00:00:00"/>
    <n v="4"/>
    <n v="9"/>
    <n v="2025"/>
    <x v="11"/>
    <s v="Q2"/>
    <x v="1"/>
  </r>
  <r>
    <s v="O110321"/>
    <x v="363"/>
    <x v="10"/>
    <x v="6"/>
    <x v="2"/>
    <x v="3"/>
    <n v="3"/>
    <n v="93399"/>
    <d v="2026-09-19T00:00:00"/>
    <n v="9"/>
    <n v="19"/>
    <n v="2026"/>
    <x v="1"/>
    <s v="Q3"/>
    <x v="2"/>
  </r>
  <r>
    <s v="O101500"/>
    <x v="677"/>
    <x v="8"/>
    <x v="5"/>
    <x v="3"/>
    <x v="2"/>
    <n v="1"/>
    <n v="93398"/>
    <d v="2025-02-04T00:00:00"/>
    <n v="2"/>
    <n v="4"/>
    <n v="2025"/>
    <x v="4"/>
    <s v="Q1"/>
    <x v="3"/>
  </r>
  <r>
    <s v="O102470"/>
    <x v="546"/>
    <x v="2"/>
    <x v="6"/>
    <x v="1"/>
    <x v="1"/>
    <n v="3"/>
    <n v="93373"/>
    <d v="2025-05-31T00:00:00"/>
    <n v="5"/>
    <n v="31"/>
    <n v="2025"/>
    <x v="3"/>
    <s v="Q2"/>
    <x v="1"/>
  </r>
  <r>
    <s v="O105355"/>
    <x v="58"/>
    <x v="0"/>
    <x v="6"/>
    <x v="1"/>
    <x v="3"/>
    <n v="3"/>
    <n v="93352"/>
    <d v="2025-11-22T00:00:00"/>
    <n v="11"/>
    <n v="22"/>
    <n v="2025"/>
    <x v="0"/>
    <s v="Q4"/>
    <x v="1"/>
  </r>
  <r>
    <s v="O108404"/>
    <x v="395"/>
    <x v="2"/>
    <x v="6"/>
    <x v="1"/>
    <x v="3"/>
    <n v="4"/>
    <n v="93346"/>
    <d v="2026-05-26T00:00:00"/>
    <n v="5"/>
    <n v="26"/>
    <n v="2026"/>
    <x v="3"/>
    <s v="Q2"/>
    <x v="1"/>
  </r>
  <r>
    <s v="O109100"/>
    <x v="7"/>
    <x v="4"/>
    <x v="7"/>
    <x v="1"/>
    <x v="0"/>
    <n v="5"/>
    <n v="93339"/>
    <d v="2026-07-07T00:00:00"/>
    <n v="7"/>
    <n v="7"/>
    <n v="2026"/>
    <x v="10"/>
    <s v="Q3"/>
    <x v="1"/>
  </r>
  <r>
    <s v="O110552"/>
    <x v="54"/>
    <x v="4"/>
    <x v="7"/>
    <x v="1"/>
    <x v="0"/>
    <n v="6"/>
    <n v="93261"/>
    <d v="2026-04-10T00:00:00"/>
    <n v="4"/>
    <n v="10"/>
    <n v="2026"/>
    <x v="11"/>
    <s v="Q2"/>
    <x v="1"/>
  </r>
  <r>
    <s v="O106166"/>
    <x v="126"/>
    <x v="8"/>
    <x v="6"/>
    <x v="0"/>
    <x v="3"/>
    <n v="4"/>
    <n v="93255"/>
    <d v="2026-10-01T00:00:00"/>
    <n v="10"/>
    <n v="1"/>
    <n v="2026"/>
    <x v="9"/>
    <s v="Q4"/>
    <x v="0"/>
  </r>
  <r>
    <s v="O110480"/>
    <x v="100"/>
    <x v="2"/>
    <x v="7"/>
    <x v="3"/>
    <x v="1"/>
    <n v="5"/>
    <n v="93227"/>
    <d v="2026-09-29T00:00:00"/>
    <n v="9"/>
    <n v="29"/>
    <n v="2026"/>
    <x v="1"/>
    <s v="Q3"/>
    <x v="3"/>
  </r>
  <r>
    <s v="O101790"/>
    <x v="62"/>
    <x v="8"/>
    <x v="6"/>
    <x v="3"/>
    <x v="1"/>
    <n v="3"/>
    <n v="93217"/>
    <d v="2025-04-19T00:00:00"/>
    <n v="4"/>
    <n v="19"/>
    <n v="2025"/>
    <x v="11"/>
    <s v="Q2"/>
    <x v="3"/>
  </r>
  <r>
    <s v="O107475"/>
    <x v="330"/>
    <x v="2"/>
    <x v="7"/>
    <x v="3"/>
    <x v="3"/>
    <n v="6"/>
    <n v="93215"/>
    <d v="2026-03-31T00:00:00"/>
    <n v="3"/>
    <n v="31"/>
    <n v="2026"/>
    <x v="5"/>
    <s v="Q1"/>
    <x v="3"/>
  </r>
  <r>
    <s v="O108121"/>
    <x v="486"/>
    <x v="4"/>
    <x v="7"/>
    <x v="4"/>
    <x v="0"/>
    <n v="7"/>
    <n v="93163"/>
    <d v="2026-09-05T00:00:00"/>
    <n v="9"/>
    <n v="5"/>
    <n v="2026"/>
    <x v="1"/>
    <s v="Q3"/>
    <x v="4"/>
  </r>
  <r>
    <s v="O105787"/>
    <x v="150"/>
    <x v="5"/>
    <x v="7"/>
    <x v="4"/>
    <x v="3"/>
    <n v="7"/>
    <n v="93131"/>
    <d v="2025-12-18T00:00:00"/>
    <n v="12"/>
    <n v="18"/>
    <n v="2025"/>
    <x v="7"/>
    <s v="Q4"/>
    <x v="4"/>
  </r>
  <r>
    <s v="O108500"/>
    <x v="178"/>
    <x v="2"/>
    <x v="7"/>
    <x v="4"/>
    <x v="3"/>
    <n v="7"/>
    <n v="93109"/>
    <d v="2026-01-06T00:00:00"/>
    <n v="1"/>
    <n v="6"/>
    <n v="2026"/>
    <x v="6"/>
    <s v="Q1"/>
    <x v="4"/>
  </r>
  <r>
    <s v="O107169"/>
    <x v="467"/>
    <x v="8"/>
    <x v="7"/>
    <x v="1"/>
    <x v="3"/>
    <n v="6"/>
    <n v="93074"/>
    <d v="2026-12-03T00:00:00"/>
    <n v="12"/>
    <n v="3"/>
    <n v="2026"/>
    <x v="7"/>
    <m/>
    <x v="1"/>
  </r>
  <r>
    <s v="O109085"/>
    <x v="53"/>
    <x v="9"/>
    <x v="7"/>
    <x v="0"/>
    <x v="3"/>
    <n v="5"/>
    <n v="93057"/>
    <d v="2026-06-07T00:00:00"/>
    <n v="6"/>
    <n v="7"/>
    <n v="2026"/>
    <x v="2"/>
    <s v="Q2"/>
    <x v="0"/>
  </r>
  <r>
    <s v="O106760"/>
    <x v="662"/>
    <x v="2"/>
    <x v="7"/>
    <x v="0"/>
    <x v="0"/>
    <n v="6"/>
    <n v="93014"/>
    <d v="2026-02-15T00:00:00"/>
    <n v="2"/>
    <n v="15"/>
    <n v="2026"/>
    <x v="4"/>
    <s v="Q1"/>
    <x v="0"/>
  </r>
  <r>
    <s v="O101564"/>
    <x v="370"/>
    <x v="3"/>
    <x v="7"/>
    <x v="3"/>
    <x v="1"/>
    <n v="6"/>
    <n v="93005"/>
    <d v="2025-05-04T00:00:00"/>
    <n v="5"/>
    <n v="4"/>
    <n v="2025"/>
    <x v="3"/>
    <s v="Q2"/>
    <x v="3"/>
  </r>
  <r>
    <s v="O110466"/>
    <x v="350"/>
    <x v="6"/>
    <x v="7"/>
    <x v="2"/>
    <x v="3"/>
    <n v="5"/>
    <n v="92967"/>
    <d v="2026-09-28T00:00:00"/>
    <n v="9"/>
    <n v="28"/>
    <n v="2026"/>
    <x v="1"/>
    <s v="Q3"/>
    <x v="2"/>
  </r>
  <r>
    <s v="O109673"/>
    <x v="500"/>
    <x v="0"/>
    <x v="7"/>
    <x v="2"/>
    <x v="3"/>
    <n v="5"/>
    <n v="92932"/>
    <d v="2026-11-08T00:00:00"/>
    <n v="11"/>
    <n v="8"/>
    <n v="2026"/>
    <x v="0"/>
    <s v="Q4"/>
    <x v="2"/>
  </r>
  <r>
    <s v="O111514"/>
    <x v="305"/>
    <x v="0"/>
    <x v="7"/>
    <x v="3"/>
    <x v="1"/>
    <n v="7"/>
    <n v="92909"/>
    <d v="2026-01-12T00:00:00"/>
    <n v="1"/>
    <n v="12"/>
    <n v="2026"/>
    <x v="6"/>
    <s v="Q1"/>
    <x v="3"/>
  </r>
  <r>
    <s v="O107428"/>
    <x v="608"/>
    <x v="4"/>
    <x v="7"/>
    <x v="2"/>
    <x v="0"/>
    <n v="8"/>
    <n v="92891"/>
    <d v="2026-03-28T00:00:00"/>
    <n v="3"/>
    <n v="28"/>
    <n v="2026"/>
    <x v="5"/>
    <s v="Q1"/>
    <x v="2"/>
  </r>
  <r>
    <s v="O108712"/>
    <x v="319"/>
    <x v="0"/>
    <x v="7"/>
    <x v="0"/>
    <x v="0"/>
    <n v="6"/>
    <n v="92883"/>
    <d v="2026-06-14T00:00:00"/>
    <n v="6"/>
    <n v="14"/>
    <n v="2026"/>
    <x v="2"/>
    <s v="Q2"/>
    <x v="0"/>
  </r>
  <r>
    <s v="O105508"/>
    <x v="164"/>
    <x v="1"/>
    <x v="7"/>
    <x v="1"/>
    <x v="0"/>
    <n v="7"/>
    <n v="92831"/>
    <d v="2025-01-12T00:00:00"/>
    <n v="1"/>
    <n v="12"/>
    <n v="2025"/>
    <x v="6"/>
    <s v="Q1"/>
    <x v="1"/>
  </r>
  <r>
    <s v="O110376"/>
    <x v="333"/>
    <x v="5"/>
    <x v="6"/>
    <x v="1"/>
    <x v="0"/>
    <n v="3"/>
    <n v="92821"/>
    <d v="2026-09-23T00:00:00"/>
    <n v="9"/>
    <n v="23"/>
    <n v="2026"/>
    <x v="1"/>
    <s v="Q3"/>
    <x v="1"/>
  </r>
  <r>
    <s v="O102568"/>
    <x v="473"/>
    <x v="6"/>
    <x v="7"/>
    <x v="0"/>
    <x v="0"/>
    <n v="6"/>
    <n v="92753"/>
    <d v="2025-05-06T00:00:00"/>
    <n v="5"/>
    <n v="6"/>
    <n v="2025"/>
    <x v="3"/>
    <s v="Q2"/>
    <x v="0"/>
  </r>
  <r>
    <s v="O106297"/>
    <x v="87"/>
    <x v="9"/>
    <x v="7"/>
    <x v="4"/>
    <x v="3"/>
    <n v="8"/>
    <n v="92744"/>
    <d v="2026-01-18T00:00:00"/>
    <n v="1"/>
    <n v="18"/>
    <n v="2026"/>
    <x v="6"/>
    <s v="Q1"/>
    <x v="4"/>
  </r>
  <r>
    <s v="O104843"/>
    <x v="639"/>
    <x v="2"/>
    <x v="7"/>
    <x v="3"/>
    <x v="1"/>
    <n v="7"/>
    <n v="92716"/>
    <d v="2025-10-22T00:00:00"/>
    <n v="10"/>
    <n v="22"/>
    <n v="2025"/>
    <x v="9"/>
    <s v="Q4"/>
    <x v="3"/>
  </r>
  <r>
    <s v="O103454"/>
    <x v="162"/>
    <x v="8"/>
    <x v="7"/>
    <x v="3"/>
    <x v="0"/>
    <n v="7"/>
    <n v="92700"/>
    <d v="2025-07-29T00:00:00"/>
    <n v="7"/>
    <n v="29"/>
    <n v="2025"/>
    <x v="10"/>
    <s v="Q3"/>
    <x v="3"/>
  </r>
  <r>
    <s v="O105373"/>
    <x v="487"/>
    <x v="10"/>
    <x v="6"/>
    <x v="4"/>
    <x v="1"/>
    <n v="3"/>
    <n v="92699"/>
    <d v="2025-11-23T00:00:00"/>
    <n v="11"/>
    <n v="23"/>
    <n v="2025"/>
    <x v="0"/>
    <s v="Q4"/>
    <x v="4"/>
  </r>
  <r>
    <s v="O106224"/>
    <x v="696"/>
    <x v="2"/>
    <x v="7"/>
    <x v="2"/>
    <x v="0"/>
    <n v="5"/>
    <n v="92657"/>
    <d v="2026-01-14T00:00:00"/>
    <n v="1"/>
    <n v="14"/>
    <n v="2026"/>
    <x v="6"/>
    <s v="Q1"/>
    <x v="2"/>
  </r>
  <r>
    <s v="O108909"/>
    <x v="662"/>
    <x v="3"/>
    <x v="6"/>
    <x v="4"/>
    <x v="3"/>
    <n v="4"/>
    <n v="92611"/>
    <d v="2026-06-26T00:00:00"/>
    <n v="6"/>
    <n v="26"/>
    <n v="2026"/>
    <x v="2"/>
    <s v="Q2"/>
    <x v="4"/>
  </r>
  <r>
    <s v="O102294"/>
    <x v="350"/>
    <x v="6"/>
    <x v="6"/>
    <x v="4"/>
    <x v="0"/>
    <n v="3"/>
    <n v="92583"/>
    <d v="2025-05-20T00:00:00"/>
    <n v="5"/>
    <n v="20"/>
    <n v="2025"/>
    <x v="3"/>
    <s v="Q2"/>
    <x v="4"/>
  </r>
  <r>
    <s v="O104027"/>
    <x v="102"/>
    <x v="3"/>
    <x v="7"/>
    <x v="0"/>
    <x v="2"/>
    <n v="7"/>
    <n v="92567"/>
    <d v="2025-02-09T00:00:00"/>
    <n v="2"/>
    <n v="9"/>
    <n v="2025"/>
    <x v="4"/>
    <s v="Q1"/>
    <x v="0"/>
  </r>
  <r>
    <s v="O105668"/>
    <x v="450"/>
    <x v="0"/>
    <x v="5"/>
    <x v="0"/>
    <x v="0"/>
    <n v="1"/>
    <n v="92505"/>
    <d v="2025-11-12T00:00:00"/>
    <n v="11"/>
    <n v="12"/>
    <n v="2025"/>
    <x v="0"/>
    <s v="Q4"/>
    <x v="0"/>
  </r>
  <r>
    <s v="O111162"/>
    <x v="120"/>
    <x v="3"/>
    <x v="7"/>
    <x v="1"/>
    <x v="0"/>
    <n v="8"/>
    <n v="92442"/>
    <d v="2026-10-11T00:00:00"/>
    <n v="10"/>
    <n v="11"/>
    <n v="2026"/>
    <x v="9"/>
    <s v="Q4"/>
    <x v="1"/>
  </r>
  <r>
    <s v="O109271"/>
    <x v="548"/>
    <x v="10"/>
    <x v="7"/>
    <x v="4"/>
    <x v="1"/>
    <n v="8"/>
    <n v="92403"/>
    <d v="2026-07-18T00:00:00"/>
    <n v="7"/>
    <n v="18"/>
    <n v="2026"/>
    <x v="10"/>
    <s v="Q3"/>
    <x v="4"/>
  </r>
  <r>
    <s v="O109004"/>
    <x v="169"/>
    <x v="8"/>
    <x v="6"/>
    <x v="2"/>
    <x v="0"/>
    <n v="3"/>
    <n v="92365"/>
    <d v="2026-01-07T00:00:00"/>
    <n v="1"/>
    <n v="7"/>
    <n v="2026"/>
    <x v="6"/>
    <m/>
    <x v="2"/>
  </r>
  <r>
    <s v="O103022"/>
    <x v="720"/>
    <x v="6"/>
    <x v="6"/>
    <x v="2"/>
    <x v="2"/>
    <n v="4"/>
    <n v="92350"/>
    <d v="2025-03-07T00:00:00"/>
    <n v="3"/>
    <n v="7"/>
    <n v="2025"/>
    <x v="5"/>
    <s v="Q1"/>
    <x v="2"/>
  </r>
  <r>
    <s v="O108185"/>
    <x v="384"/>
    <x v="1"/>
    <x v="7"/>
    <x v="0"/>
    <x v="1"/>
    <n v="5"/>
    <n v="92319"/>
    <d v="2026-05-13T00:00:00"/>
    <n v="5"/>
    <n v="13"/>
    <n v="2026"/>
    <x v="3"/>
    <s v="Q2"/>
    <x v="0"/>
  </r>
  <r>
    <s v="O108942"/>
    <x v="177"/>
    <x v="2"/>
    <x v="7"/>
    <x v="2"/>
    <x v="3"/>
    <n v="5"/>
    <n v="92296"/>
    <d v="2026-06-28T00:00:00"/>
    <n v="6"/>
    <n v="28"/>
    <n v="2026"/>
    <x v="2"/>
    <s v="Q2"/>
    <x v="2"/>
  </r>
  <r>
    <s v="O100083"/>
    <x v="624"/>
    <x v="3"/>
    <x v="7"/>
    <x v="2"/>
    <x v="1"/>
    <n v="7"/>
    <n v="92251"/>
    <d v="2025-05-01T00:00:00"/>
    <n v="5"/>
    <n v="1"/>
    <n v="2025"/>
    <x v="3"/>
    <s v="Q2"/>
    <x v="2"/>
  </r>
  <r>
    <s v="O102898"/>
    <x v="78"/>
    <x v="10"/>
    <x v="7"/>
    <x v="4"/>
    <x v="0"/>
    <n v="5"/>
    <n v="92230"/>
    <d v="2025-06-26T00:00:00"/>
    <n v="6"/>
    <n v="26"/>
    <n v="2025"/>
    <x v="2"/>
    <s v="Q2"/>
    <x v="4"/>
  </r>
  <r>
    <s v="O110525"/>
    <x v="91"/>
    <x v="8"/>
    <x v="7"/>
    <x v="1"/>
    <x v="2"/>
    <n v="7"/>
    <n v="92219"/>
    <d v="2026-02-10T00:00:00"/>
    <n v="2"/>
    <n v="10"/>
    <n v="2026"/>
    <x v="4"/>
    <s v="Q1"/>
    <x v="1"/>
  </r>
  <r>
    <s v="O105404"/>
    <x v="689"/>
    <x v="8"/>
    <x v="7"/>
    <x v="0"/>
    <x v="0"/>
    <n v="6"/>
    <n v="92164"/>
    <d v="2025-11-25T00:00:00"/>
    <n v="11"/>
    <n v="25"/>
    <n v="2025"/>
    <x v="0"/>
    <s v="Q4"/>
    <x v="0"/>
  </r>
  <r>
    <s v="O101914"/>
    <x v="640"/>
    <x v="3"/>
    <x v="7"/>
    <x v="3"/>
    <x v="1"/>
    <n v="6"/>
    <n v="92154"/>
    <d v="2025-04-27T00:00:00"/>
    <n v="4"/>
    <n v="27"/>
    <n v="2025"/>
    <x v="11"/>
    <s v="Q2"/>
    <x v="3"/>
  </r>
  <r>
    <s v="O111648"/>
    <x v="217"/>
    <x v="8"/>
    <x v="7"/>
    <x v="3"/>
    <x v="2"/>
    <n v="8"/>
    <n v="92113"/>
    <d v="2026-09-12T00:00:00"/>
    <n v="9"/>
    <n v="12"/>
    <n v="2026"/>
    <x v="1"/>
    <s v="Q3"/>
    <x v="3"/>
  </r>
  <r>
    <s v="O102613"/>
    <x v="115"/>
    <x v="10"/>
    <x v="7"/>
    <x v="1"/>
    <x v="3"/>
    <n v="8"/>
    <n v="92091"/>
    <d v="2025-08-06T00:00:00"/>
    <n v="8"/>
    <n v="6"/>
    <n v="2025"/>
    <x v="8"/>
    <s v="Q3"/>
    <x v="1"/>
  </r>
  <r>
    <s v="O111591"/>
    <x v="786"/>
    <x v="6"/>
    <x v="6"/>
    <x v="0"/>
    <x v="3"/>
    <n v="3"/>
    <n v="92049"/>
    <d v="2026-06-12T00:00:00"/>
    <n v="6"/>
    <n v="12"/>
    <n v="2026"/>
    <x v="2"/>
    <s v="Q2"/>
    <x v="0"/>
  </r>
  <r>
    <s v="O101209"/>
    <x v="482"/>
    <x v="1"/>
    <x v="7"/>
    <x v="1"/>
    <x v="1"/>
    <n v="6"/>
    <n v="92036"/>
    <d v="2025-03-15T00:00:00"/>
    <n v="3"/>
    <n v="15"/>
    <n v="2025"/>
    <x v="5"/>
    <s v="Q1"/>
    <x v="1"/>
  </r>
  <r>
    <s v="O105068"/>
    <x v="62"/>
    <x v="2"/>
    <x v="7"/>
    <x v="2"/>
    <x v="0"/>
    <n v="6"/>
    <n v="92016"/>
    <d v="2025-04-11T00:00:00"/>
    <n v="4"/>
    <n v="11"/>
    <n v="2025"/>
    <x v="11"/>
    <s v="Q2"/>
    <x v="2"/>
  </r>
  <r>
    <s v="O111890"/>
    <x v="267"/>
    <x v="1"/>
    <x v="7"/>
    <x v="2"/>
    <x v="2"/>
    <n v="6"/>
    <n v="91994"/>
    <d v="2026-12-24T00:00:00"/>
    <n v="12"/>
    <n v="24"/>
    <n v="2026"/>
    <x v="7"/>
    <s v="Q4"/>
    <x v="2"/>
  </r>
  <r>
    <s v="O102533"/>
    <x v="493"/>
    <x v="10"/>
    <x v="7"/>
    <x v="4"/>
    <x v="3"/>
    <n v="7"/>
    <n v="91985"/>
    <d v="2025-03-06T00:00:00"/>
    <n v="3"/>
    <n v="6"/>
    <n v="2025"/>
    <x v="5"/>
    <s v="Q1"/>
    <x v="4"/>
  </r>
  <r>
    <s v="O107754"/>
    <x v="61"/>
    <x v="10"/>
    <x v="6"/>
    <x v="2"/>
    <x v="0"/>
    <n v="4"/>
    <n v="91883"/>
    <d v="2026-04-17T00:00:00"/>
    <n v="4"/>
    <n v="17"/>
    <n v="2026"/>
    <x v="11"/>
    <s v="Q2"/>
    <x v="2"/>
  </r>
  <r>
    <s v="O103235"/>
    <x v="543"/>
    <x v="3"/>
    <x v="7"/>
    <x v="0"/>
    <x v="3"/>
    <n v="5"/>
    <n v="91852"/>
    <d v="2025-07-16T00:00:00"/>
    <n v="7"/>
    <n v="16"/>
    <n v="2025"/>
    <x v="10"/>
    <s v="Q3"/>
    <x v="0"/>
  </r>
  <r>
    <s v="O107614"/>
    <x v="693"/>
    <x v="0"/>
    <x v="7"/>
    <x v="1"/>
    <x v="2"/>
    <n v="7"/>
    <n v="91839"/>
    <d v="2026-08-04T00:00:00"/>
    <n v="8"/>
    <n v="4"/>
    <n v="2026"/>
    <x v="8"/>
    <s v="Q3"/>
    <x v="1"/>
  </r>
  <r>
    <s v="O110655"/>
    <x v="157"/>
    <x v="9"/>
    <x v="7"/>
    <x v="1"/>
    <x v="0"/>
    <n v="8"/>
    <n v="91834"/>
    <d v="2026-10-10T00:00:00"/>
    <n v="10"/>
    <n v="10"/>
    <n v="2026"/>
    <x v="9"/>
    <s v="Q4"/>
    <x v="1"/>
  </r>
  <r>
    <s v="O109588"/>
    <x v="272"/>
    <x v="6"/>
    <x v="7"/>
    <x v="1"/>
    <x v="0"/>
    <n v="6"/>
    <n v="91768"/>
    <d v="2026-06-08T00:00:00"/>
    <n v="6"/>
    <n v="8"/>
    <n v="2026"/>
    <x v="2"/>
    <s v="Q2"/>
    <x v="1"/>
  </r>
  <r>
    <s v="O102094"/>
    <x v="508"/>
    <x v="3"/>
    <x v="6"/>
    <x v="3"/>
    <x v="0"/>
    <n v="4"/>
    <n v="91749"/>
    <d v="2025-08-05T00:00:00"/>
    <n v="8"/>
    <n v="5"/>
    <n v="2025"/>
    <x v="8"/>
    <s v="Q3"/>
    <x v="3"/>
  </r>
  <r>
    <s v="O110078"/>
    <x v="442"/>
    <x v="8"/>
    <x v="6"/>
    <x v="2"/>
    <x v="0"/>
    <n v="4"/>
    <n v="91732"/>
    <d v="2026-05-09T00:00:00"/>
    <n v="5"/>
    <n v="9"/>
    <n v="2026"/>
    <x v="3"/>
    <s v="Q2"/>
    <x v="2"/>
  </r>
  <r>
    <s v="O100910"/>
    <x v="788"/>
    <x v="4"/>
    <x v="7"/>
    <x v="3"/>
    <x v="0"/>
    <n v="7"/>
    <n v="91634"/>
    <d v="2025-02-25T00:00:00"/>
    <n v="2"/>
    <n v="25"/>
    <n v="2025"/>
    <x v="4"/>
    <s v="Q1"/>
    <x v="3"/>
  </r>
  <r>
    <s v="O100106"/>
    <x v="603"/>
    <x v="2"/>
    <x v="7"/>
    <x v="4"/>
    <x v="1"/>
    <n v="8"/>
    <n v="91570"/>
    <d v="2025-07-01T00:00:00"/>
    <n v="7"/>
    <n v="1"/>
    <n v="2025"/>
    <x v="10"/>
    <s v="Q3"/>
    <x v="4"/>
  </r>
  <r>
    <s v="O103301"/>
    <x v="3"/>
    <x v="6"/>
    <x v="6"/>
    <x v="1"/>
    <x v="1"/>
    <n v="4"/>
    <n v="91538"/>
    <d v="2025-07-20T00:00:00"/>
    <n v="7"/>
    <n v="20"/>
    <n v="2025"/>
    <x v="10"/>
    <s v="Q3"/>
    <x v="1"/>
  </r>
  <r>
    <s v="O104894"/>
    <x v="178"/>
    <x v="0"/>
    <x v="7"/>
    <x v="1"/>
    <x v="2"/>
    <n v="8"/>
    <n v="91518"/>
    <d v="2025-10-25T00:00:00"/>
    <n v="10"/>
    <n v="25"/>
    <n v="2025"/>
    <x v="9"/>
    <s v="Q4"/>
    <x v="1"/>
  </r>
  <r>
    <s v="O108209"/>
    <x v="759"/>
    <x v="7"/>
    <x v="7"/>
    <x v="4"/>
    <x v="3"/>
    <n v="5"/>
    <n v="91410"/>
    <d v="2026-05-14T00:00:00"/>
    <n v="5"/>
    <n v="14"/>
    <n v="2026"/>
    <x v="3"/>
    <s v="Q2"/>
    <x v="4"/>
  </r>
  <r>
    <s v="O106888"/>
    <x v="145"/>
    <x v="5"/>
    <x v="7"/>
    <x v="1"/>
    <x v="2"/>
    <n v="6"/>
    <n v="91402"/>
    <d v="2026-02-23T00:00:00"/>
    <n v="2"/>
    <n v="23"/>
    <n v="2026"/>
    <x v="4"/>
    <m/>
    <x v="1"/>
  </r>
  <r>
    <s v="O102862"/>
    <x v="699"/>
    <x v="3"/>
    <x v="7"/>
    <x v="3"/>
    <x v="1"/>
    <n v="8"/>
    <n v="91379"/>
    <d v="2025-06-23T00:00:00"/>
    <n v="6"/>
    <n v="23"/>
    <n v="2025"/>
    <x v="2"/>
    <s v="Q2"/>
    <x v="3"/>
  </r>
  <r>
    <s v="O111607"/>
    <x v="16"/>
    <x v="4"/>
    <x v="7"/>
    <x v="3"/>
    <x v="3"/>
    <n v="6"/>
    <n v="91361"/>
    <d v="2026-07-12T00:00:00"/>
    <n v="7"/>
    <n v="12"/>
    <n v="2026"/>
    <x v="10"/>
    <s v="Q3"/>
    <x v="3"/>
  </r>
  <r>
    <s v="O102060"/>
    <x v="270"/>
    <x v="5"/>
    <x v="6"/>
    <x v="4"/>
    <x v="0"/>
    <n v="4"/>
    <n v="91342"/>
    <d v="2025-06-05T00:00:00"/>
    <n v="6"/>
    <n v="5"/>
    <n v="2025"/>
    <x v="2"/>
    <s v="Q2"/>
    <x v="4"/>
  </r>
  <r>
    <s v="O100661"/>
    <x v="531"/>
    <x v="10"/>
    <x v="7"/>
    <x v="0"/>
    <x v="0"/>
    <n v="5"/>
    <n v="91318"/>
    <d v="2025-10-02T00:00:00"/>
    <n v="10"/>
    <n v="2"/>
    <n v="2025"/>
    <x v="9"/>
    <s v="Q4"/>
    <x v="0"/>
  </r>
  <r>
    <s v="O105337"/>
    <x v="492"/>
    <x v="2"/>
    <x v="7"/>
    <x v="1"/>
    <x v="1"/>
    <n v="6"/>
    <n v="91311"/>
    <d v="2025-11-21T00:00:00"/>
    <n v="11"/>
    <n v="21"/>
    <n v="2025"/>
    <x v="0"/>
    <s v="Q4"/>
    <x v="1"/>
  </r>
  <r>
    <s v="O107013"/>
    <x v="773"/>
    <x v="1"/>
    <x v="7"/>
    <x v="4"/>
    <x v="0"/>
    <n v="6"/>
    <n v="91305"/>
    <d v="2026-03-03T00:00:00"/>
    <n v="3"/>
    <n v="3"/>
    <n v="2026"/>
    <x v="5"/>
    <s v="Q1"/>
    <x v="4"/>
  </r>
  <r>
    <s v="O104944"/>
    <x v="491"/>
    <x v="5"/>
    <x v="7"/>
    <x v="2"/>
    <x v="2"/>
    <n v="5"/>
    <n v="91301"/>
    <d v="2025-10-28T00:00:00"/>
    <n v="10"/>
    <n v="28"/>
    <n v="2025"/>
    <x v="9"/>
    <m/>
    <x v="2"/>
  </r>
  <r>
    <s v="O106061"/>
    <x v="381"/>
    <x v="9"/>
    <x v="7"/>
    <x v="4"/>
    <x v="0"/>
    <n v="6"/>
    <n v="91262"/>
    <d v="2026-04-01T00:00:00"/>
    <n v="4"/>
    <n v="1"/>
    <n v="2026"/>
    <x v="11"/>
    <s v="Q2"/>
    <x v="4"/>
  </r>
  <r>
    <s v="O110906"/>
    <x v="345"/>
    <x v="2"/>
    <x v="7"/>
    <x v="2"/>
    <x v="3"/>
    <n v="7"/>
    <n v="91235"/>
    <d v="2026-10-25T00:00:00"/>
    <n v="10"/>
    <n v="25"/>
    <n v="2026"/>
    <x v="9"/>
    <s v="Q4"/>
    <x v="2"/>
  </r>
  <r>
    <s v="O111153"/>
    <x v="86"/>
    <x v="3"/>
    <x v="7"/>
    <x v="0"/>
    <x v="0"/>
    <n v="8"/>
    <n v="91187"/>
    <d v="2026-09-11T00:00:00"/>
    <n v="9"/>
    <n v="11"/>
    <n v="2026"/>
    <x v="1"/>
    <s v="Q3"/>
    <x v="0"/>
  </r>
  <r>
    <s v="O101739"/>
    <x v="231"/>
    <x v="10"/>
    <x v="7"/>
    <x v="1"/>
    <x v="2"/>
    <n v="5"/>
    <n v="91181"/>
    <d v="2025-04-16T00:00:00"/>
    <n v="4"/>
    <n v="16"/>
    <n v="2025"/>
    <x v="11"/>
    <s v="Q2"/>
    <x v="1"/>
  </r>
  <r>
    <s v="O105417"/>
    <x v="448"/>
    <x v="6"/>
    <x v="7"/>
    <x v="1"/>
    <x v="2"/>
    <n v="5"/>
    <n v="91177"/>
    <d v="2025-11-26T00:00:00"/>
    <n v="11"/>
    <n v="26"/>
    <n v="2025"/>
    <x v="0"/>
    <s v="Q4"/>
    <x v="1"/>
  </r>
  <r>
    <s v="O104648"/>
    <x v="313"/>
    <x v="0"/>
    <x v="7"/>
    <x v="3"/>
    <x v="1"/>
    <n v="5"/>
    <n v="91164"/>
    <d v="2025-10-10T00:00:00"/>
    <n v="10"/>
    <n v="10"/>
    <n v="2025"/>
    <x v="9"/>
    <s v="Q4"/>
    <x v="3"/>
  </r>
  <r>
    <s v="O100655"/>
    <x v="187"/>
    <x v="5"/>
    <x v="6"/>
    <x v="0"/>
    <x v="1"/>
    <n v="3"/>
    <n v="91134"/>
    <d v="2025-09-02T00:00:00"/>
    <n v="9"/>
    <n v="2"/>
    <n v="2025"/>
    <x v="1"/>
    <s v="Q3"/>
    <x v="0"/>
  </r>
  <r>
    <s v="O109420"/>
    <x v="346"/>
    <x v="6"/>
    <x v="6"/>
    <x v="0"/>
    <x v="0"/>
    <n v="3"/>
    <n v="91128"/>
    <d v="2026-07-27T00:00:00"/>
    <n v="7"/>
    <n v="27"/>
    <n v="2026"/>
    <x v="10"/>
    <m/>
    <x v="0"/>
  </r>
  <r>
    <s v="O106551"/>
    <x v="447"/>
    <x v="2"/>
    <x v="7"/>
    <x v="0"/>
    <x v="0"/>
    <n v="5"/>
    <n v="91053"/>
    <d v="2026-02-02T00:00:00"/>
    <n v="2"/>
    <n v="2"/>
    <n v="2026"/>
    <x v="4"/>
    <s v="Q1"/>
    <x v="0"/>
  </r>
  <r>
    <s v="O111410"/>
    <x v="703"/>
    <x v="6"/>
    <x v="7"/>
    <x v="2"/>
    <x v="2"/>
    <n v="7"/>
    <n v="91047"/>
    <d v="2026-11-25T00:00:00"/>
    <n v="11"/>
    <n v="25"/>
    <n v="2026"/>
    <x v="0"/>
    <s v="Q4"/>
    <x v="2"/>
  </r>
  <r>
    <s v="O104764"/>
    <x v="511"/>
    <x v="8"/>
    <x v="7"/>
    <x v="1"/>
    <x v="3"/>
    <n v="6"/>
    <n v="91000"/>
    <d v="2025-10-17T00:00:00"/>
    <n v="10"/>
    <n v="17"/>
    <n v="2025"/>
    <x v="9"/>
    <s v="Q4"/>
    <x v="1"/>
  </r>
  <r>
    <s v="O101751"/>
    <x v="346"/>
    <x v="1"/>
    <x v="6"/>
    <x v="3"/>
    <x v="1"/>
    <n v="4"/>
    <n v="90997"/>
    <d v="2025-04-17T00:00:00"/>
    <n v="4"/>
    <n v="17"/>
    <n v="2025"/>
    <x v="11"/>
    <m/>
    <x v="3"/>
  </r>
  <r>
    <s v="O108268"/>
    <x v="446"/>
    <x v="1"/>
    <x v="7"/>
    <x v="2"/>
    <x v="2"/>
    <n v="6"/>
    <n v="90990"/>
    <d v="2026-05-18T00:00:00"/>
    <n v="5"/>
    <n v="18"/>
    <n v="2026"/>
    <x v="3"/>
    <s v="Q2"/>
    <x v="2"/>
  </r>
  <r>
    <s v="O105597"/>
    <x v="794"/>
    <x v="2"/>
    <x v="7"/>
    <x v="1"/>
    <x v="3"/>
    <n v="5"/>
    <n v="90989"/>
    <d v="2025-06-12T00:00:00"/>
    <n v="6"/>
    <n v="12"/>
    <n v="2025"/>
    <x v="2"/>
    <s v="Q2"/>
    <x v="1"/>
  </r>
  <r>
    <s v="O101422"/>
    <x v="729"/>
    <x v="4"/>
    <x v="6"/>
    <x v="1"/>
    <x v="2"/>
    <n v="3"/>
    <n v="90983"/>
    <d v="2025-03-28T00:00:00"/>
    <n v="3"/>
    <n v="28"/>
    <n v="2025"/>
    <x v="5"/>
    <s v="Q1"/>
    <x v="1"/>
  </r>
  <r>
    <s v="O106072"/>
    <x v="69"/>
    <x v="8"/>
    <x v="7"/>
    <x v="4"/>
    <x v="1"/>
    <n v="6"/>
    <n v="90978"/>
    <d v="2026-04-01T00:00:00"/>
    <n v="4"/>
    <n v="1"/>
    <n v="2026"/>
    <x v="11"/>
    <s v="Q2"/>
    <x v="4"/>
  </r>
  <r>
    <s v="O101138"/>
    <x v="14"/>
    <x v="0"/>
    <x v="6"/>
    <x v="2"/>
    <x v="1"/>
    <n v="4"/>
    <n v="90971"/>
    <d v="2025-11-03T00:00:00"/>
    <n v="11"/>
    <n v="3"/>
    <n v="2025"/>
    <x v="0"/>
    <s v="Q4"/>
    <x v="2"/>
  </r>
  <r>
    <s v="O111147"/>
    <x v="702"/>
    <x v="0"/>
    <x v="6"/>
    <x v="3"/>
    <x v="1"/>
    <n v="3"/>
    <n v="90970"/>
    <d v="2026-09-11T00:00:00"/>
    <n v="9"/>
    <n v="11"/>
    <n v="2026"/>
    <x v="1"/>
    <s v="Q3"/>
    <x v="3"/>
  </r>
  <r>
    <s v="O106323"/>
    <x v="401"/>
    <x v="7"/>
    <x v="6"/>
    <x v="2"/>
    <x v="0"/>
    <n v="3"/>
    <n v="90905"/>
    <d v="2026-01-20T00:00:00"/>
    <n v="1"/>
    <n v="20"/>
    <n v="2026"/>
    <x v="6"/>
    <s v="Q1"/>
    <x v="2"/>
  </r>
  <r>
    <s v="O101180"/>
    <x v="743"/>
    <x v="6"/>
    <x v="6"/>
    <x v="0"/>
    <x v="3"/>
    <n v="3"/>
    <n v="90905"/>
    <d v="2025-03-13T00:00:00"/>
    <n v="3"/>
    <n v="13"/>
    <n v="2025"/>
    <x v="5"/>
    <s v="Q1"/>
    <x v="0"/>
  </r>
  <r>
    <s v="O111549"/>
    <x v="484"/>
    <x v="0"/>
    <x v="6"/>
    <x v="2"/>
    <x v="1"/>
    <n v="4"/>
    <n v="90881"/>
    <d v="2026-03-12T00:00:00"/>
    <n v="3"/>
    <n v="12"/>
    <n v="2026"/>
    <x v="5"/>
    <s v="Q1"/>
    <x v="2"/>
  </r>
  <r>
    <s v="O107189"/>
    <x v="593"/>
    <x v="1"/>
    <x v="6"/>
    <x v="3"/>
    <x v="3"/>
    <n v="4"/>
    <n v="90871"/>
    <d v="2026-03-13T00:00:00"/>
    <n v="3"/>
    <n v="13"/>
    <n v="2026"/>
    <x v="5"/>
    <s v="Q1"/>
    <x v="3"/>
  </r>
  <r>
    <s v="O110798"/>
    <x v="304"/>
    <x v="10"/>
    <x v="7"/>
    <x v="1"/>
    <x v="1"/>
    <n v="8"/>
    <n v="90858"/>
    <d v="2026-10-18T00:00:00"/>
    <n v="10"/>
    <n v="18"/>
    <n v="2026"/>
    <x v="9"/>
    <s v="Q4"/>
    <x v="1"/>
  </r>
  <r>
    <s v="O100139"/>
    <x v="305"/>
    <x v="0"/>
    <x v="7"/>
    <x v="0"/>
    <x v="1"/>
    <n v="6"/>
    <n v="90851"/>
    <d v="2025-09-01T00:00:00"/>
    <n v="9"/>
    <n v="1"/>
    <n v="2025"/>
    <x v="1"/>
    <s v="Q3"/>
    <x v="0"/>
  </r>
  <r>
    <s v="O105904"/>
    <x v="310"/>
    <x v="4"/>
    <x v="7"/>
    <x v="3"/>
    <x v="2"/>
    <n v="5"/>
    <n v="90784"/>
    <d v="2025-12-25T00:00:00"/>
    <n v="12"/>
    <n v="25"/>
    <n v="2025"/>
    <x v="7"/>
    <s v="Q4"/>
    <x v="3"/>
  </r>
  <r>
    <s v="O102368"/>
    <x v="45"/>
    <x v="1"/>
    <x v="6"/>
    <x v="0"/>
    <x v="0"/>
    <n v="3"/>
    <n v="90779"/>
    <d v="2025-05-24T00:00:00"/>
    <n v="5"/>
    <n v="24"/>
    <n v="2025"/>
    <x v="3"/>
    <s v="Q2"/>
    <x v="0"/>
  </r>
  <r>
    <s v="O104455"/>
    <x v="740"/>
    <x v="3"/>
    <x v="5"/>
    <x v="1"/>
    <x v="0"/>
    <n v="1"/>
    <n v="90770"/>
    <d v="2025-09-28T00:00:00"/>
    <n v="9"/>
    <n v="28"/>
    <n v="2025"/>
    <x v="1"/>
    <s v="Q3"/>
    <x v="1"/>
  </r>
  <r>
    <s v="O105740"/>
    <x v="343"/>
    <x v="3"/>
    <x v="6"/>
    <x v="0"/>
    <x v="3"/>
    <n v="4"/>
    <n v="90770"/>
    <d v="2025-12-15T00:00:00"/>
    <n v="12"/>
    <n v="15"/>
    <n v="2025"/>
    <x v="7"/>
    <s v="Q4"/>
    <x v="0"/>
  </r>
  <r>
    <s v="O101671"/>
    <x v="207"/>
    <x v="3"/>
    <x v="7"/>
    <x v="3"/>
    <x v="1"/>
    <n v="5"/>
    <n v="90739"/>
    <d v="2025-12-04T00:00:00"/>
    <n v="12"/>
    <n v="4"/>
    <n v="2025"/>
    <x v="7"/>
    <s v="Q4"/>
    <x v="3"/>
  </r>
  <r>
    <s v="O104697"/>
    <x v="13"/>
    <x v="3"/>
    <x v="6"/>
    <x v="0"/>
    <x v="3"/>
    <n v="3"/>
    <n v="90739"/>
    <d v="2025-10-13T00:00:00"/>
    <n v="10"/>
    <n v="13"/>
    <n v="2025"/>
    <x v="9"/>
    <s v="Q4"/>
    <x v="0"/>
  </r>
  <r>
    <s v="O109422"/>
    <x v="279"/>
    <x v="5"/>
    <x v="6"/>
    <x v="3"/>
    <x v="0"/>
    <n v="4"/>
    <n v="90707"/>
    <d v="2026-07-27T00:00:00"/>
    <n v="7"/>
    <n v="27"/>
    <n v="2026"/>
    <x v="10"/>
    <s v="Q3"/>
    <x v="3"/>
  </r>
  <r>
    <s v="O103006"/>
    <x v="441"/>
    <x v="4"/>
    <x v="5"/>
    <x v="2"/>
    <x v="3"/>
    <n v="1"/>
    <n v="90688"/>
    <d v="2025-02-07T00:00:00"/>
    <n v="2"/>
    <n v="7"/>
    <n v="2025"/>
    <x v="4"/>
    <s v="Q1"/>
    <x v="2"/>
  </r>
  <r>
    <s v="O102451"/>
    <x v="352"/>
    <x v="5"/>
    <x v="7"/>
    <x v="2"/>
    <x v="2"/>
    <n v="8"/>
    <n v="90663"/>
    <d v="2025-05-29T00:00:00"/>
    <n v="5"/>
    <n v="29"/>
    <n v="2025"/>
    <x v="3"/>
    <s v="Q2"/>
    <x v="2"/>
  </r>
  <r>
    <s v="O109713"/>
    <x v="728"/>
    <x v="8"/>
    <x v="7"/>
    <x v="0"/>
    <x v="1"/>
    <n v="7"/>
    <n v="90663"/>
    <d v="2026-08-14T00:00:00"/>
    <n v="8"/>
    <n v="14"/>
    <n v="2026"/>
    <x v="8"/>
    <s v="Q3"/>
    <x v="0"/>
  </r>
  <r>
    <s v="O109311"/>
    <x v="705"/>
    <x v="6"/>
    <x v="7"/>
    <x v="1"/>
    <x v="2"/>
    <n v="8"/>
    <n v="90638"/>
    <d v="2026-07-20T00:00:00"/>
    <n v="7"/>
    <n v="20"/>
    <n v="2026"/>
    <x v="10"/>
    <s v="Q3"/>
    <x v="1"/>
  </r>
  <r>
    <s v="O109047"/>
    <x v="122"/>
    <x v="3"/>
    <x v="7"/>
    <x v="0"/>
    <x v="3"/>
    <n v="7"/>
    <n v="90628"/>
    <d v="2026-04-07T00:00:00"/>
    <n v="4"/>
    <n v="7"/>
    <n v="2026"/>
    <x v="11"/>
    <s v="Q2"/>
    <x v="0"/>
  </r>
  <r>
    <s v="O107856"/>
    <x v="597"/>
    <x v="8"/>
    <x v="6"/>
    <x v="2"/>
    <x v="3"/>
    <n v="3"/>
    <n v="90622"/>
    <d v="2026-04-23T00:00:00"/>
    <n v="4"/>
    <n v="23"/>
    <n v="2026"/>
    <x v="11"/>
    <s v="Q2"/>
    <x v="2"/>
  </r>
  <r>
    <s v="O101258"/>
    <x v="799"/>
    <x v="5"/>
    <x v="6"/>
    <x v="2"/>
    <x v="2"/>
    <n v="4"/>
    <n v="90546"/>
    <d v="2025-03-18T00:00:00"/>
    <n v="3"/>
    <n v="18"/>
    <n v="2025"/>
    <x v="5"/>
    <s v="Q1"/>
    <x v="2"/>
  </r>
  <r>
    <s v="O108287"/>
    <x v="164"/>
    <x v="3"/>
    <x v="6"/>
    <x v="3"/>
    <x v="0"/>
    <n v="4"/>
    <n v="90544"/>
    <d v="2026-05-19T00:00:00"/>
    <n v="5"/>
    <n v="19"/>
    <n v="2026"/>
    <x v="3"/>
    <s v="Q2"/>
    <x v="3"/>
  </r>
  <r>
    <s v="O110700"/>
    <x v="162"/>
    <x v="1"/>
    <x v="7"/>
    <x v="4"/>
    <x v="2"/>
    <n v="5"/>
    <n v="90532"/>
    <d v="2026-10-13T00:00:00"/>
    <n v="10"/>
    <n v="13"/>
    <n v="2026"/>
    <x v="9"/>
    <s v="Q4"/>
    <x v="4"/>
  </r>
  <r>
    <s v="O100406"/>
    <x v="556"/>
    <x v="10"/>
    <x v="5"/>
    <x v="3"/>
    <x v="1"/>
    <n v="1"/>
    <n v="90512"/>
    <d v="2025-01-25T00:00:00"/>
    <n v="1"/>
    <n v="25"/>
    <n v="2025"/>
    <x v="6"/>
    <s v="Q1"/>
    <x v="3"/>
  </r>
  <r>
    <s v="O100424"/>
    <x v="276"/>
    <x v="3"/>
    <x v="6"/>
    <x v="2"/>
    <x v="0"/>
    <n v="3"/>
    <n v="90511"/>
    <d v="2025-01-26T00:00:00"/>
    <n v="1"/>
    <n v="26"/>
    <n v="2025"/>
    <x v="6"/>
    <s v="Q1"/>
    <x v="2"/>
  </r>
  <r>
    <s v="O101989"/>
    <x v="151"/>
    <x v="0"/>
    <x v="6"/>
    <x v="4"/>
    <x v="1"/>
    <n v="4"/>
    <n v="90490"/>
    <d v="2025-01-05T00:00:00"/>
    <n v="1"/>
    <n v="5"/>
    <n v="2025"/>
    <x v="6"/>
    <s v="Q1"/>
    <x v="4"/>
  </r>
  <r>
    <s v="O111123"/>
    <x v="234"/>
    <x v="6"/>
    <x v="7"/>
    <x v="2"/>
    <x v="3"/>
    <n v="5"/>
    <n v="90447"/>
    <d v="2026-07-11T00:00:00"/>
    <n v="7"/>
    <n v="11"/>
    <n v="2026"/>
    <x v="10"/>
    <s v="Q3"/>
    <x v="2"/>
  </r>
  <r>
    <s v="O100020"/>
    <x v="315"/>
    <x v="10"/>
    <x v="7"/>
    <x v="4"/>
    <x v="1"/>
    <n v="6"/>
    <n v="90353"/>
    <d v="2025-02-01T00:00:00"/>
    <n v="2"/>
    <n v="1"/>
    <n v="2025"/>
    <x v="4"/>
    <s v="Q1"/>
    <x v="4"/>
  </r>
  <r>
    <s v="O108655"/>
    <x v="772"/>
    <x v="6"/>
    <x v="7"/>
    <x v="2"/>
    <x v="0"/>
    <n v="6"/>
    <n v="90289"/>
    <d v="2026-10-06T00:00:00"/>
    <n v="10"/>
    <n v="6"/>
    <n v="2026"/>
    <x v="9"/>
    <s v="Q4"/>
    <x v="2"/>
  </r>
  <r>
    <s v="O100417"/>
    <x v="409"/>
    <x v="3"/>
    <x v="7"/>
    <x v="2"/>
    <x v="0"/>
    <n v="6"/>
    <n v="90228"/>
    <d v="2025-01-26T00:00:00"/>
    <n v="1"/>
    <n v="26"/>
    <n v="2025"/>
    <x v="6"/>
    <s v="Q1"/>
    <x v="2"/>
  </r>
  <r>
    <s v="O100418"/>
    <x v="141"/>
    <x v="4"/>
    <x v="7"/>
    <x v="1"/>
    <x v="1"/>
    <n v="5"/>
    <n v="90178"/>
    <d v="2025-01-26T00:00:00"/>
    <n v="1"/>
    <n v="26"/>
    <n v="2025"/>
    <x v="6"/>
    <s v="Q1"/>
    <x v="1"/>
  </r>
  <r>
    <s v="O101506"/>
    <x v="593"/>
    <x v="6"/>
    <x v="7"/>
    <x v="4"/>
    <x v="0"/>
    <n v="7"/>
    <n v="90176"/>
    <d v="2025-02-04T00:00:00"/>
    <n v="2"/>
    <n v="4"/>
    <n v="2025"/>
    <x v="4"/>
    <s v="Q1"/>
    <x v="4"/>
  </r>
  <r>
    <s v="O104065"/>
    <x v="277"/>
    <x v="8"/>
    <x v="5"/>
    <x v="3"/>
    <x v="2"/>
    <n v="1"/>
    <n v="90163"/>
    <d v="2025-04-09T00:00:00"/>
    <n v="4"/>
    <n v="9"/>
    <n v="2025"/>
    <x v="11"/>
    <s v="Q2"/>
    <x v="3"/>
  </r>
  <r>
    <s v="O109324"/>
    <x v="459"/>
    <x v="1"/>
    <x v="6"/>
    <x v="3"/>
    <x v="2"/>
    <n v="4"/>
    <n v="90070"/>
    <d v="2026-07-21T00:00:00"/>
    <n v="7"/>
    <n v="21"/>
    <n v="2026"/>
    <x v="10"/>
    <s v="Q3"/>
    <x v="3"/>
  </r>
  <r>
    <s v="O111069"/>
    <x v="237"/>
    <x v="2"/>
    <x v="6"/>
    <x v="1"/>
    <x v="2"/>
    <n v="3"/>
    <n v="89994"/>
    <d v="2026-04-11T00:00:00"/>
    <n v="4"/>
    <n v="11"/>
    <n v="2026"/>
    <x v="11"/>
    <s v="Q2"/>
    <x v="1"/>
  </r>
  <r>
    <s v="O104976"/>
    <x v="652"/>
    <x v="5"/>
    <x v="6"/>
    <x v="0"/>
    <x v="3"/>
    <n v="3"/>
    <n v="89845"/>
    <d v="2025-10-30T00:00:00"/>
    <n v="10"/>
    <n v="30"/>
    <n v="2025"/>
    <x v="9"/>
    <s v="Q4"/>
    <x v="0"/>
  </r>
  <r>
    <s v="O105105"/>
    <x v="768"/>
    <x v="2"/>
    <x v="7"/>
    <x v="2"/>
    <x v="1"/>
    <n v="6"/>
    <n v="89824"/>
    <d v="2025-07-11T00:00:00"/>
    <n v="7"/>
    <n v="11"/>
    <n v="2025"/>
    <x v="10"/>
    <s v="Q3"/>
    <x v="2"/>
  </r>
  <r>
    <s v="O111679"/>
    <x v="181"/>
    <x v="4"/>
    <x v="6"/>
    <x v="0"/>
    <x v="2"/>
    <n v="4"/>
    <n v="89737"/>
    <d v="2026-11-12T00:00:00"/>
    <n v="11"/>
    <n v="12"/>
    <n v="2026"/>
    <x v="0"/>
    <s v="Q4"/>
    <x v="0"/>
  </r>
  <r>
    <s v="O108706"/>
    <x v="233"/>
    <x v="4"/>
    <x v="6"/>
    <x v="3"/>
    <x v="2"/>
    <n v="3"/>
    <n v="89709"/>
    <d v="2026-06-13T00:00:00"/>
    <n v="6"/>
    <n v="13"/>
    <n v="2026"/>
    <x v="2"/>
    <s v="Q2"/>
    <x v="3"/>
  </r>
  <r>
    <s v="O106446"/>
    <x v="643"/>
    <x v="4"/>
    <x v="6"/>
    <x v="4"/>
    <x v="3"/>
    <n v="3"/>
    <n v="89706"/>
    <d v="2026-01-27T00:00:00"/>
    <n v="1"/>
    <n v="27"/>
    <n v="2026"/>
    <x v="6"/>
    <s v="Q1"/>
    <x v="4"/>
  </r>
  <r>
    <s v="O107552"/>
    <x v="472"/>
    <x v="5"/>
    <x v="7"/>
    <x v="0"/>
    <x v="2"/>
    <n v="6"/>
    <n v="89649"/>
    <d v="2026-04-04T00:00:00"/>
    <n v="4"/>
    <n v="4"/>
    <n v="2026"/>
    <x v="11"/>
    <s v="Q2"/>
    <x v="0"/>
  </r>
  <r>
    <s v="O106687"/>
    <x v="659"/>
    <x v="6"/>
    <x v="7"/>
    <x v="3"/>
    <x v="0"/>
    <n v="6"/>
    <n v="89639"/>
    <d v="2026-11-02T00:00:00"/>
    <n v="11"/>
    <n v="2"/>
    <n v="2026"/>
    <x v="0"/>
    <s v="Q4"/>
    <x v="3"/>
  </r>
  <r>
    <s v="O107302"/>
    <x v="449"/>
    <x v="3"/>
    <x v="6"/>
    <x v="1"/>
    <x v="1"/>
    <n v="4"/>
    <n v="89609"/>
    <d v="2026-03-20T00:00:00"/>
    <n v="3"/>
    <n v="20"/>
    <n v="2026"/>
    <x v="5"/>
    <s v="Q1"/>
    <x v="1"/>
  </r>
  <r>
    <s v="O110074"/>
    <x v="582"/>
    <x v="4"/>
    <x v="7"/>
    <x v="1"/>
    <x v="2"/>
    <n v="7"/>
    <n v="89560"/>
    <d v="2026-04-09T00:00:00"/>
    <n v="4"/>
    <n v="9"/>
    <n v="2026"/>
    <x v="11"/>
    <s v="Q2"/>
    <x v="1"/>
  </r>
  <r>
    <s v="O101949"/>
    <x v="418"/>
    <x v="3"/>
    <x v="7"/>
    <x v="2"/>
    <x v="2"/>
    <n v="6"/>
    <n v="89489"/>
    <d v="2025-04-29T00:00:00"/>
    <n v="4"/>
    <n v="29"/>
    <n v="2025"/>
    <x v="11"/>
    <s v="Q2"/>
    <x v="2"/>
  </r>
  <r>
    <s v="O106085"/>
    <x v="607"/>
    <x v="5"/>
    <x v="7"/>
    <x v="3"/>
    <x v="0"/>
    <n v="6"/>
    <n v="89381"/>
    <d v="2026-05-01T00:00:00"/>
    <n v="5"/>
    <n v="1"/>
    <n v="2026"/>
    <x v="3"/>
    <s v="Q2"/>
    <x v="3"/>
  </r>
  <r>
    <s v="O108312"/>
    <x v="795"/>
    <x v="8"/>
    <x v="7"/>
    <x v="2"/>
    <x v="2"/>
    <n v="7"/>
    <n v="89356"/>
    <d v="2026-05-20T00:00:00"/>
    <n v="5"/>
    <n v="20"/>
    <n v="2026"/>
    <x v="3"/>
    <s v="Q2"/>
    <x v="2"/>
  </r>
  <r>
    <s v="O102385"/>
    <x v="237"/>
    <x v="3"/>
    <x v="7"/>
    <x v="0"/>
    <x v="3"/>
    <n v="7"/>
    <n v="89343"/>
    <d v="2025-05-25T00:00:00"/>
    <n v="5"/>
    <n v="25"/>
    <n v="2025"/>
    <x v="3"/>
    <s v="Q2"/>
    <x v="0"/>
  </r>
  <r>
    <s v="O102447"/>
    <x v="565"/>
    <x v="5"/>
    <x v="7"/>
    <x v="3"/>
    <x v="2"/>
    <n v="5"/>
    <n v="89330"/>
    <d v="2025-05-29T00:00:00"/>
    <n v="5"/>
    <n v="29"/>
    <n v="2025"/>
    <x v="3"/>
    <s v="Q2"/>
    <x v="3"/>
  </r>
  <r>
    <s v="O109981"/>
    <x v="125"/>
    <x v="2"/>
    <x v="7"/>
    <x v="4"/>
    <x v="2"/>
    <n v="7"/>
    <n v="89327"/>
    <d v="2026-08-30T00:00:00"/>
    <n v="8"/>
    <n v="30"/>
    <n v="2026"/>
    <x v="8"/>
    <s v="Q3"/>
    <x v="4"/>
  </r>
  <r>
    <s v="O108522"/>
    <x v="140"/>
    <x v="8"/>
    <x v="6"/>
    <x v="0"/>
    <x v="3"/>
    <n v="4"/>
    <n v="89317"/>
    <d v="2026-02-06T00:00:00"/>
    <n v="2"/>
    <n v="6"/>
    <n v="2026"/>
    <x v="4"/>
    <s v="Q1"/>
    <x v="0"/>
  </r>
  <r>
    <s v="O106539"/>
    <x v="149"/>
    <x v="1"/>
    <x v="6"/>
    <x v="3"/>
    <x v="3"/>
    <n v="4"/>
    <n v="89298"/>
    <d v="2026-02-02T00:00:00"/>
    <n v="2"/>
    <n v="2"/>
    <n v="2026"/>
    <x v="4"/>
    <s v="Q1"/>
    <x v="3"/>
  </r>
  <r>
    <s v="O103352"/>
    <x v="423"/>
    <x v="10"/>
    <x v="6"/>
    <x v="3"/>
    <x v="0"/>
    <n v="3"/>
    <n v="89280"/>
    <d v="2025-07-23T00:00:00"/>
    <n v="7"/>
    <n v="23"/>
    <n v="2025"/>
    <x v="10"/>
    <s v="Q3"/>
    <x v="3"/>
  </r>
  <r>
    <s v="O109688"/>
    <x v="722"/>
    <x v="5"/>
    <x v="7"/>
    <x v="4"/>
    <x v="1"/>
    <n v="5"/>
    <n v="89213"/>
    <d v="2026-12-08T00:00:00"/>
    <n v="12"/>
    <n v="8"/>
    <n v="2026"/>
    <x v="7"/>
    <s v="Q4"/>
    <x v="4"/>
  </r>
  <r>
    <s v="O103753"/>
    <x v="29"/>
    <x v="2"/>
    <x v="7"/>
    <x v="2"/>
    <x v="3"/>
    <n v="6"/>
    <n v="89163"/>
    <d v="2025-08-16T00:00:00"/>
    <n v="8"/>
    <n v="16"/>
    <n v="2025"/>
    <x v="8"/>
    <s v="Q3"/>
    <x v="2"/>
  </r>
  <r>
    <s v="O106793"/>
    <x v="138"/>
    <x v="1"/>
    <x v="7"/>
    <x v="2"/>
    <x v="1"/>
    <n v="5"/>
    <n v="89145"/>
    <d v="2026-02-17T00:00:00"/>
    <n v="2"/>
    <n v="17"/>
    <n v="2026"/>
    <x v="4"/>
    <s v="Q1"/>
    <x v="2"/>
  </r>
  <r>
    <s v="O103608"/>
    <x v="562"/>
    <x v="10"/>
    <x v="7"/>
    <x v="2"/>
    <x v="0"/>
    <n v="5"/>
    <n v="89092"/>
    <d v="2025-08-08T00:00:00"/>
    <n v="8"/>
    <n v="8"/>
    <n v="2025"/>
    <x v="8"/>
    <s v="Q3"/>
    <x v="2"/>
  </r>
  <r>
    <s v="O109569"/>
    <x v="170"/>
    <x v="0"/>
    <x v="6"/>
    <x v="4"/>
    <x v="2"/>
    <n v="4"/>
    <n v="89036"/>
    <d v="2026-05-08T00:00:00"/>
    <n v="5"/>
    <n v="8"/>
    <n v="2026"/>
    <x v="3"/>
    <s v="Q2"/>
    <x v="4"/>
  </r>
  <r>
    <s v="O104555"/>
    <x v="727"/>
    <x v="2"/>
    <x v="6"/>
    <x v="0"/>
    <x v="0"/>
    <n v="3"/>
    <n v="89030"/>
    <d v="2025-04-10T00:00:00"/>
    <n v="4"/>
    <n v="10"/>
    <n v="2025"/>
    <x v="11"/>
    <s v="Q2"/>
    <x v="0"/>
  </r>
  <r>
    <s v="O103817"/>
    <x v="294"/>
    <x v="3"/>
    <x v="7"/>
    <x v="1"/>
    <x v="3"/>
    <n v="5"/>
    <n v="89027"/>
    <d v="2025-08-20T00:00:00"/>
    <n v="8"/>
    <n v="20"/>
    <n v="2025"/>
    <x v="8"/>
    <s v="Q3"/>
    <x v="1"/>
  </r>
  <r>
    <s v="O109947"/>
    <x v="212"/>
    <x v="2"/>
    <x v="7"/>
    <x v="0"/>
    <x v="0"/>
    <n v="6"/>
    <n v="88991"/>
    <d v="2026-08-28T00:00:00"/>
    <n v="8"/>
    <n v="28"/>
    <n v="2026"/>
    <x v="8"/>
    <s v="Q3"/>
    <x v="0"/>
  </r>
  <r>
    <s v="O100282"/>
    <x v="392"/>
    <x v="1"/>
    <x v="7"/>
    <x v="4"/>
    <x v="3"/>
    <n v="5"/>
    <n v="88967"/>
    <d v="2025-01-18T00:00:00"/>
    <n v="1"/>
    <n v="18"/>
    <n v="2025"/>
    <x v="6"/>
    <s v="Q1"/>
    <x v="4"/>
  </r>
  <r>
    <s v="O103373"/>
    <x v="595"/>
    <x v="9"/>
    <x v="7"/>
    <x v="4"/>
    <x v="3"/>
    <n v="7"/>
    <n v="88879"/>
    <d v="2025-07-24T00:00:00"/>
    <n v="7"/>
    <n v="24"/>
    <n v="2025"/>
    <x v="10"/>
    <s v="Q3"/>
    <x v="4"/>
  </r>
  <r>
    <s v="O103831"/>
    <x v="57"/>
    <x v="10"/>
    <x v="7"/>
    <x v="3"/>
    <x v="0"/>
    <n v="5"/>
    <n v="88863"/>
    <d v="2025-08-21T00:00:00"/>
    <n v="8"/>
    <n v="21"/>
    <n v="2025"/>
    <x v="8"/>
    <s v="Q3"/>
    <x v="3"/>
  </r>
  <r>
    <s v="O104737"/>
    <x v="164"/>
    <x v="3"/>
    <x v="6"/>
    <x v="4"/>
    <x v="3"/>
    <n v="3"/>
    <n v="88862"/>
    <d v="2025-10-15T00:00:00"/>
    <n v="10"/>
    <n v="15"/>
    <n v="2025"/>
    <x v="9"/>
    <s v="Q4"/>
    <x v="4"/>
  </r>
  <r>
    <s v="O111741"/>
    <x v="34"/>
    <x v="6"/>
    <x v="7"/>
    <x v="0"/>
    <x v="2"/>
    <n v="7"/>
    <n v="88814"/>
    <d v="2026-12-15T00:00:00"/>
    <n v="12"/>
    <n v="15"/>
    <n v="2026"/>
    <x v="7"/>
    <s v="Q4"/>
    <x v="0"/>
  </r>
  <r>
    <s v="O102661"/>
    <x v="157"/>
    <x v="3"/>
    <x v="6"/>
    <x v="2"/>
    <x v="3"/>
    <n v="3"/>
    <n v="88791"/>
    <d v="2025-11-06T00:00:00"/>
    <n v="11"/>
    <n v="6"/>
    <n v="2025"/>
    <x v="0"/>
    <s v="Q4"/>
    <x v="2"/>
  </r>
  <r>
    <s v="O106680"/>
    <x v="758"/>
    <x v="3"/>
    <x v="6"/>
    <x v="1"/>
    <x v="2"/>
    <n v="4"/>
    <n v="88704"/>
    <d v="2026-10-02T00:00:00"/>
    <n v="10"/>
    <n v="2"/>
    <n v="2026"/>
    <x v="9"/>
    <s v="Q4"/>
    <x v="1"/>
  </r>
  <r>
    <s v="O106357"/>
    <x v="794"/>
    <x v="8"/>
    <x v="6"/>
    <x v="0"/>
    <x v="2"/>
    <n v="4"/>
    <n v="88701"/>
    <d v="2026-01-22T00:00:00"/>
    <n v="1"/>
    <n v="22"/>
    <n v="2026"/>
    <x v="6"/>
    <s v="Q1"/>
    <x v="0"/>
  </r>
  <r>
    <s v="O105285"/>
    <x v="271"/>
    <x v="10"/>
    <x v="6"/>
    <x v="2"/>
    <x v="1"/>
    <n v="3"/>
    <n v="88625"/>
    <d v="2025-11-18T00:00:00"/>
    <n v="11"/>
    <n v="18"/>
    <n v="2025"/>
    <x v="0"/>
    <s v="Q4"/>
    <x v="2"/>
  </r>
  <r>
    <s v="O101498"/>
    <x v="260"/>
    <x v="2"/>
    <x v="6"/>
    <x v="0"/>
    <x v="0"/>
    <n v="4"/>
    <n v="88574"/>
    <d v="2025-01-04T00:00:00"/>
    <n v="1"/>
    <n v="4"/>
    <n v="2025"/>
    <x v="6"/>
    <s v="Q1"/>
    <x v="0"/>
  </r>
  <r>
    <s v="O108440"/>
    <x v="512"/>
    <x v="0"/>
    <x v="7"/>
    <x v="2"/>
    <x v="0"/>
    <n v="5"/>
    <n v="88560"/>
    <d v="2026-05-28T00:00:00"/>
    <n v="5"/>
    <n v="28"/>
    <n v="2026"/>
    <x v="3"/>
    <s v="Q2"/>
    <x v="2"/>
  </r>
  <r>
    <s v="O104220"/>
    <x v="413"/>
    <x v="3"/>
    <x v="7"/>
    <x v="4"/>
    <x v="0"/>
    <n v="6"/>
    <n v="88519"/>
    <d v="2025-09-14T00:00:00"/>
    <n v="9"/>
    <n v="14"/>
    <n v="2025"/>
    <x v="1"/>
    <s v="Q3"/>
    <x v="4"/>
  </r>
  <r>
    <s v="O102227"/>
    <x v="569"/>
    <x v="3"/>
    <x v="7"/>
    <x v="3"/>
    <x v="3"/>
    <n v="6"/>
    <n v="88468"/>
    <d v="2025-05-16T00:00:00"/>
    <n v="5"/>
    <n v="16"/>
    <n v="2025"/>
    <x v="3"/>
    <s v="Q2"/>
    <x v="3"/>
  </r>
  <r>
    <s v="O105299"/>
    <x v="466"/>
    <x v="6"/>
    <x v="6"/>
    <x v="4"/>
    <x v="0"/>
    <n v="4"/>
    <n v="88423"/>
    <d v="2025-11-18T00:00:00"/>
    <n v="11"/>
    <n v="18"/>
    <n v="2025"/>
    <x v="0"/>
    <s v="Q4"/>
    <x v="4"/>
  </r>
  <r>
    <s v="O110614"/>
    <x v="357"/>
    <x v="2"/>
    <x v="7"/>
    <x v="3"/>
    <x v="0"/>
    <n v="6"/>
    <n v="88422"/>
    <d v="2026-07-10T00:00:00"/>
    <n v="7"/>
    <n v="10"/>
    <n v="2026"/>
    <x v="10"/>
    <s v="Q3"/>
    <x v="3"/>
  </r>
  <r>
    <s v="O100538"/>
    <x v="780"/>
    <x v="5"/>
    <x v="7"/>
    <x v="3"/>
    <x v="0"/>
    <n v="6"/>
    <n v="88378"/>
    <d v="2025-02-02T00:00:00"/>
    <n v="2"/>
    <n v="2"/>
    <n v="2025"/>
    <x v="4"/>
    <s v="Q1"/>
    <x v="3"/>
  </r>
  <r>
    <s v="O110397"/>
    <x v="511"/>
    <x v="5"/>
    <x v="6"/>
    <x v="1"/>
    <x v="2"/>
    <n v="4"/>
    <n v="88370"/>
    <d v="2026-09-24T00:00:00"/>
    <n v="9"/>
    <n v="24"/>
    <n v="2026"/>
    <x v="1"/>
    <s v="Q3"/>
    <x v="1"/>
  </r>
  <r>
    <s v="O108717"/>
    <x v="358"/>
    <x v="9"/>
    <x v="6"/>
    <x v="0"/>
    <x v="3"/>
    <n v="4"/>
    <n v="88329"/>
    <d v="2026-06-14T00:00:00"/>
    <n v="6"/>
    <n v="14"/>
    <n v="2026"/>
    <x v="2"/>
    <s v="Q2"/>
    <x v="0"/>
  </r>
  <r>
    <s v="O108103"/>
    <x v="119"/>
    <x v="4"/>
    <x v="7"/>
    <x v="4"/>
    <x v="2"/>
    <n v="5"/>
    <n v="88320"/>
    <d v="2026-08-05T00:00:00"/>
    <n v="8"/>
    <n v="5"/>
    <n v="2026"/>
    <x v="8"/>
    <s v="Q3"/>
    <x v="4"/>
  </r>
  <r>
    <s v="O102608"/>
    <x v="59"/>
    <x v="4"/>
    <x v="7"/>
    <x v="3"/>
    <x v="1"/>
    <n v="6"/>
    <n v="88304"/>
    <d v="2025-08-06T00:00:00"/>
    <n v="8"/>
    <n v="6"/>
    <n v="2025"/>
    <x v="8"/>
    <s v="Q3"/>
    <x v="3"/>
  </r>
  <r>
    <s v="O110630"/>
    <x v="77"/>
    <x v="9"/>
    <x v="6"/>
    <x v="1"/>
    <x v="0"/>
    <n v="3"/>
    <n v="88290"/>
    <d v="2026-08-10T00:00:00"/>
    <n v="8"/>
    <n v="10"/>
    <n v="2026"/>
    <x v="8"/>
    <s v="Q3"/>
    <x v="1"/>
  </r>
  <r>
    <s v="O101597"/>
    <x v="225"/>
    <x v="1"/>
    <x v="7"/>
    <x v="0"/>
    <x v="1"/>
    <n v="6"/>
    <n v="88194"/>
    <d v="2025-07-04T00:00:00"/>
    <n v="7"/>
    <n v="4"/>
    <n v="2025"/>
    <x v="10"/>
    <s v="Q3"/>
    <x v="0"/>
  </r>
  <r>
    <s v="O105820"/>
    <x v="774"/>
    <x v="4"/>
    <x v="6"/>
    <x v="4"/>
    <x v="0"/>
    <n v="3"/>
    <n v="88187"/>
    <d v="2025-12-20T00:00:00"/>
    <n v="12"/>
    <n v="20"/>
    <n v="2025"/>
    <x v="7"/>
    <s v="Q4"/>
    <x v="4"/>
  </r>
  <r>
    <s v="O107105"/>
    <x v="692"/>
    <x v="9"/>
    <x v="7"/>
    <x v="1"/>
    <x v="2"/>
    <n v="5"/>
    <n v="88129"/>
    <d v="2026-08-03T00:00:00"/>
    <n v="8"/>
    <n v="3"/>
    <n v="2026"/>
    <x v="8"/>
    <s v="Q3"/>
    <x v="1"/>
  </r>
  <r>
    <s v="O110337"/>
    <x v="331"/>
    <x v="1"/>
    <x v="7"/>
    <x v="0"/>
    <x v="2"/>
    <n v="5"/>
    <n v="88064"/>
    <d v="2026-09-20T00:00:00"/>
    <n v="9"/>
    <n v="20"/>
    <n v="2026"/>
    <x v="1"/>
    <s v="Q3"/>
    <x v="0"/>
  </r>
  <r>
    <s v="O101615"/>
    <x v="196"/>
    <x v="8"/>
    <x v="7"/>
    <x v="4"/>
    <x v="2"/>
    <n v="7"/>
    <n v="88044"/>
    <d v="2025-09-04T00:00:00"/>
    <n v="9"/>
    <n v="4"/>
    <n v="2025"/>
    <x v="1"/>
    <s v="Q3"/>
    <x v="4"/>
  </r>
  <r>
    <s v="O104280"/>
    <x v="762"/>
    <x v="6"/>
    <x v="7"/>
    <x v="3"/>
    <x v="0"/>
    <n v="7"/>
    <n v="87863"/>
    <d v="2025-09-17T00:00:00"/>
    <n v="9"/>
    <n v="17"/>
    <n v="2025"/>
    <x v="1"/>
    <s v="Q3"/>
    <x v="3"/>
  </r>
  <r>
    <s v="O108601"/>
    <x v="467"/>
    <x v="0"/>
    <x v="7"/>
    <x v="3"/>
    <x v="0"/>
    <n v="5"/>
    <n v="87851"/>
    <d v="2026-07-06T00:00:00"/>
    <n v="7"/>
    <n v="6"/>
    <n v="2026"/>
    <x v="10"/>
    <m/>
    <x v="3"/>
  </r>
  <r>
    <s v="O106688"/>
    <x v="261"/>
    <x v="3"/>
    <x v="7"/>
    <x v="4"/>
    <x v="1"/>
    <n v="5"/>
    <n v="87838"/>
    <d v="2026-11-02T00:00:00"/>
    <n v="11"/>
    <n v="2"/>
    <n v="2026"/>
    <x v="0"/>
    <s v="Q4"/>
    <x v="4"/>
  </r>
  <r>
    <s v="O106467"/>
    <x v="88"/>
    <x v="4"/>
    <x v="6"/>
    <x v="3"/>
    <x v="1"/>
    <n v="3"/>
    <n v="87804"/>
    <d v="2026-01-28T00:00:00"/>
    <n v="1"/>
    <n v="28"/>
    <n v="2026"/>
    <x v="6"/>
    <s v="Q1"/>
    <x v="3"/>
  </r>
  <r>
    <s v="O102002"/>
    <x v="48"/>
    <x v="3"/>
    <x v="7"/>
    <x v="2"/>
    <x v="3"/>
    <n v="5"/>
    <n v="87718"/>
    <d v="2025-02-05T00:00:00"/>
    <n v="2"/>
    <n v="5"/>
    <n v="2025"/>
    <x v="4"/>
    <s v="Q1"/>
    <x v="2"/>
  </r>
  <r>
    <s v="O100565"/>
    <x v="427"/>
    <x v="1"/>
    <x v="7"/>
    <x v="1"/>
    <x v="0"/>
    <n v="7"/>
    <n v="87703"/>
    <d v="2025-04-02T00:00:00"/>
    <n v="4"/>
    <n v="2"/>
    <n v="2025"/>
    <x v="11"/>
    <s v="Q2"/>
    <x v="1"/>
  </r>
  <r>
    <s v="O107697"/>
    <x v="627"/>
    <x v="8"/>
    <x v="7"/>
    <x v="2"/>
    <x v="2"/>
    <n v="6"/>
    <n v="87644"/>
    <d v="2026-04-13T00:00:00"/>
    <n v="4"/>
    <n v="13"/>
    <n v="2026"/>
    <x v="11"/>
    <s v="Q2"/>
    <x v="2"/>
  </r>
  <r>
    <s v="O102040"/>
    <x v="644"/>
    <x v="4"/>
    <x v="7"/>
    <x v="1"/>
    <x v="2"/>
    <n v="5"/>
    <n v="87487"/>
    <d v="2025-04-05T00:00:00"/>
    <n v="4"/>
    <n v="5"/>
    <n v="2025"/>
    <x v="11"/>
    <s v="Q2"/>
    <x v="1"/>
  </r>
  <r>
    <s v="O110449"/>
    <x v="530"/>
    <x v="1"/>
    <x v="6"/>
    <x v="4"/>
    <x v="3"/>
    <n v="4"/>
    <n v="87395"/>
    <d v="2026-09-27T00:00:00"/>
    <n v="9"/>
    <n v="27"/>
    <n v="2026"/>
    <x v="1"/>
    <s v="Q3"/>
    <x v="4"/>
  </r>
  <r>
    <s v="O102272"/>
    <x v="152"/>
    <x v="5"/>
    <x v="7"/>
    <x v="4"/>
    <x v="3"/>
    <n v="5"/>
    <n v="87355"/>
    <d v="2025-05-18T00:00:00"/>
    <n v="5"/>
    <n v="18"/>
    <n v="2025"/>
    <x v="3"/>
    <s v="Q2"/>
    <x v="4"/>
  </r>
  <r>
    <s v="O101431"/>
    <x v="151"/>
    <x v="5"/>
    <x v="6"/>
    <x v="3"/>
    <x v="0"/>
    <n v="3"/>
    <n v="87337"/>
    <d v="2025-03-28T00:00:00"/>
    <n v="3"/>
    <n v="28"/>
    <n v="2025"/>
    <x v="5"/>
    <s v="Q1"/>
    <x v="3"/>
  </r>
  <r>
    <s v="O111640"/>
    <x v="146"/>
    <x v="6"/>
    <x v="7"/>
    <x v="4"/>
    <x v="1"/>
    <n v="6"/>
    <n v="87279"/>
    <d v="2026-09-12T00:00:00"/>
    <n v="9"/>
    <n v="12"/>
    <n v="2026"/>
    <x v="1"/>
    <s v="Q3"/>
    <x v="4"/>
  </r>
  <r>
    <s v="O100636"/>
    <x v="776"/>
    <x v="3"/>
    <x v="6"/>
    <x v="4"/>
    <x v="1"/>
    <n v="3"/>
    <n v="87247"/>
    <d v="2025-08-02T00:00:00"/>
    <n v="8"/>
    <n v="2"/>
    <n v="2025"/>
    <x v="8"/>
    <s v="Q3"/>
    <x v="4"/>
  </r>
  <r>
    <s v="O103328"/>
    <x v="277"/>
    <x v="10"/>
    <x v="6"/>
    <x v="0"/>
    <x v="3"/>
    <n v="4"/>
    <n v="87201"/>
    <d v="2025-07-22T00:00:00"/>
    <n v="7"/>
    <n v="22"/>
    <n v="2025"/>
    <x v="10"/>
    <s v="Q3"/>
    <x v="0"/>
  </r>
  <r>
    <s v="O101317"/>
    <x v="7"/>
    <x v="1"/>
    <x v="6"/>
    <x v="0"/>
    <x v="2"/>
    <n v="3"/>
    <n v="87170"/>
    <d v="2025-03-21T00:00:00"/>
    <n v="3"/>
    <n v="21"/>
    <n v="2025"/>
    <x v="5"/>
    <s v="Q1"/>
    <x v="0"/>
  </r>
  <r>
    <s v="O109367"/>
    <x v="434"/>
    <x v="4"/>
    <x v="6"/>
    <x v="0"/>
    <x v="3"/>
    <n v="4"/>
    <n v="87108"/>
    <d v="2026-07-24T00:00:00"/>
    <n v="7"/>
    <n v="24"/>
    <n v="2026"/>
    <x v="10"/>
    <s v="Q3"/>
    <x v="0"/>
  </r>
  <r>
    <s v="O107299"/>
    <x v="95"/>
    <x v="4"/>
    <x v="7"/>
    <x v="0"/>
    <x v="2"/>
    <n v="6"/>
    <n v="87086"/>
    <d v="2026-03-20T00:00:00"/>
    <n v="3"/>
    <n v="20"/>
    <n v="2026"/>
    <x v="5"/>
    <s v="Q1"/>
    <x v="0"/>
  </r>
  <r>
    <s v="O102688"/>
    <x v="309"/>
    <x v="5"/>
    <x v="7"/>
    <x v="2"/>
    <x v="2"/>
    <n v="6"/>
    <n v="87045"/>
    <d v="2025-06-13T00:00:00"/>
    <n v="6"/>
    <n v="13"/>
    <n v="2025"/>
    <x v="2"/>
    <m/>
    <x v="2"/>
  </r>
  <r>
    <s v="O111109"/>
    <x v="704"/>
    <x v="8"/>
    <x v="7"/>
    <x v="4"/>
    <x v="2"/>
    <n v="5"/>
    <n v="86982"/>
    <d v="2026-06-11T00:00:00"/>
    <n v="6"/>
    <n v="11"/>
    <n v="2026"/>
    <x v="2"/>
    <s v="Q2"/>
    <x v="4"/>
  </r>
  <r>
    <s v="O100331"/>
    <x v="504"/>
    <x v="1"/>
    <x v="7"/>
    <x v="3"/>
    <x v="1"/>
    <n v="5"/>
    <n v="86969"/>
    <d v="2025-01-21T00:00:00"/>
    <n v="1"/>
    <n v="21"/>
    <n v="2025"/>
    <x v="6"/>
    <s v="Q1"/>
    <x v="3"/>
  </r>
  <r>
    <s v="O105399"/>
    <x v="565"/>
    <x v="10"/>
    <x v="7"/>
    <x v="0"/>
    <x v="1"/>
    <n v="6"/>
    <n v="86790"/>
    <d v="2025-11-24T00:00:00"/>
    <n v="11"/>
    <n v="24"/>
    <n v="2025"/>
    <x v="0"/>
    <s v="Q4"/>
    <x v="0"/>
  </r>
  <r>
    <s v="O108685"/>
    <x v="489"/>
    <x v="10"/>
    <x v="7"/>
    <x v="3"/>
    <x v="0"/>
    <n v="7"/>
    <n v="86710"/>
    <d v="2026-12-06T00:00:00"/>
    <n v="12"/>
    <n v="6"/>
    <n v="2026"/>
    <x v="7"/>
    <s v="Q4"/>
    <x v="3"/>
  </r>
  <r>
    <s v="O105629"/>
    <x v="504"/>
    <x v="4"/>
    <x v="6"/>
    <x v="0"/>
    <x v="3"/>
    <n v="3"/>
    <n v="86698"/>
    <d v="2025-08-12T00:00:00"/>
    <n v="8"/>
    <n v="12"/>
    <n v="2025"/>
    <x v="8"/>
    <s v="Q3"/>
    <x v="0"/>
  </r>
  <r>
    <s v="O111095"/>
    <x v="618"/>
    <x v="3"/>
    <x v="6"/>
    <x v="4"/>
    <x v="2"/>
    <n v="4"/>
    <n v="86677"/>
    <d v="2026-06-11T00:00:00"/>
    <n v="6"/>
    <n v="11"/>
    <n v="2026"/>
    <x v="2"/>
    <s v="Q2"/>
    <x v="4"/>
  </r>
  <r>
    <s v="O107439"/>
    <x v="701"/>
    <x v="9"/>
    <x v="7"/>
    <x v="1"/>
    <x v="0"/>
    <n v="6"/>
    <n v="86665"/>
    <d v="2026-03-28T00:00:00"/>
    <n v="3"/>
    <n v="28"/>
    <n v="2026"/>
    <x v="5"/>
    <s v="Q1"/>
    <x v="1"/>
  </r>
  <r>
    <s v="O108852"/>
    <x v="136"/>
    <x v="5"/>
    <x v="6"/>
    <x v="0"/>
    <x v="0"/>
    <n v="4"/>
    <n v="86657"/>
    <d v="2026-06-22T00:00:00"/>
    <n v="6"/>
    <n v="22"/>
    <n v="2026"/>
    <x v="2"/>
    <s v="Q2"/>
    <x v="0"/>
  </r>
  <r>
    <s v="O106429"/>
    <x v="110"/>
    <x v="0"/>
    <x v="7"/>
    <x v="3"/>
    <x v="3"/>
    <n v="7"/>
    <n v="86575"/>
    <d v="2026-01-26T00:00:00"/>
    <n v="1"/>
    <n v="26"/>
    <n v="2026"/>
    <x v="6"/>
    <s v="Q1"/>
    <x v="3"/>
  </r>
  <r>
    <s v="O101632"/>
    <x v="273"/>
    <x v="2"/>
    <x v="7"/>
    <x v="2"/>
    <x v="0"/>
    <n v="6"/>
    <n v="86545"/>
    <d v="2025-10-04T00:00:00"/>
    <n v="10"/>
    <n v="4"/>
    <n v="2025"/>
    <x v="9"/>
    <s v="Q4"/>
    <x v="2"/>
  </r>
  <r>
    <s v="O103354"/>
    <x v="440"/>
    <x v="3"/>
    <x v="6"/>
    <x v="0"/>
    <x v="1"/>
    <n v="3"/>
    <n v="86533"/>
    <d v="2025-07-23T00:00:00"/>
    <n v="7"/>
    <n v="23"/>
    <n v="2025"/>
    <x v="10"/>
    <s v="Q3"/>
    <x v="0"/>
  </r>
  <r>
    <s v="O104449"/>
    <x v="147"/>
    <x v="3"/>
    <x v="7"/>
    <x v="3"/>
    <x v="1"/>
    <n v="6"/>
    <n v="86504"/>
    <d v="2025-09-28T00:00:00"/>
    <n v="9"/>
    <n v="28"/>
    <n v="2025"/>
    <x v="1"/>
    <s v="Q3"/>
    <x v="3"/>
  </r>
  <r>
    <s v="O107582"/>
    <x v="430"/>
    <x v="4"/>
    <x v="7"/>
    <x v="0"/>
    <x v="3"/>
    <n v="5"/>
    <n v="86483"/>
    <d v="2026-06-04T00:00:00"/>
    <n v="6"/>
    <n v="4"/>
    <n v="2026"/>
    <x v="2"/>
    <s v="Q2"/>
    <x v="0"/>
  </r>
  <r>
    <s v="O103090"/>
    <x v="197"/>
    <x v="3"/>
    <x v="7"/>
    <x v="4"/>
    <x v="3"/>
    <n v="6"/>
    <n v="86460"/>
    <d v="2025-07-07T00:00:00"/>
    <n v="7"/>
    <n v="7"/>
    <n v="2025"/>
    <x v="10"/>
    <s v="Q3"/>
    <x v="4"/>
  </r>
  <r>
    <s v="O106417"/>
    <x v="136"/>
    <x v="0"/>
    <x v="7"/>
    <x v="4"/>
    <x v="2"/>
    <n v="7"/>
    <n v="86423"/>
    <d v="2026-01-25T00:00:00"/>
    <n v="1"/>
    <n v="25"/>
    <n v="2026"/>
    <x v="6"/>
    <s v="Q1"/>
    <x v="4"/>
  </r>
  <r>
    <s v="O104910"/>
    <x v="792"/>
    <x v="0"/>
    <x v="6"/>
    <x v="4"/>
    <x v="0"/>
    <n v="3"/>
    <n v="86418"/>
    <d v="2025-10-26T00:00:00"/>
    <n v="10"/>
    <n v="26"/>
    <n v="2025"/>
    <x v="9"/>
    <s v="Q4"/>
    <x v="4"/>
  </r>
  <r>
    <s v="O100941"/>
    <x v="662"/>
    <x v="9"/>
    <x v="7"/>
    <x v="0"/>
    <x v="2"/>
    <n v="6"/>
    <n v="86311"/>
    <d v="2025-02-27T00:00:00"/>
    <n v="2"/>
    <n v="27"/>
    <n v="2025"/>
    <x v="4"/>
    <s v="Q1"/>
    <x v="0"/>
  </r>
  <r>
    <s v="O107666"/>
    <x v="190"/>
    <x v="2"/>
    <x v="7"/>
    <x v="2"/>
    <x v="2"/>
    <n v="7"/>
    <n v="86278"/>
    <d v="2026-11-04T00:00:00"/>
    <n v="11"/>
    <n v="4"/>
    <n v="2026"/>
    <x v="0"/>
    <s v="Q4"/>
    <x v="2"/>
  </r>
  <r>
    <s v="O100579"/>
    <x v="364"/>
    <x v="3"/>
    <x v="6"/>
    <x v="1"/>
    <x v="2"/>
    <n v="3"/>
    <n v="86245"/>
    <d v="2025-05-02T00:00:00"/>
    <n v="5"/>
    <n v="2"/>
    <n v="2025"/>
    <x v="3"/>
    <s v="Q2"/>
    <x v="1"/>
  </r>
  <r>
    <s v="O108008"/>
    <x v="751"/>
    <x v="5"/>
    <x v="7"/>
    <x v="3"/>
    <x v="3"/>
    <n v="5"/>
    <n v="85903"/>
    <d v="2026-02-05T00:00:00"/>
    <n v="2"/>
    <n v="5"/>
    <n v="2026"/>
    <x v="4"/>
    <s v="Q1"/>
    <x v="3"/>
  </r>
  <r>
    <s v="O111659"/>
    <x v="160"/>
    <x v="2"/>
    <x v="7"/>
    <x v="2"/>
    <x v="2"/>
    <n v="6"/>
    <n v="85823"/>
    <d v="2026-10-12T00:00:00"/>
    <n v="10"/>
    <n v="12"/>
    <n v="2026"/>
    <x v="9"/>
    <s v="Q4"/>
    <x v="2"/>
  </r>
  <r>
    <s v="O106398"/>
    <x v="454"/>
    <x v="9"/>
    <x v="7"/>
    <x v="3"/>
    <x v="0"/>
    <n v="5"/>
    <n v="85570"/>
    <d v="2026-01-24T00:00:00"/>
    <n v="1"/>
    <n v="24"/>
    <n v="2026"/>
    <x v="6"/>
    <s v="Q1"/>
    <x v="3"/>
  </r>
  <r>
    <s v="O100788"/>
    <x v="199"/>
    <x v="5"/>
    <x v="7"/>
    <x v="3"/>
    <x v="3"/>
    <n v="5"/>
    <n v="85506"/>
    <d v="2025-02-17T00:00:00"/>
    <n v="2"/>
    <n v="17"/>
    <n v="2025"/>
    <x v="4"/>
    <s v="Q1"/>
    <x v="3"/>
  </r>
  <r>
    <s v="O101911"/>
    <x v="412"/>
    <x v="3"/>
    <x v="7"/>
    <x v="2"/>
    <x v="2"/>
    <n v="6"/>
    <n v="85460"/>
    <d v="2025-04-27T00:00:00"/>
    <n v="4"/>
    <n v="27"/>
    <n v="2025"/>
    <x v="11"/>
    <s v="Q2"/>
    <x v="2"/>
  </r>
  <r>
    <s v="O105947"/>
    <x v="788"/>
    <x v="2"/>
    <x v="7"/>
    <x v="1"/>
    <x v="0"/>
    <n v="6"/>
    <n v="85407"/>
    <d v="2025-12-28T00:00:00"/>
    <n v="12"/>
    <n v="28"/>
    <n v="2025"/>
    <x v="7"/>
    <s v="Q4"/>
    <x v="1"/>
  </r>
  <r>
    <s v="O104131"/>
    <x v="272"/>
    <x v="4"/>
    <x v="7"/>
    <x v="4"/>
    <x v="3"/>
    <n v="5"/>
    <n v="85384"/>
    <d v="2025-08-09T00:00:00"/>
    <n v="8"/>
    <n v="9"/>
    <n v="2025"/>
    <x v="8"/>
    <s v="Q3"/>
    <x v="4"/>
  </r>
  <r>
    <s v="O100217"/>
    <x v="100"/>
    <x v="8"/>
    <x v="7"/>
    <x v="2"/>
    <x v="0"/>
    <n v="5"/>
    <n v="85370"/>
    <d v="2025-01-14T00:00:00"/>
    <n v="1"/>
    <n v="14"/>
    <n v="2025"/>
    <x v="6"/>
    <s v="Q1"/>
    <x v="2"/>
  </r>
  <r>
    <s v="O111948"/>
    <x v="223"/>
    <x v="8"/>
    <x v="7"/>
    <x v="0"/>
    <x v="2"/>
    <n v="6"/>
    <n v="85328"/>
    <d v="2026-12-27T00:00:00"/>
    <n v="12"/>
    <n v="27"/>
    <n v="2026"/>
    <x v="7"/>
    <s v="Q4"/>
    <x v="0"/>
  </r>
  <r>
    <s v="O111270"/>
    <x v="13"/>
    <x v="9"/>
    <x v="7"/>
    <x v="0"/>
    <x v="3"/>
    <n v="6"/>
    <n v="85152"/>
    <d v="2026-11-16T00:00:00"/>
    <n v="11"/>
    <n v="16"/>
    <n v="2026"/>
    <x v="0"/>
    <s v="Q4"/>
    <x v="0"/>
  </r>
  <r>
    <s v="O107256"/>
    <x v="677"/>
    <x v="3"/>
    <x v="6"/>
    <x v="2"/>
    <x v="3"/>
    <n v="3"/>
    <n v="84966"/>
    <d v="2026-03-17T00:00:00"/>
    <n v="3"/>
    <n v="17"/>
    <n v="2026"/>
    <x v="5"/>
    <s v="Q1"/>
    <x v="2"/>
  </r>
  <r>
    <s v="O108076"/>
    <x v="60"/>
    <x v="6"/>
    <x v="7"/>
    <x v="1"/>
    <x v="3"/>
    <n v="5"/>
    <n v="84943"/>
    <d v="2026-06-05T00:00:00"/>
    <n v="6"/>
    <n v="5"/>
    <n v="2026"/>
    <x v="2"/>
    <s v="Q2"/>
    <x v="1"/>
  </r>
  <r>
    <s v="O101704"/>
    <x v="434"/>
    <x v="8"/>
    <x v="6"/>
    <x v="3"/>
    <x v="1"/>
    <n v="3"/>
    <n v="84925"/>
    <d v="2025-04-14T00:00:00"/>
    <n v="4"/>
    <n v="14"/>
    <n v="2025"/>
    <x v="11"/>
    <s v="Q2"/>
    <x v="3"/>
  </r>
  <r>
    <s v="O107286"/>
    <x v="350"/>
    <x v="2"/>
    <x v="6"/>
    <x v="2"/>
    <x v="2"/>
    <n v="3"/>
    <n v="84918"/>
    <d v="2026-03-19T00:00:00"/>
    <n v="3"/>
    <n v="19"/>
    <n v="2026"/>
    <x v="5"/>
    <s v="Q1"/>
    <x v="2"/>
  </r>
  <r>
    <s v="O104242"/>
    <x v="647"/>
    <x v="8"/>
    <x v="7"/>
    <x v="3"/>
    <x v="1"/>
    <n v="5"/>
    <n v="84916"/>
    <d v="2025-09-15T00:00:00"/>
    <n v="9"/>
    <n v="15"/>
    <n v="2025"/>
    <x v="1"/>
    <s v="Q3"/>
    <x v="3"/>
  </r>
  <r>
    <s v="O110738"/>
    <x v="120"/>
    <x v="6"/>
    <x v="6"/>
    <x v="1"/>
    <x v="2"/>
    <n v="3"/>
    <n v="84892"/>
    <d v="2026-10-15T00:00:00"/>
    <n v="10"/>
    <n v="15"/>
    <n v="2026"/>
    <x v="9"/>
    <s v="Q4"/>
    <x v="1"/>
  </r>
  <r>
    <s v="O103604"/>
    <x v="485"/>
    <x v="8"/>
    <x v="7"/>
    <x v="6"/>
    <x v="3"/>
    <n v="7"/>
    <n v="84805"/>
    <d v="2025-07-08T00:00:00"/>
    <n v="7"/>
    <n v="8"/>
    <n v="2025"/>
    <x v="10"/>
    <s v="Q3"/>
    <x v="4"/>
  </r>
  <r>
    <s v="O110883"/>
    <x v="164"/>
    <x v="3"/>
    <x v="7"/>
    <x v="0"/>
    <x v="3"/>
    <n v="6"/>
    <n v="84780"/>
    <d v="2026-10-24T00:00:00"/>
    <n v="10"/>
    <n v="24"/>
    <n v="2026"/>
    <x v="9"/>
    <s v="Q4"/>
    <x v="0"/>
  </r>
  <r>
    <s v="O107839"/>
    <x v="20"/>
    <x v="8"/>
    <x v="7"/>
    <x v="1"/>
    <x v="2"/>
    <n v="7"/>
    <n v="84763"/>
    <d v="2026-04-22T00:00:00"/>
    <n v="4"/>
    <n v="22"/>
    <n v="2026"/>
    <x v="11"/>
    <s v="Q2"/>
    <x v="1"/>
  </r>
  <r>
    <s v="O109665"/>
    <x v="227"/>
    <x v="5"/>
    <x v="7"/>
    <x v="1"/>
    <x v="3"/>
    <n v="5"/>
    <n v="84691"/>
    <d v="2026-11-08T00:00:00"/>
    <n v="11"/>
    <n v="8"/>
    <n v="2026"/>
    <x v="0"/>
    <s v="Q4"/>
    <x v="1"/>
  </r>
  <r>
    <s v="O100546"/>
    <x v="224"/>
    <x v="6"/>
    <x v="7"/>
    <x v="3"/>
    <x v="2"/>
    <n v="5"/>
    <n v="84635"/>
    <d v="2025-03-02T00:00:00"/>
    <n v="3"/>
    <n v="2"/>
    <n v="2025"/>
    <x v="5"/>
    <s v="Q1"/>
    <x v="3"/>
  </r>
  <r>
    <s v="O106324"/>
    <x v="496"/>
    <x v="5"/>
    <x v="7"/>
    <x v="1"/>
    <x v="0"/>
    <n v="7"/>
    <n v="84462"/>
    <d v="2026-01-20T00:00:00"/>
    <n v="1"/>
    <n v="20"/>
    <n v="2026"/>
    <x v="6"/>
    <s v="Q1"/>
    <x v="1"/>
  </r>
  <r>
    <s v="O103894"/>
    <x v="320"/>
    <x v="9"/>
    <x v="6"/>
    <x v="4"/>
    <x v="3"/>
    <n v="3"/>
    <n v="84365"/>
    <d v="2025-08-25T00:00:00"/>
    <n v="8"/>
    <n v="25"/>
    <n v="2025"/>
    <x v="8"/>
    <s v="Q3"/>
    <x v="4"/>
  </r>
  <r>
    <s v="O105243"/>
    <x v="352"/>
    <x v="0"/>
    <x v="6"/>
    <x v="4"/>
    <x v="3"/>
    <n v="3"/>
    <n v="84269"/>
    <d v="2025-11-15T00:00:00"/>
    <n v="11"/>
    <n v="15"/>
    <n v="2025"/>
    <x v="0"/>
    <s v="Q4"/>
    <x v="4"/>
  </r>
  <r>
    <s v="O101170"/>
    <x v="75"/>
    <x v="10"/>
    <x v="7"/>
    <x v="1"/>
    <x v="2"/>
    <n v="6"/>
    <n v="84263"/>
    <d v="2025-03-13T00:00:00"/>
    <n v="3"/>
    <n v="13"/>
    <n v="2025"/>
    <x v="5"/>
    <m/>
    <x v="1"/>
  </r>
  <r>
    <s v="O107649"/>
    <x v="517"/>
    <x v="2"/>
    <x v="7"/>
    <x v="4"/>
    <x v="2"/>
    <n v="6"/>
    <n v="84200"/>
    <d v="2026-10-04T00:00:00"/>
    <n v="10"/>
    <n v="4"/>
    <n v="2026"/>
    <x v="9"/>
    <s v="Q4"/>
    <x v="4"/>
  </r>
  <r>
    <s v="O108472"/>
    <x v="586"/>
    <x v="9"/>
    <x v="7"/>
    <x v="0"/>
    <x v="2"/>
    <n v="6"/>
    <n v="84179"/>
    <d v="2026-05-30T00:00:00"/>
    <n v="5"/>
    <n v="30"/>
    <n v="2026"/>
    <x v="3"/>
    <s v="Q2"/>
    <x v="0"/>
  </r>
  <r>
    <s v="O102846"/>
    <x v="515"/>
    <x v="5"/>
    <x v="7"/>
    <x v="2"/>
    <x v="4"/>
    <n v="5"/>
    <n v="84166"/>
    <d v="2025-06-22T00:00:00"/>
    <n v="6"/>
    <n v="22"/>
    <n v="2025"/>
    <x v="2"/>
    <s v="Q2"/>
    <x v="2"/>
  </r>
  <r>
    <s v="O106043"/>
    <x v="82"/>
    <x v="6"/>
    <x v="6"/>
    <x v="2"/>
    <x v="0"/>
    <n v="3"/>
    <n v="84149"/>
    <d v="2026-03-01T00:00:00"/>
    <n v="3"/>
    <n v="1"/>
    <n v="2026"/>
    <x v="5"/>
    <s v="Q1"/>
    <x v="2"/>
  </r>
  <r>
    <s v="O100674"/>
    <x v="511"/>
    <x v="0"/>
    <x v="6"/>
    <x v="4"/>
    <x v="0"/>
    <n v="3"/>
    <n v="84142"/>
    <d v="2025-10-02T00:00:00"/>
    <n v="10"/>
    <n v="2"/>
    <n v="2025"/>
    <x v="9"/>
    <s v="Q4"/>
    <x v="4"/>
  </r>
  <r>
    <s v="O107501"/>
    <x v="8"/>
    <x v="2"/>
    <x v="6"/>
    <x v="0"/>
    <x v="2"/>
    <n v="3"/>
    <n v="84120"/>
    <d v="2026-01-04T00:00:00"/>
    <n v="1"/>
    <n v="4"/>
    <n v="2026"/>
    <x v="6"/>
    <s v="Q1"/>
    <x v="0"/>
  </r>
  <r>
    <s v="O100310"/>
    <x v="404"/>
    <x v="9"/>
    <x v="7"/>
    <x v="2"/>
    <x v="3"/>
    <n v="5"/>
    <n v="84057"/>
    <d v="2025-01-19T00:00:00"/>
    <n v="1"/>
    <n v="19"/>
    <n v="2025"/>
    <x v="6"/>
    <s v="Q1"/>
    <x v="2"/>
  </r>
  <r>
    <s v="O109318"/>
    <x v="536"/>
    <x v="2"/>
    <x v="7"/>
    <x v="0"/>
    <x v="1"/>
    <n v="6"/>
    <n v="84056"/>
    <d v="2026-07-21T00:00:00"/>
    <n v="7"/>
    <n v="21"/>
    <n v="2026"/>
    <x v="10"/>
    <s v="Q3"/>
    <x v="0"/>
  </r>
  <r>
    <s v="O108225"/>
    <x v="148"/>
    <x v="0"/>
    <x v="7"/>
    <x v="2"/>
    <x v="2"/>
    <n v="7"/>
    <n v="84009"/>
    <d v="2026-05-15T00:00:00"/>
    <n v="5"/>
    <n v="15"/>
    <n v="2026"/>
    <x v="3"/>
    <s v="Q2"/>
    <x v="2"/>
  </r>
  <r>
    <s v="O106603"/>
    <x v="141"/>
    <x v="8"/>
    <x v="7"/>
    <x v="1"/>
    <x v="2"/>
    <n v="7"/>
    <n v="83871"/>
    <d v="2026-06-02T00:00:00"/>
    <n v="6"/>
    <n v="2"/>
    <n v="2026"/>
    <x v="2"/>
    <s v="Q2"/>
    <x v="1"/>
  </r>
  <r>
    <s v="O100062"/>
    <x v="607"/>
    <x v="6"/>
    <x v="7"/>
    <x v="3"/>
    <x v="3"/>
    <n v="5"/>
    <n v="83820"/>
    <d v="2025-04-01T00:00:00"/>
    <n v="4"/>
    <n v="1"/>
    <n v="2025"/>
    <x v="11"/>
    <s v="Q2"/>
    <x v="3"/>
  </r>
  <r>
    <s v="O103172"/>
    <x v="722"/>
    <x v="2"/>
    <x v="7"/>
    <x v="1"/>
    <x v="0"/>
    <n v="6"/>
    <n v="83780"/>
    <d v="2025-12-07T00:00:00"/>
    <n v="12"/>
    <n v="7"/>
    <n v="2025"/>
    <x v="7"/>
    <s v="Q4"/>
    <x v="1"/>
  </r>
  <r>
    <s v="O105627"/>
    <x v="607"/>
    <x v="5"/>
    <x v="6"/>
    <x v="3"/>
    <x v="3"/>
    <n v="4"/>
    <n v="83746"/>
    <d v="2025-08-12T00:00:00"/>
    <n v="8"/>
    <n v="12"/>
    <n v="2025"/>
    <x v="8"/>
    <s v="Q3"/>
    <x v="3"/>
  </r>
  <r>
    <s v="O102732"/>
    <x v="299"/>
    <x v="4"/>
    <x v="6"/>
    <x v="1"/>
    <x v="2"/>
    <n v="3"/>
    <n v="83689"/>
    <d v="2025-06-15T00:00:00"/>
    <n v="6"/>
    <n v="15"/>
    <n v="2025"/>
    <x v="2"/>
    <s v="Q2"/>
    <x v="1"/>
  </r>
  <r>
    <s v="O108202"/>
    <x v="103"/>
    <x v="4"/>
    <x v="7"/>
    <x v="0"/>
    <x v="3"/>
    <n v="5"/>
    <n v="83676"/>
    <d v="2026-05-14T00:00:00"/>
    <n v="5"/>
    <n v="14"/>
    <n v="2026"/>
    <x v="3"/>
    <s v="Q2"/>
    <x v="0"/>
  </r>
  <r>
    <s v="O101225"/>
    <x v="201"/>
    <x v="1"/>
    <x v="7"/>
    <x v="2"/>
    <x v="3"/>
    <n v="7"/>
    <n v="83657"/>
    <d v="2025-03-16T00:00:00"/>
    <n v="3"/>
    <n v="16"/>
    <n v="2025"/>
    <x v="5"/>
    <s v="Q1"/>
    <x v="2"/>
  </r>
  <r>
    <s v="O101606"/>
    <x v="185"/>
    <x v="6"/>
    <x v="6"/>
    <x v="1"/>
    <x v="0"/>
    <n v="4"/>
    <n v="83572"/>
    <d v="2025-08-04T00:00:00"/>
    <n v="8"/>
    <n v="4"/>
    <n v="2025"/>
    <x v="8"/>
    <s v="Q3"/>
    <x v="1"/>
  </r>
  <r>
    <s v="O103364"/>
    <x v="686"/>
    <x v="4"/>
    <x v="7"/>
    <x v="0"/>
    <x v="3"/>
    <n v="5"/>
    <n v="83567"/>
    <d v="2025-07-24T00:00:00"/>
    <n v="7"/>
    <n v="24"/>
    <n v="2025"/>
    <x v="10"/>
    <s v="Q3"/>
    <x v="0"/>
  </r>
  <r>
    <s v="O104789"/>
    <x v="287"/>
    <x v="9"/>
    <x v="6"/>
    <x v="0"/>
    <x v="0"/>
    <n v="3"/>
    <n v="83533"/>
    <d v="2025-10-18T00:00:00"/>
    <n v="10"/>
    <n v="18"/>
    <n v="2025"/>
    <x v="9"/>
    <s v="Q4"/>
    <x v="0"/>
  </r>
  <r>
    <s v="O111189"/>
    <x v="131"/>
    <x v="9"/>
    <x v="7"/>
    <x v="2"/>
    <x v="3"/>
    <n v="7"/>
    <n v="83524"/>
    <d v="2026-11-11T00:00:00"/>
    <n v="11"/>
    <n v="11"/>
    <n v="2026"/>
    <x v="0"/>
    <s v="Q4"/>
    <x v="2"/>
  </r>
  <r>
    <s v="O106054"/>
    <x v="719"/>
    <x v="0"/>
    <x v="7"/>
    <x v="1"/>
    <x v="0"/>
    <n v="7"/>
    <n v="83514"/>
    <d v="2026-03-01T00:00:00"/>
    <n v="3"/>
    <n v="1"/>
    <n v="2026"/>
    <x v="5"/>
    <s v="Q1"/>
    <x v="1"/>
  </r>
  <r>
    <s v="O101220"/>
    <x v="107"/>
    <x v="2"/>
    <x v="7"/>
    <x v="4"/>
    <x v="1"/>
    <n v="5"/>
    <n v="83502"/>
    <d v="2025-03-16T00:00:00"/>
    <n v="3"/>
    <n v="16"/>
    <n v="2025"/>
    <x v="5"/>
    <s v="Q1"/>
    <x v="4"/>
  </r>
  <r>
    <s v="O107125"/>
    <x v="463"/>
    <x v="10"/>
    <x v="7"/>
    <x v="0"/>
    <x v="1"/>
    <n v="5"/>
    <n v="83494"/>
    <d v="2026-09-03T00:00:00"/>
    <n v="9"/>
    <n v="3"/>
    <n v="2026"/>
    <x v="1"/>
    <s v="Q3"/>
    <x v="0"/>
  </r>
  <r>
    <s v="O107255"/>
    <x v="170"/>
    <x v="4"/>
    <x v="7"/>
    <x v="2"/>
    <x v="3"/>
    <n v="6"/>
    <n v="83409"/>
    <d v="2026-03-17T00:00:00"/>
    <n v="3"/>
    <n v="17"/>
    <n v="2026"/>
    <x v="5"/>
    <s v="Q1"/>
    <x v="2"/>
  </r>
  <r>
    <s v="O111418"/>
    <x v="348"/>
    <x v="10"/>
    <x v="7"/>
    <x v="2"/>
    <x v="1"/>
    <n v="7"/>
    <n v="83408"/>
    <d v="2026-11-25T00:00:00"/>
    <n v="11"/>
    <n v="25"/>
    <n v="2026"/>
    <x v="0"/>
    <s v="Q4"/>
    <x v="2"/>
  </r>
  <r>
    <s v="O104116"/>
    <x v="701"/>
    <x v="5"/>
    <x v="7"/>
    <x v="8"/>
    <x v="2"/>
    <n v="7"/>
    <n v="83388"/>
    <d v="2025-08-09T00:00:00"/>
    <n v="8"/>
    <n v="9"/>
    <n v="2025"/>
    <x v="8"/>
    <s v="Q3"/>
    <x v="2"/>
  </r>
  <r>
    <s v="O108956"/>
    <x v="30"/>
    <x v="9"/>
    <x v="7"/>
    <x v="0"/>
    <x v="1"/>
    <n v="7"/>
    <n v="83279"/>
    <d v="2026-06-29T00:00:00"/>
    <n v="6"/>
    <n v="29"/>
    <n v="2026"/>
    <x v="2"/>
    <s v="Q2"/>
    <x v="0"/>
  </r>
  <r>
    <s v="O102725"/>
    <x v="749"/>
    <x v="4"/>
    <x v="7"/>
    <x v="1"/>
    <x v="0"/>
    <n v="5"/>
    <n v="83218"/>
    <d v="2025-06-15T00:00:00"/>
    <n v="6"/>
    <n v="15"/>
    <n v="2025"/>
    <x v="2"/>
    <m/>
    <x v="1"/>
  </r>
  <r>
    <s v="O109946"/>
    <x v="767"/>
    <x v="6"/>
    <x v="7"/>
    <x v="0"/>
    <x v="3"/>
    <n v="5"/>
    <n v="83194"/>
    <d v="2026-08-28T00:00:00"/>
    <n v="8"/>
    <n v="28"/>
    <n v="2026"/>
    <x v="8"/>
    <s v="Q3"/>
    <x v="0"/>
  </r>
  <r>
    <s v="O107916"/>
    <x v="756"/>
    <x v="5"/>
    <x v="7"/>
    <x v="1"/>
    <x v="0"/>
    <n v="5"/>
    <n v="83174"/>
    <d v="2026-04-26T00:00:00"/>
    <n v="4"/>
    <n v="26"/>
    <n v="2026"/>
    <x v="11"/>
    <s v="Q2"/>
    <x v="1"/>
  </r>
  <r>
    <s v="O104658"/>
    <x v="338"/>
    <x v="1"/>
    <x v="6"/>
    <x v="4"/>
    <x v="1"/>
    <n v="4"/>
    <n v="83096"/>
    <d v="2025-10-10T00:00:00"/>
    <n v="10"/>
    <n v="10"/>
    <n v="2025"/>
    <x v="9"/>
    <s v="Q4"/>
    <x v="4"/>
  </r>
  <r>
    <s v="O108891"/>
    <x v="38"/>
    <x v="3"/>
    <x v="7"/>
    <x v="3"/>
    <x v="2"/>
    <n v="7"/>
    <n v="83083"/>
    <d v="2026-06-25T00:00:00"/>
    <n v="6"/>
    <n v="25"/>
    <n v="2026"/>
    <x v="2"/>
    <s v="Q2"/>
    <x v="3"/>
  </r>
  <r>
    <s v="O101793"/>
    <x v="696"/>
    <x v="1"/>
    <x v="6"/>
    <x v="4"/>
    <x v="0"/>
    <n v="4"/>
    <n v="83053"/>
    <d v="2025-04-19T00:00:00"/>
    <n v="4"/>
    <n v="19"/>
    <n v="2025"/>
    <x v="11"/>
    <s v="Q2"/>
    <x v="4"/>
  </r>
  <r>
    <s v="O107484"/>
    <x v="27"/>
    <x v="0"/>
    <x v="6"/>
    <x v="2"/>
    <x v="1"/>
    <n v="3"/>
    <n v="82974"/>
    <d v="2026-03-31T00:00:00"/>
    <n v="3"/>
    <n v="31"/>
    <n v="2026"/>
    <x v="5"/>
    <s v="Q1"/>
    <x v="2"/>
  </r>
  <r>
    <s v="O101130"/>
    <x v="794"/>
    <x v="1"/>
    <x v="7"/>
    <x v="1"/>
    <x v="2"/>
    <n v="5"/>
    <n v="82952"/>
    <d v="2025-10-03T00:00:00"/>
    <n v="10"/>
    <n v="3"/>
    <n v="2025"/>
    <x v="9"/>
    <s v="Q4"/>
    <x v="1"/>
  </r>
  <r>
    <s v="O111760"/>
    <x v="111"/>
    <x v="2"/>
    <x v="6"/>
    <x v="2"/>
    <x v="2"/>
    <n v="4"/>
    <n v="82940"/>
    <d v="2026-12-16T00:00:00"/>
    <n v="12"/>
    <n v="16"/>
    <n v="2026"/>
    <x v="7"/>
    <s v="Q4"/>
    <x v="2"/>
  </r>
  <r>
    <s v="O107132"/>
    <x v="401"/>
    <x v="8"/>
    <x v="6"/>
    <x v="1"/>
    <x v="2"/>
    <n v="3"/>
    <n v="82896"/>
    <d v="2026-10-03T00:00:00"/>
    <n v="10"/>
    <n v="3"/>
    <n v="2026"/>
    <x v="9"/>
    <s v="Q4"/>
    <x v="1"/>
  </r>
  <r>
    <s v="O106058"/>
    <x v="103"/>
    <x v="8"/>
    <x v="6"/>
    <x v="1"/>
    <x v="1"/>
    <n v="3"/>
    <n v="82854"/>
    <d v="2026-03-01T00:00:00"/>
    <n v="3"/>
    <n v="1"/>
    <n v="2026"/>
    <x v="5"/>
    <s v="Q1"/>
    <x v="1"/>
  </r>
  <r>
    <s v="O107389"/>
    <x v="271"/>
    <x v="8"/>
    <x v="7"/>
    <x v="1"/>
    <x v="3"/>
    <n v="5"/>
    <n v="82841"/>
    <d v="2026-03-25T00:00:00"/>
    <n v="3"/>
    <n v="25"/>
    <n v="2026"/>
    <x v="5"/>
    <s v="Q1"/>
    <x v="1"/>
  </r>
  <r>
    <s v="O101714"/>
    <x v="702"/>
    <x v="4"/>
    <x v="6"/>
    <x v="2"/>
    <x v="3"/>
    <n v="4"/>
    <n v="82794"/>
    <d v="2025-04-15T00:00:00"/>
    <n v="4"/>
    <n v="15"/>
    <n v="2025"/>
    <x v="11"/>
    <s v="Q2"/>
    <x v="2"/>
  </r>
  <r>
    <s v="O111045"/>
    <x v="494"/>
    <x v="1"/>
    <x v="7"/>
    <x v="0"/>
    <x v="2"/>
    <n v="5"/>
    <n v="82788"/>
    <d v="2026-02-11T00:00:00"/>
    <n v="2"/>
    <n v="11"/>
    <n v="2026"/>
    <x v="4"/>
    <s v="Q1"/>
    <x v="0"/>
  </r>
  <r>
    <s v="O109310"/>
    <x v="624"/>
    <x v="1"/>
    <x v="7"/>
    <x v="3"/>
    <x v="3"/>
    <n v="5"/>
    <n v="82701"/>
    <d v="2026-07-20T00:00:00"/>
    <n v="7"/>
    <n v="20"/>
    <n v="2026"/>
    <x v="10"/>
    <s v="Q3"/>
    <x v="3"/>
  </r>
  <r>
    <s v="O106636"/>
    <x v="89"/>
    <x v="5"/>
    <x v="7"/>
    <x v="4"/>
    <x v="2"/>
    <n v="7"/>
    <n v="82658"/>
    <d v="2026-08-02T00:00:00"/>
    <n v="8"/>
    <n v="2"/>
    <n v="2026"/>
    <x v="8"/>
    <s v="Q3"/>
    <x v="4"/>
  </r>
  <r>
    <s v="O104918"/>
    <x v="607"/>
    <x v="6"/>
    <x v="7"/>
    <x v="0"/>
    <x v="3"/>
    <n v="7"/>
    <n v="82632"/>
    <d v="2025-10-26T00:00:00"/>
    <n v="10"/>
    <n v="26"/>
    <n v="2025"/>
    <x v="9"/>
    <s v="Q4"/>
    <x v="0"/>
  </r>
  <r>
    <s v="O108469"/>
    <x v="71"/>
    <x v="8"/>
    <x v="7"/>
    <x v="1"/>
    <x v="0"/>
    <n v="6"/>
    <n v="82608"/>
    <d v="2026-05-30T00:00:00"/>
    <n v="5"/>
    <n v="30"/>
    <n v="2026"/>
    <x v="3"/>
    <s v="Q2"/>
    <x v="1"/>
  </r>
  <r>
    <s v="O102437"/>
    <x v="480"/>
    <x v="1"/>
    <x v="7"/>
    <x v="3"/>
    <x v="2"/>
    <n v="7"/>
    <n v="82599"/>
    <d v="2025-05-28T00:00:00"/>
    <n v="5"/>
    <n v="28"/>
    <n v="2025"/>
    <x v="3"/>
    <s v="Q2"/>
    <x v="3"/>
  </r>
  <r>
    <s v="O103182"/>
    <x v="215"/>
    <x v="2"/>
    <x v="7"/>
    <x v="0"/>
    <x v="2"/>
    <n v="5"/>
    <n v="82584"/>
    <d v="2025-07-13T00:00:00"/>
    <n v="7"/>
    <n v="13"/>
    <n v="2025"/>
    <x v="10"/>
    <s v="Q3"/>
    <x v="0"/>
  </r>
  <r>
    <s v="O102070"/>
    <x v="152"/>
    <x v="10"/>
    <x v="7"/>
    <x v="4"/>
    <x v="1"/>
    <n v="6"/>
    <n v="82523"/>
    <d v="2025-06-05T00:00:00"/>
    <n v="6"/>
    <n v="5"/>
    <n v="2025"/>
    <x v="2"/>
    <s v="Q2"/>
    <x v="4"/>
  </r>
  <r>
    <s v="O109626"/>
    <x v="772"/>
    <x v="2"/>
    <x v="7"/>
    <x v="4"/>
    <x v="2"/>
    <n v="6"/>
    <n v="82485"/>
    <d v="2026-08-08T00:00:00"/>
    <n v="8"/>
    <n v="8"/>
    <n v="2026"/>
    <x v="8"/>
    <s v="Q3"/>
    <x v="4"/>
  </r>
  <r>
    <s v="O108277"/>
    <x v="60"/>
    <x v="10"/>
    <x v="6"/>
    <x v="2"/>
    <x v="0"/>
    <n v="3"/>
    <n v="82348"/>
    <d v="2026-05-18T00:00:00"/>
    <n v="5"/>
    <n v="18"/>
    <n v="2026"/>
    <x v="3"/>
    <s v="Q2"/>
    <x v="2"/>
  </r>
  <r>
    <s v="O110634"/>
    <x v="245"/>
    <x v="0"/>
    <x v="7"/>
    <x v="1"/>
    <x v="0"/>
    <n v="5"/>
    <n v="82343"/>
    <d v="2026-09-10T00:00:00"/>
    <n v="9"/>
    <n v="10"/>
    <n v="2026"/>
    <x v="1"/>
    <s v="Q3"/>
    <x v="1"/>
  </r>
  <r>
    <s v="O100085"/>
    <x v="324"/>
    <x v="10"/>
    <x v="7"/>
    <x v="4"/>
    <x v="0"/>
    <n v="6"/>
    <n v="82311"/>
    <d v="2025-06-01T00:00:00"/>
    <n v="6"/>
    <n v="1"/>
    <n v="2025"/>
    <x v="2"/>
    <m/>
    <x v="4"/>
  </r>
  <r>
    <s v="O105428"/>
    <x v="105"/>
    <x v="1"/>
    <x v="7"/>
    <x v="4"/>
    <x v="3"/>
    <n v="5"/>
    <n v="82299"/>
    <d v="2025-11-26T00:00:00"/>
    <n v="11"/>
    <n v="26"/>
    <n v="2025"/>
    <x v="0"/>
    <s v="Q4"/>
    <x v="4"/>
  </r>
  <r>
    <s v="O100466"/>
    <x v="303"/>
    <x v="9"/>
    <x v="7"/>
    <x v="3"/>
    <x v="2"/>
    <n v="6"/>
    <n v="82213"/>
    <d v="2025-01-29T00:00:00"/>
    <n v="1"/>
    <n v="29"/>
    <n v="2025"/>
    <x v="6"/>
    <s v="Q1"/>
    <x v="3"/>
  </r>
  <r>
    <s v="O109543"/>
    <x v="782"/>
    <x v="6"/>
    <x v="7"/>
    <x v="1"/>
    <x v="1"/>
    <n v="7"/>
    <n v="81987"/>
    <d v="2026-03-08T00:00:00"/>
    <n v="3"/>
    <n v="8"/>
    <n v="2026"/>
    <x v="5"/>
    <s v="Q1"/>
    <x v="1"/>
  </r>
  <r>
    <s v="O107351"/>
    <x v="82"/>
    <x v="0"/>
    <x v="7"/>
    <x v="2"/>
    <x v="2"/>
    <n v="7"/>
    <n v="81872"/>
    <d v="2026-03-23T00:00:00"/>
    <n v="3"/>
    <n v="23"/>
    <n v="2026"/>
    <x v="5"/>
    <s v="Q1"/>
    <x v="2"/>
  </r>
  <r>
    <s v="O103202"/>
    <x v="170"/>
    <x v="2"/>
    <x v="6"/>
    <x v="1"/>
    <x v="1"/>
    <n v="4"/>
    <n v="81816"/>
    <d v="2025-07-14T00:00:00"/>
    <n v="7"/>
    <n v="14"/>
    <n v="2025"/>
    <x v="10"/>
    <s v="Q3"/>
    <x v="1"/>
  </r>
  <r>
    <s v="O106493"/>
    <x v="750"/>
    <x v="5"/>
    <x v="7"/>
    <x v="2"/>
    <x v="3"/>
    <n v="5"/>
    <n v="81740"/>
    <d v="2026-01-30T00:00:00"/>
    <n v="1"/>
    <n v="30"/>
    <n v="2026"/>
    <x v="6"/>
    <s v="Q1"/>
    <x v="2"/>
  </r>
  <r>
    <s v="O111345"/>
    <x v="578"/>
    <x v="4"/>
    <x v="7"/>
    <x v="4"/>
    <x v="1"/>
    <n v="6"/>
    <n v="81710"/>
    <d v="2026-11-21T00:00:00"/>
    <n v="11"/>
    <n v="21"/>
    <n v="2026"/>
    <x v="0"/>
    <s v="Q4"/>
    <x v="4"/>
  </r>
  <r>
    <s v="O108652"/>
    <x v="471"/>
    <x v="8"/>
    <x v="7"/>
    <x v="3"/>
    <x v="2"/>
    <n v="6"/>
    <n v="81690"/>
    <d v="2026-10-06T00:00:00"/>
    <n v="10"/>
    <n v="6"/>
    <n v="2026"/>
    <x v="9"/>
    <s v="Q4"/>
    <x v="3"/>
  </r>
  <r>
    <s v="O106876"/>
    <x v="616"/>
    <x v="0"/>
    <x v="6"/>
    <x v="3"/>
    <x v="0"/>
    <n v="3"/>
    <n v="81680"/>
    <d v="2026-02-22T00:00:00"/>
    <n v="2"/>
    <n v="22"/>
    <n v="2026"/>
    <x v="4"/>
    <s v="Q1"/>
    <x v="3"/>
  </r>
  <r>
    <s v="O102324"/>
    <x v="409"/>
    <x v="0"/>
    <x v="7"/>
    <x v="3"/>
    <x v="2"/>
    <n v="6"/>
    <n v="81648"/>
    <d v="2025-05-22T00:00:00"/>
    <n v="5"/>
    <n v="22"/>
    <n v="2025"/>
    <x v="3"/>
    <s v="Q2"/>
    <x v="3"/>
  </r>
  <r>
    <s v="O102767"/>
    <x v="745"/>
    <x v="10"/>
    <x v="6"/>
    <x v="4"/>
    <x v="2"/>
    <n v="4"/>
    <n v="81606"/>
    <d v="2025-06-18T00:00:00"/>
    <n v="6"/>
    <n v="18"/>
    <n v="2025"/>
    <x v="2"/>
    <s v="Q2"/>
    <x v="4"/>
  </r>
  <r>
    <s v="O106441"/>
    <x v="110"/>
    <x v="5"/>
    <x v="7"/>
    <x v="1"/>
    <x v="1"/>
    <n v="5"/>
    <n v="81372"/>
    <d v="2026-01-27T00:00:00"/>
    <n v="1"/>
    <n v="27"/>
    <n v="2026"/>
    <x v="6"/>
    <s v="Q1"/>
    <x v="1"/>
  </r>
  <r>
    <s v="O107617"/>
    <x v="129"/>
    <x v="4"/>
    <x v="7"/>
    <x v="0"/>
    <x v="2"/>
    <n v="6"/>
    <n v="81365"/>
    <d v="2026-08-04T00:00:00"/>
    <n v="8"/>
    <n v="4"/>
    <n v="2026"/>
    <x v="8"/>
    <s v="Q3"/>
    <x v="0"/>
  </r>
  <r>
    <s v="O102656"/>
    <x v="534"/>
    <x v="10"/>
    <x v="7"/>
    <x v="3"/>
    <x v="0"/>
    <n v="6"/>
    <n v="81341"/>
    <d v="2025-11-06T00:00:00"/>
    <n v="11"/>
    <n v="6"/>
    <n v="2025"/>
    <x v="0"/>
    <s v="Q4"/>
    <x v="3"/>
  </r>
  <r>
    <s v="O106141"/>
    <x v="655"/>
    <x v="0"/>
    <x v="6"/>
    <x v="3"/>
    <x v="3"/>
    <n v="3"/>
    <n v="81266"/>
    <d v="2026-09-01T00:00:00"/>
    <n v="9"/>
    <n v="1"/>
    <n v="2026"/>
    <x v="1"/>
    <s v="Q3"/>
    <x v="3"/>
  </r>
  <r>
    <s v="O101263"/>
    <x v="755"/>
    <x v="10"/>
    <x v="7"/>
    <x v="2"/>
    <x v="3"/>
    <n v="5"/>
    <n v="81230"/>
    <d v="2025-03-18T00:00:00"/>
    <n v="3"/>
    <n v="18"/>
    <n v="2025"/>
    <x v="5"/>
    <s v="Q1"/>
    <x v="2"/>
  </r>
  <r>
    <s v="O100735"/>
    <x v="503"/>
    <x v="3"/>
    <x v="7"/>
    <x v="2"/>
    <x v="2"/>
    <n v="5"/>
    <n v="81217"/>
    <d v="2025-02-14T00:00:00"/>
    <n v="2"/>
    <n v="14"/>
    <n v="2025"/>
    <x v="4"/>
    <s v="Q1"/>
    <x v="2"/>
  </r>
  <r>
    <s v="O111202"/>
    <x v="241"/>
    <x v="3"/>
    <x v="7"/>
    <x v="2"/>
    <x v="2"/>
    <n v="5"/>
    <n v="81199"/>
    <d v="2026-12-11T00:00:00"/>
    <n v="12"/>
    <n v="11"/>
    <n v="2026"/>
    <x v="7"/>
    <s v="Q4"/>
    <x v="2"/>
  </r>
  <r>
    <s v="O105027"/>
    <x v="777"/>
    <x v="4"/>
    <x v="7"/>
    <x v="4"/>
    <x v="3"/>
    <n v="5"/>
    <n v="81148"/>
    <d v="2025-02-11T00:00:00"/>
    <n v="2"/>
    <n v="11"/>
    <n v="2025"/>
    <x v="4"/>
    <s v="Q1"/>
    <x v="4"/>
  </r>
  <r>
    <s v="O110076"/>
    <x v="468"/>
    <x v="3"/>
    <x v="7"/>
    <x v="1"/>
    <x v="0"/>
    <n v="5"/>
    <n v="81103"/>
    <d v="2026-05-09T00:00:00"/>
    <n v="5"/>
    <n v="9"/>
    <n v="2026"/>
    <x v="3"/>
    <s v="Q2"/>
    <x v="1"/>
  </r>
  <r>
    <s v="O109067"/>
    <x v="129"/>
    <x v="1"/>
    <x v="7"/>
    <x v="0"/>
    <x v="2"/>
    <n v="5"/>
    <n v="81084"/>
    <d v="2026-05-07T00:00:00"/>
    <n v="5"/>
    <n v="7"/>
    <n v="2026"/>
    <x v="3"/>
    <s v="Q2"/>
    <x v="0"/>
  </r>
  <r>
    <s v="O109087"/>
    <x v="329"/>
    <x v="1"/>
    <x v="7"/>
    <x v="4"/>
    <x v="2"/>
    <n v="7"/>
    <n v="81070"/>
    <d v="2026-07-07T00:00:00"/>
    <n v="7"/>
    <n v="7"/>
    <n v="2026"/>
    <x v="10"/>
    <s v="Q3"/>
    <x v="4"/>
  </r>
  <r>
    <s v="O101119"/>
    <x v="524"/>
    <x v="5"/>
    <x v="7"/>
    <x v="3"/>
    <x v="1"/>
    <n v="7"/>
    <n v="81068"/>
    <d v="2025-09-03T00:00:00"/>
    <n v="9"/>
    <n v="3"/>
    <n v="2025"/>
    <x v="1"/>
    <s v="Q3"/>
    <x v="3"/>
  </r>
  <r>
    <s v="O103549"/>
    <x v="129"/>
    <x v="2"/>
    <x v="7"/>
    <x v="1"/>
    <x v="2"/>
    <n v="6"/>
    <n v="80925"/>
    <d v="2025-04-08T00:00:00"/>
    <n v="4"/>
    <n v="8"/>
    <n v="2025"/>
    <x v="11"/>
    <s v="Q2"/>
    <x v="1"/>
  </r>
  <r>
    <s v="O104368"/>
    <x v="228"/>
    <x v="0"/>
    <x v="6"/>
    <x v="0"/>
    <x v="0"/>
    <n v="4"/>
    <n v="80866"/>
    <d v="2025-09-23T00:00:00"/>
    <n v="9"/>
    <n v="23"/>
    <n v="2025"/>
    <x v="1"/>
    <s v="Q3"/>
    <x v="0"/>
  </r>
  <r>
    <s v="O111165"/>
    <x v="499"/>
    <x v="4"/>
    <x v="7"/>
    <x v="0"/>
    <x v="1"/>
    <n v="5"/>
    <n v="80864"/>
    <d v="2026-10-11T00:00:00"/>
    <n v="10"/>
    <n v="11"/>
    <n v="2026"/>
    <x v="9"/>
    <s v="Q4"/>
    <x v="0"/>
  </r>
  <r>
    <s v="O107377"/>
    <x v="359"/>
    <x v="0"/>
    <x v="6"/>
    <x v="1"/>
    <x v="0"/>
    <n v="3"/>
    <n v="80833"/>
    <d v="2026-03-25T00:00:00"/>
    <n v="3"/>
    <n v="25"/>
    <n v="2026"/>
    <x v="5"/>
    <s v="Q1"/>
    <x v="1"/>
  </r>
  <r>
    <s v="O103700"/>
    <x v="560"/>
    <x v="4"/>
    <x v="7"/>
    <x v="1"/>
    <x v="1"/>
    <n v="6"/>
    <n v="80833"/>
    <d v="2025-08-13T00:00:00"/>
    <n v="8"/>
    <n v="13"/>
    <n v="2025"/>
    <x v="8"/>
    <s v="Q3"/>
    <x v="1"/>
  </r>
  <r>
    <s v="O110768"/>
    <x v="699"/>
    <x v="0"/>
    <x v="7"/>
    <x v="3"/>
    <x v="2"/>
    <n v="5"/>
    <n v="80827"/>
    <d v="2026-10-17T00:00:00"/>
    <n v="10"/>
    <n v="17"/>
    <n v="2026"/>
    <x v="9"/>
    <s v="Q4"/>
    <x v="3"/>
  </r>
  <r>
    <s v="O105188"/>
    <x v="687"/>
    <x v="4"/>
    <x v="7"/>
    <x v="2"/>
    <x v="3"/>
    <n v="6"/>
    <n v="80802"/>
    <d v="2025-12-11T00:00:00"/>
    <n v="12"/>
    <n v="11"/>
    <n v="2025"/>
    <x v="7"/>
    <s v="Q4"/>
    <x v="2"/>
  </r>
  <r>
    <s v="O111733"/>
    <x v="232"/>
    <x v="8"/>
    <x v="7"/>
    <x v="3"/>
    <x v="3"/>
    <n v="6"/>
    <n v="80719"/>
    <d v="2026-12-14T00:00:00"/>
    <n v="12"/>
    <n v="14"/>
    <n v="2026"/>
    <x v="7"/>
    <s v="Q4"/>
    <x v="3"/>
  </r>
  <r>
    <s v="O109643"/>
    <x v="193"/>
    <x v="4"/>
    <x v="7"/>
    <x v="3"/>
    <x v="1"/>
    <n v="6"/>
    <n v="80680"/>
    <d v="2026-09-08T00:00:00"/>
    <n v="9"/>
    <n v="8"/>
    <n v="2026"/>
    <x v="1"/>
    <s v="Q3"/>
    <x v="3"/>
  </r>
  <r>
    <s v="O106646"/>
    <x v="66"/>
    <x v="4"/>
    <x v="7"/>
    <x v="3"/>
    <x v="3"/>
    <n v="7"/>
    <n v="80674"/>
    <d v="2026-02-08T00:00:00"/>
    <n v="2"/>
    <n v="8"/>
    <n v="2026"/>
    <x v="4"/>
    <s v="Q1"/>
    <x v="3"/>
  </r>
  <r>
    <s v="O105263"/>
    <x v="73"/>
    <x v="10"/>
    <x v="6"/>
    <x v="2"/>
    <x v="0"/>
    <n v="3"/>
    <n v="80664"/>
    <d v="2025-11-16T00:00:00"/>
    <n v="11"/>
    <n v="16"/>
    <n v="2025"/>
    <x v="0"/>
    <s v="Q4"/>
    <x v="2"/>
  </r>
  <r>
    <s v="O105549"/>
    <x v="657"/>
    <x v="2"/>
    <x v="7"/>
    <x v="3"/>
    <x v="0"/>
    <n v="6"/>
    <n v="80603"/>
    <d v="2025-04-12T00:00:00"/>
    <n v="4"/>
    <n v="12"/>
    <n v="2025"/>
    <x v="11"/>
    <s v="Q2"/>
    <x v="3"/>
  </r>
  <r>
    <s v="O101803"/>
    <x v="450"/>
    <x v="6"/>
    <x v="7"/>
    <x v="0"/>
    <x v="3"/>
    <n v="6"/>
    <n v="80548"/>
    <d v="2025-04-20T00:00:00"/>
    <n v="4"/>
    <n v="20"/>
    <n v="2025"/>
    <x v="11"/>
    <s v="Q2"/>
    <x v="0"/>
  </r>
  <r>
    <s v="O102811"/>
    <x v="322"/>
    <x v="4"/>
    <x v="7"/>
    <x v="4"/>
    <x v="0"/>
    <n v="7"/>
    <n v="80541"/>
    <d v="2025-06-20T00:00:00"/>
    <n v="6"/>
    <n v="20"/>
    <n v="2025"/>
    <x v="2"/>
    <s v="Q2"/>
    <x v="4"/>
  </r>
  <r>
    <s v="O100846"/>
    <x v="477"/>
    <x v="10"/>
    <x v="7"/>
    <x v="2"/>
    <x v="2"/>
    <n v="5"/>
    <n v="80445"/>
    <d v="2025-02-21T00:00:00"/>
    <n v="2"/>
    <n v="21"/>
    <n v="2025"/>
    <x v="4"/>
    <s v="Q1"/>
    <x v="2"/>
  </r>
  <r>
    <s v="O104409"/>
    <x v="791"/>
    <x v="6"/>
    <x v="7"/>
    <x v="3"/>
    <x v="2"/>
    <n v="5"/>
    <n v="80431"/>
    <d v="2025-09-25T00:00:00"/>
    <n v="9"/>
    <n v="25"/>
    <n v="2025"/>
    <x v="1"/>
    <s v="Q3"/>
    <x v="3"/>
  </r>
  <r>
    <s v="O106867"/>
    <x v="217"/>
    <x v="2"/>
    <x v="7"/>
    <x v="1"/>
    <x v="3"/>
    <n v="6"/>
    <n v="80349"/>
    <d v="2026-02-22T00:00:00"/>
    <n v="2"/>
    <n v="22"/>
    <n v="2026"/>
    <x v="4"/>
    <s v="Q1"/>
    <x v="1"/>
  </r>
  <r>
    <s v="O109366"/>
    <x v="50"/>
    <x v="4"/>
    <x v="6"/>
    <x v="0"/>
    <x v="2"/>
    <n v="4"/>
    <n v="80321"/>
    <d v="2026-07-23T00:00:00"/>
    <n v="7"/>
    <n v="23"/>
    <n v="2026"/>
    <x v="10"/>
    <s v="Q3"/>
    <x v="0"/>
  </r>
  <r>
    <s v="O108042"/>
    <x v="468"/>
    <x v="4"/>
    <x v="7"/>
    <x v="3"/>
    <x v="0"/>
    <n v="6"/>
    <n v="80272"/>
    <d v="2026-04-05T00:00:00"/>
    <n v="4"/>
    <n v="5"/>
    <n v="2026"/>
    <x v="11"/>
    <s v="Q2"/>
    <x v="3"/>
  </r>
  <r>
    <s v="O104775"/>
    <x v="616"/>
    <x v="9"/>
    <x v="7"/>
    <x v="1"/>
    <x v="2"/>
    <n v="5"/>
    <n v="80212"/>
    <d v="2025-10-18T00:00:00"/>
    <n v="10"/>
    <n v="18"/>
    <n v="2025"/>
    <x v="9"/>
    <s v="Q4"/>
    <x v="1"/>
  </r>
  <r>
    <s v="O107816"/>
    <x v="298"/>
    <x v="4"/>
    <x v="6"/>
    <x v="2"/>
    <x v="2"/>
    <n v="3"/>
    <n v="80212"/>
    <d v="2026-04-20T00:00:00"/>
    <n v="4"/>
    <n v="20"/>
    <n v="2026"/>
    <x v="11"/>
    <s v="Q2"/>
    <x v="2"/>
  </r>
  <r>
    <s v="O111400"/>
    <x v="731"/>
    <x v="2"/>
    <x v="6"/>
    <x v="3"/>
    <x v="0"/>
    <n v="4"/>
    <n v="80014"/>
    <d v="2026-11-24T00:00:00"/>
    <n v="11"/>
    <n v="24"/>
    <n v="2026"/>
    <x v="0"/>
    <s v="Q4"/>
    <x v="3"/>
  </r>
  <r>
    <s v="O110944"/>
    <x v="462"/>
    <x v="0"/>
    <x v="7"/>
    <x v="1"/>
    <x v="3"/>
    <n v="6"/>
    <n v="79990"/>
    <d v="2026-10-27T00:00:00"/>
    <n v="10"/>
    <n v="27"/>
    <n v="2026"/>
    <x v="9"/>
    <s v="Q4"/>
    <x v="1"/>
  </r>
  <r>
    <s v="O103285"/>
    <x v="265"/>
    <x v="6"/>
    <x v="6"/>
    <x v="4"/>
    <x v="3"/>
    <n v="4"/>
    <n v="79872"/>
    <d v="2025-07-19T00:00:00"/>
    <n v="7"/>
    <n v="19"/>
    <n v="2025"/>
    <x v="10"/>
    <s v="Q3"/>
    <x v="4"/>
  </r>
  <r>
    <s v="O108493"/>
    <x v="185"/>
    <x v="2"/>
    <x v="6"/>
    <x v="0"/>
    <x v="2"/>
    <n v="3"/>
    <n v="79871"/>
    <d v="2026-05-31T00:00:00"/>
    <n v="5"/>
    <n v="31"/>
    <n v="2026"/>
    <x v="3"/>
    <s v="Q2"/>
    <x v="0"/>
  </r>
  <r>
    <s v="O110127"/>
    <x v="445"/>
    <x v="2"/>
    <x v="6"/>
    <x v="1"/>
    <x v="0"/>
    <n v="4"/>
    <n v="79860"/>
    <d v="2026-08-09T00:00:00"/>
    <n v="8"/>
    <n v="9"/>
    <n v="2026"/>
    <x v="8"/>
    <s v="Q3"/>
    <x v="1"/>
  </r>
  <r>
    <s v="O101768"/>
    <x v="337"/>
    <x v="5"/>
    <x v="6"/>
    <x v="2"/>
    <x v="0"/>
    <n v="3"/>
    <n v="79858"/>
    <d v="2025-04-18T00:00:00"/>
    <n v="4"/>
    <n v="18"/>
    <n v="2025"/>
    <x v="11"/>
    <s v="Q2"/>
    <x v="2"/>
  </r>
  <r>
    <s v="O103047"/>
    <x v="387"/>
    <x v="2"/>
    <x v="6"/>
    <x v="3"/>
    <x v="0"/>
    <n v="3"/>
    <n v="79857"/>
    <d v="2025-05-07T00:00:00"/>
    <n v="5"/>
    <n v="7"/>
    <n v="2025"/>
    <x v="3"/>
    <s v="Q2"/>
    <x v="3"/>
  </r>
  <r>
    <s v="O111510"/>
    <x v="682"/>
    <x v="9"/>
    <x v="7"/>
    <x v="0"/>
    <x v="2"/>
    <n v="6"/>
    <n v="79856"/>
    <d v="2026-01-12T00:00:00"/>
    <n v="1"/>
    <n v="12"/>
    <n v="2026"/>
    <x v="6"/>
    <s v="Q1"/>
    <x v="0"/>
  </r>
  <r>
    <s v="O100134"/>
    <x v="242"/>
    <x v="9"/>
    <x v="7"/>
    <x v="1"/>
    <x v="2"/>
    <n v="5"/>
    <n v="79845"/>
    <d v="2025-09-01T00:00:00"/>
    <n v="9"/>
    <n v="1"/>
    <n v="2025"/>
    <x v="1"/>
    <s v="Q3"/>
    <x v="1"/>
  </r>
  <r>
    <s v="O109831"/>
    <x v="784"/>
    <x v="2"/>
    <x v="7"/>
    <x v="1"/>
    <x v="1"/>
    <n v="5"/>
    <n v="79798"/>
    <d v="2026-08-21T00:00:00"/>
    <n v="8"/>
    <n v="21"/>
    <n v="2026"/>
    <x v="8"/>
    <s v="Q3"/>
    <x v="1"/>
  </r>
  <r>
    <s v="O110093"/>
    <x v="492"/>
    <x v="6"/>
    <x v="7"/>
    <x v="2"/>
    <x v="3"/>
    <n v="6"/>
    <n v="79766"/>
    <d v="2026-06-09T00:00:00"/>
    <n v="6"/>
    <n v="9"/>
    <n v="2026"/>
    <x v="2"/>
    <s v="Q2"/>
    <x v="2"/>
  </r>
  <r>
    <s v="O107084"/>
    <x v="766"/>
    <x v="0"/>
    <x v="6"/>
    <x v="1"/>
    <x v="0"/>
    <n v="4"/>
    <n v="79697"/>
    <d v="2026-07-03T00:00:00"/>
    <n v="7"/>
    <n v="3"/>
    <n v="2026"/>
    <x v="10"/>
    <s v="Q3"/>
    <x v="1"/>
  </r>
  <r>
    <s v="O110437"/>
    <x v="671"/>
    <x v="9"/>
    <x v="7"/>
    <x v="1"/>
    <x v="3"/>
    <n v="6"/>
    <n v="79600"/>
    <d v="2026-09-27T00:00:00"/>
    <n v="9"/>
    <n v="27"/>
    <n v="2026"/>
    <x v="1"/>
    <s v="Q3"/>
    <x v="1"/>
  </r>
  <r>
    <s v="O110114"/>
    <x v="698"/>
    <x v="8"/>
    <x v="6"/>
    <x v="3"/>
    <x v="2"/>
    <n v="4"/>
    <n v="79535"/>
    <d v="2026-07-09T00:00:00"/>
    <n v="7"/>
    <n v="9"/>
    <n v="2026"/>
    <x v="10"/>
    <s v="Q3"/>
    <x v="3"/>
  </r>
  <r>
    <s v="O104835"/>
    <x v="687"/>
    <x v="4"/>
    <x v="6"/>
    <x v="3"/>
    <x v="1"/>
    <n v="4"/>
    <n v="79507"/>
    <d v="2025-10-21T00:00:00"/>
    <n v="10"/>
    <n v="21"/>
    <n v="2025"/>
    <x v="9"/>
    <s v="Q4"/>
    <x v="3"/>
  </r>
  <r>
    <s v="O102281"/>
    <x v="437"/>
    <x v="10"/>
    <x v="7"/>
    <x v="2"/>
    <x v="1"/>
    <n v="5"/>
    <n v="79495"/>
    <d v="2025-05-19T00:00:00"/>
    <n v="5"/>
    <n v="19"/>
    <n v="2025"/>
    <x v="3"/>
    <s v="Q2"/>
    <x v="2"/>
  </r>
  <r>
    <s v="O105559"/>
    <x v="549"/>
    <x v="2"/>
    <x v="7"/>
    <x v="4"/>
    <x v="1"/>
    <n v="5"/>
    <n v="79437"/>
    <d v="2025-04-12T00:00:00"/>
    <n v="4"/>
    <n v="12"/>
    <n v="2025"/>
    <x v="11"/>
    <s v="Q2"/>
    <x v="4"/>
  </r>
  <r>
    <s v="O109872"/>
    <x v="266"/>
    <x v="4"/>
    <x v="6"/>
    <x v="3"/>
    <x v="1"/>
    <n v="3"/>
    <n v="79252"/>
    <d v="2026-08-23T00:00:00"/>
    <n v="8"/>
    <n v="23"/>
    <n v="2026"/>
    <x v="8"/>
    <s v="Q3"/>
    <x v="3"/>
  </r>
  <r>
    <s v="O108546"/>
    <x v="284"/>
    <x v="2"/>
    <x v="6"/>
    <x v="3"/>
    <x v="0"/>
    <n v="3"/>
    <n v="79252"/>
    <d v="2026-04-06T00:00:00"/>
    <n v="4"/>
    <n v="6"/>
    <n v="2026"/>
    <x v="11"/>
    <s v="Q2"/>
    <x v="3"/>
  </r>
  <r>
    <s v="O100493"/>
    <x v="370"/>
    <x v="1"/>
    <x v="7"/>
    <x v="3"/>
    <x v="0"/>
    <n v="6"/>
    <n v="79236"/>
    <d v="2025-01-30T00:00:00"/>
    <n v="1"/>
    <n v="30"/>
    <n v="2025"/>
    <x v="6"/>
    <s v="Q1"/>
    <x v="3"/>
  </r>
  <r>
    <s v="O108068"/>
    <x v="455"/>
    <x v="10"/>
    <x v="7"/>
    <x v="1"/>
    <x v="0"/>
    <n v="6"/>
    <n v="79223"/>
    <d v="2026-06-05T00:00:00"/>
    <n v="6"/>
    <n v="5"/>
    <n v="2026"/>
    <x v="2"/>
    <s v="Q2"/>
    <x v="1"/>
  </r>
  <r>
    <s v="O108976"/>
    <x v="113"/>
    <x v="2"/>
    <x v="6"/>
    <x v="4"/>
    <x v="3"/>
    <n v="4"/>
    <n v="79182"/>
    <d v="2026-06-30T00:00:00"/>
    <n v="6"/>
    <n v="30"/>
    <n v="2026"/>
    <x v="2"/>
    <s v="Q2"/>
    <x v="4"/>
  </r>
  <r>
    <s v="O105322"/>
    <x v="679"/>
    <x v="1"/>
    <x v="7"/>
    <x v="3"/>
    <x v="3"/>
    <n v="7"/>
    <n v="79134"/>
    <d v="2025-11-20T00:00:00"/>
    <n v="11"/>
    <n v="20"/>
    <n v="2025"/>
    <x v="0"/>
    <s v="Q4"/>
    <x v="3"/>
  </r>
  <r>
    <s v="O104738"/>
    <x v="80"/>
    <x v="2"/>
    <x v="7"/>
    <x v="1"/>
    <x v="2"/>
    <n v="5"/>
    <n v="79073"/>
    <d v="2025-10-15T00:00:00"/>
    <n v="10"/>
    <n v="15"/>
    <n v="2025"/>
    <x v="9"/>
    <s v="Q4"/>
    <x v="1"/>
  </r>
  <r>
    <s v="O103564"/>
    <x v="408"/>
    <x v="5"/>
    <x v="7"/>
    <x v="3"/>
    <x v="3"/>
    <n v="5"/>
    <n v="79054"/>
    <d v="2025-05-08T00:00:00"/>
    <n v="5"/>
    <n v="8"/>
    <n v="2025"/>
    <x v="3"/>
    <s v="Q2"/>
    <x v="3"/>
  </r>
  <r>
    <s v="O111486"/>
    <x v="369"/>
    <x v="4"/>
    <x v="7"/>
    <x v="4"/>
    <x v="1"/>
    <n v="5"/>
    <n v="78982"/>
    <d v="2026-11-29T00:00:00"/>
    <n v="11"/>
    <n v="29"/>
    <n v="2026"/>
    <x v="0"/>
    <m/>
    <x v="4"/>
  </r>
  <r>
    <s v="O103186"/>
    <x v="545"/>
    <x v="5"/>
    <x v="6"/>
    <x v="0"/>
    <x v="0"/>
    <n v="3"/>
    <n v="78967"/>
    <d v="2025-07-13T00:00:00"/>
    <n v="7"/>
    <n v="13"/>
    <n v="2025"/>
    <x v="10"/>
    <s v="Q3"/>
    <x v="0"/>
  </r>
  <r>
    <s v="O106645"/>
    <x v="461"/>
    <x v="10"/>
    <x v="7"/>
    <x v="2"/>
    <x v="0"/>
    <n v="5"/>
    <n v="78952"/>
    <d v="2026-08-02T00:00:00"/>
    <n v="8"/>
    <n v="2"/>
    <n v="2026"/>
    <x v="8"/>
    <s v="Q3"/>
    <x v="2"/>
  </r>
  <r>
    <s v="O100025"/>
    <x v="130"/>
    <x v="6"/>
    <x v="6"/>
    <x v="3"/>
    <x v="3"/>
    <n v="3"/>
    <n v="78931"/>
    <d v="2025-02-01T00:00:00"/>
    <n v="2"/>
    <n v="1"/>
    <n v="2025"/>
    <x v="4"/>
    <s v="Q1"/>
    <x v="3"/>
  </r>
  <r>
    <s v="O101688"/>
    <x v="22"/>
    <x v="10"/>
    <x v="6"/>
    <x v="3"/>
    <x v="2"/>
    <n v="3"/>
    <n v="78925"/>
    <d v="2025-04-13T00:00:00"/>
    <n v="4"/>
    <n v="13"/>
    <n v="2025"/>
    <x v="11"/>
    <s v="Q2"/>
    <x v="3"/>
  </r>
  <r>
    <s v="O109846"/>
    <x v="272"/>
    <x v="10"/>
    <x v="7"/>
    <x v="0"/>
    <x v="1"/>
    <n v="5"/>
    <n v="78631"/>
    <d v="2026-08-22T00:00:00"/>
    <n v="8"/>
    <n v="22"/>
    <n v="2026"/>
    <x v="8"/>
    <s v="Q3"/>
    <x v="0"/>
  </r>
  <r>
    <s v="O105412"/>
    <x v="294"/>
    <x v="1"/>
    <x v="7"/>
    <x v="3"/>
    <x v="3"/>
    <n v="6"/>
    <n v="78616"/>
    <d v="2025-11-25T00:00:00"/>
    <n v="11"/>
    <n v="25"/>
    <n v="2025"/>
    <x v="0"/>
    <s v="Q4"/>
    <x v="3"/>
  </r>
  <r>
    <s v="O111240"/>
    <x v="545"/>
    <x v="2"/>
    <x v="7"/>
    <x v="4"/>
    <x v="2"/>
    <n v="6"/>
    <n v="78598"/>
    <d v="2026-11-14T00:00:00"/>
    <n v="11"/>
    <n v="14"/>
    <n v="2026"/>
    <x v="0"/>
    <s v="Q4"/>
    <x v="4"/>
  </r>
  <r>
    <s v="O101678"/>
    <x v="711"/>
    <x v="2"/>
    <x v="7"/>
    <x v="1"/>
    <x v="0"/>
    <n v="5"/>
    <n v="78560"/>
    <d v="2025-12-04T00:00:00"/>
    <n v="12"/>
    <n v="4"/>
    <n v="2025"/>
    <x v="7"/>
    <s v="Q4"/>
    <x v="1"/>
  </r>
  <r>
    <s v="O107288"/>
    <x v="344"/>
    <x v="10"/>
    <x v="7"/>
    <x v="1"/>
    <x v="3"/>
    <n v="5"/>
    <n v="78518"/>
    <d v="2026-03-19T00:00:00"/>
    <n v="3"/>
    <n v="19"/>
    <n v="2026"/>
    <x v="5"/>
    <s v="Q1"/>
    <x v="1"/>
  </r>
  <r>
    <s v="O104236"/>
    <x v="332"/>
    <x v="0"/>
    <x v="7"/>
    <x v="3"/>
    <x v="0"/>
    <n v="5"/>
    <n v="78405"/>
    <d v="2025-09-15T00:00:00"/>
    <n v="9"/>
    <n v="15"/>
    <n v="2025"/>
    <x v="1"/>
    <s v="Q3"/>
    <x v="3"/>
  </r>
  <r>
    <s v="O106294"/>
    <x v="274"/>
    <x v="6"/>
    <x v="7"/>
    <x v="0"/>
    <x v="3"/>
    <n v="5"/>
    <n v="78317"/>
    <d v="2026-01-18T00:00:00"/>
    <n v="1"/>
    <n v="18"/>
    <n v="2026"/>
    <x v="6"/>
    <s v="Q1"/>
    <x v="0"/>
  </r>
  <r>
    <s v="O111734"/>
    <x v="105"/>
    <x v="10"/>
    <x v="6"/>
    <x v="4"/>
    <x v="0"/>
    <n v="4"/>
    <n v="78282"/>
    <d v="2026-12-14T00:00:00"/>
    <n v="12"/>
    <n v="14"/>
    <n v="2026"/>
    <x v="7"/>
    <s v="Q4"/>
    <x v="4"/>
  </r>
  <r>
    <s v="O100692"/>
    <x v="602"/>
    <x v="5"/>
    <x v="6"/>
    <x v="2"/>
    <x v="2"/>
    <n v="4"/>
    <n v="78240"/>
    <d v="2025-11-02T00:00:00"/>
    <n v="11"/>
    <n v="2"/>
    <n v="2025"/>
    <x v="0"/>
    <s v="Q4"/>
    <x v="2"/>
  </r>
  <r>
    <s v="O109436"/>
    <x v="594"/>
    <x v="2"/>
    <x v="7"/>
    <x v="3"/>
    <x v="0"/>
    <n v="6"/>
    <n v="78165"/>
    <d v="2026-07-28T00:00:00"/>
    <n v="7"/>
    <n v="28"/>
    <n v="2026"/>
    <x v="10"/>
    <s v="Q3"/>
    <x v="3"/>
  </r>
  <r>
    <s v="O109695"/>
    <x v="305"/>
    <x v="1"/>
    <x v="6"/>
    <x v="0"/>
    <x v="3"/>
    <n v="3"/>
    <n v="78152"/>
    <d v="2026-12-08T00:00:00"/>
    <n v="12"/>
    <n v="8"/>
    <n v="2026"/>
    <x v="7"/>
    <s v="Q4"/>
    <x v="0"/>
  </r>
  <r>
    <s v="O101358"/>
    <x v="332"/>
    <x v="1"/>
    <x v="6"/>
    <x v="1"/>
    <x v="2"/>
    <n v="3"/>
    <n v="78151"/>
    <d v="2025-03-24T00:00:00"/>
    <n v="3"/>
    <n v="24"/>
    <n v="2025"/>
    <x v="5"/>
    <s v="Q1"/>
    <x v="1"/>
  </r>
  <r>
    <s v="O108437"/>
    <x v="682"/>
    <x v="1"/>
    <x v="6"/>
    <x v="4"/>
    <x v="3"/>
    <n v="4"/>
    <n v="78144"/>
    <d v="2026-05-28T00:00:00"/>
    <n v="5"/>
    <n v="28"/>
    <n v="2026"/>
    <x v="3"/>
    <s v="Q2"/>
    <x v="4"/>
  </r>
  <r>
    <s v="O103626"/>
    <x v="723"/>
    <x v="0"/>
    <x v="7"/>
    <x v="1"/>
    <x v="2"/>
    <n v="6"/>
    <n v="78075"/>
    <d v="2025-09-08T00:00:00"/>
    <n v="9"/>
    <n v="8"/>
    <n v="2025"/>
    <x v="1"/>
    <s v="Q3"/>
    <x v="1"/>
  </r>
  <r>
    <s v="O109074"/>
    <x v="724"/>
    <x v="5"/>
    <x v="6"/>
    <x v="4"/>
    <x v="3"/>
    <n v="4"/>
    <n v="78013"/>
    <d v="2026-06-07T00:00:00"/>
    <n v="6"/>
    <n v="7"/>
    <n v="2026"/>
    <x v="2"/>
    <s v="Q2"/>
    <x v="4"/>
  </r>
  <r>
    <s v="O102546"/>
    <x v="459"/>
    <x v="5"/>
    <x v="6"/>
    <x v="4"/>
    <x v="0"/>
    <n v="4"/>
    <n v="77979"/>
    <d v="2025-04-06T00:00:00"/>
    <n v="4"/>
    <n v="6"/>
    <n v="2025"/>
    <x v="11"/>
    <s v="Q2"/>
    <x v="4"/>
  </r>
  <r>
    <s v="O111621"/>
    <x v="531"/>
    <x v="9"/>
    <x v="6"/>
    <x v="0"/>
    <x v="3"/>
    <n v="4"/>
    <n v="77788"/>
    <d v="2026-07-12T00:00:00"/>
    <n v="7"/>
    <n v="12"/>
    <n v="2026"/>
    <x v="10"/>
    <s v="Q3"/>
    <x v="0"/>
  </r>
  <r>
    <s v="O111198"/>
    <x v="496"/>
    <x v="5"/>
    <x v="7"/>
    <x v="0"/>
    <x v="3"/>
    <n v="5"/>
    <n v="77654"/>
    <d v="2026-12-11T00:00:00"/>
    <n v="12"/>
    <n v="11"/>
    <n v="2026"/>
    <x v="7"/>
    <s v="Q4"/>
    <x v="0"/>
  </r>
  <r>
    <s v="O100517"/>
    <x v="16"/>
    <x v="3"/>
    <x v="7"/>
    <x v="3"/>
    <x v="2"/>
    <n v="6"/>
    <n v="77577"/>
    <d v="2025-01-02T00:00:00"/>
    <n v="1"/>
    <n v="2"/>
    <n v="2025"/>
    <x v="6"/>
    <s v="Q1"/>
    <x v="3"/>
  </r>
  <r>
    <s v="O100096"/>
    <x v="650"/>
    <x v="2"/>
    <x v="6"/>
    <x v="0"/>
    <x v="3"/>
    <n v="3"/>
    <n v="77521"/>
    <d v="2025-06-01T00:00:00"/>
    <n v="6"/>
    <n v="1"/>
    <n v="2025"/>
    <x v="2"/>
    <s v="Q2"/>
    <x v="0"/>
  </r>
  <r>
    <s v="O111082"/>
    <x v="159"/>
    <x v="8"/>
    <x v="7"/>
    <x v="4"/>
    <x v="0"/>
    <n v="6"/>
    <n v="77501"/>
    <d v="2026-05-11T00:00:00"/>
    <n v="5"/>
    <n v="11"/>
    <n v="2026"/>
    <x v="3"/>
    <s v="Q2"/>
    <x v="4"/>
  </r>
  <r>
    <s v="O102051"/>
    <x v="558"/>
    <x v="10"/>
    <x v="6"/>
    <x v="0"/>
    <x v="2"/>
    <n v="4"/>
    <n v="77441"/>
    <d v="2025-05-05T00:00:00"/>
    <n v="5"/>
    <n v="5"/>
    <n v="2025"/>
    <x v="3"/>
    <s v="Q2"/>
    <x v="0"/>
  </r>
  <r>
    <s v="O107236"/>
    <x v="284"/>
    <x v="8"/>
    <x v="6"/>
    <x v="3"/>
    <x v="2"/>
    <n v="4"/>
    <n v="77379"/>
    <d v="2026-03-16T00:00:00"/>
    <n v="3"/>
    <n v="16"/>
    <n v="2026"/>
    <x v="5"/>
    <s v="Q1"/>
    <x v="3"/>
  </r>
  <r>
    <s v="O106277"/>
    <x v="258"/>
    <x v="9"/>
    <x v="7"/>
    <x v="0"/>
    <x v="1"/>
    <n v="6"/>
    <n v="77304"/>
    <d v="2026-01-17T00:00:00"/>
    <n v="1"/>
    <n v="17"/>
    <n v="2026"/>
    <x v="6"/>
    <m/>
    <x v="0"/>
  </r>
  <r>
    <s v="O105206"/>
    <x v="422"/>
    <x v="8"/>
    <x v="7"/>
    <x v="1"/>
    <x v="1"/>
    <n v="5"/>
    <n v="77240"/>
    <d v="2025-11-13T00:00:00"/>
    <n v="11"/>
    <n v="13"/>
    <n v="2025"/>
    <x v="0"/>
    <m/>
    <x v="1"/>
  </r>
  <r>
    <s v="O102726"/>
    <x v="691"/>
    <x v="3"/>
    <x v="7"/>
    <x v="4"/>
    <x v="2"/>
    <n v="6"/>
    <n v="77213"/>
    <d v="2025-06-15T00:00:00"/>
    <n v="6"/>
    <n v="15"/>
    <n v="2025"/>
    <x v="2"/>
    <m/>
    <x v="4"/>
  </r>
  <r>
    <s v="O101022"/>
    <x v="511"/>
    <x v="6"/>
    <x v="7"/>
    <x v="3"/>
    <x v="2"/>
    <n v="5"/>
    <n v="77198"/>
    <d v="2025-04-03T00:00:00"/>
    <n v="4"/>
    <n v="3"/>
    <n v="2025"/>
    <x v="11"/>
    <s v="Q2"/>
    <x v="3"/>
  </r>
  <r>
    <s v="O102850"/>
    <x v="512"/>
    <x v="4"/>
    <x v="7"/>
    <x v="3"/>
    <x v="3"/>
    <n v="5"/>
    <n v="77130"/>
    <d v="2025-06-23T00:00:00"/>
    <n v="6"/>
    <n v="23"/>
    <n v="2025"/>
    <x v="2"/>
    <s v="Q2"/>
    <x v="3"/>
  </r>
  <r>
    <s v="O110152"/>
    <x v="542"/>
    <x v="10"/>
    <x v="7"/>
    <x v="2"/>
    <x v="1"/>
    <n v="5"/>
    <n v="77099"/>
    <d v="2026-09-09T00:00:00"/>
    <n v="9"/>
    <n v="9"/>
    <n v="2026"/>
    <x v="1"/>
    <s v="Q3"/>
    <x v="2"/>
  </r>
  <r>
    <s v="O107011"/>
    <x v="196"/>
    <x v="3"/>
    <x v="7"/>
    <x v="4"/>
    <x v="2"/>
    <n v="-3"/>
    <n v="77054"/>
    <d v="2026-02-03T00:00:00"/>
    <n v="2"/>
    <n v="3"/>
    <n v="2026"/>
    <x v="4"/>
    <s v="Q1"/>
    <x v="4"/>
  </r>
  <r>
    <s v="O110186"/>
    <x v="184"/>
    <x v="5"/>
    <x v="6"/>
    <x v="2"/>
    <x v="2"/>
    <n v="3"/>
    <n v="76989"/>
    <d v="2026-11-09T00:00:00"/>
    <n v="11"/>
    <n v="9"/>
    <n v="2026"/>
    <x v="0"/>
    <s v="Q4"/>
    <x v="2"/>
  </r>
  <r>
    <s v="O108980"/>
    <x v="235"/>
    <x v="4"/>
    <x v="7"/>
    <x v="4"/>
    <x v="0"/>
    <n v="5"/>
    <n v="76984"/>
    <d v="2026-06-30T00:00:00"/>
    <n v="6"/>
    <n v="30"/>
    <n v="2026"/>
    <x v="2"/>
    <s v="Q2"/>
    <x v="4"/>
  </r>
  <r>
    <s v="O105992"/>
    <x v="688"/>
    <x v="2"/>
    <x v="6"/>
    <x v="1"/>
    <x v="0"/>
    <n v="3"/>
    <n v="76965"/>
    <d v="2025-12-30T00:00:00"/>
    <n v="12"/>
    <n v="30"/>
    <n v="2025"/>
    <x v="7"/>
    <s v="Q4"/>
    <x v="1"/>
  </r>
  <r>
    <s v="O109169"/>
    <x v="799"/>
    <x v="10"/>
    <x v="7"/>
    <x v="0"/>
    <x v="3"/>
    <n v="5"/>
    <n v="76925"/>
    <d v="2026-12-07T00:00:00"/>
    <n v="12"/>
    <n v="7"/>
    <n v="2026"/>
    <x v="7"/>
    <s v="Q4"/>
    <x v="0"/>
  </r>
  <r>
    <s v="O111262"/>
    <x v="596"/>
    <x v="2"/>
    <x v="7"/>
    <x v="3"/>
    <x v="1"/>
    <n v="5"/>
    <n v="76914"/>
    <d v="2026-11-16T00:00:00"/>
    <n v="11"/>
    <n v="16"/>
    <n v="2026"/>
    <x v="0"/>
    <m/>
    <x v="3"/>
  </r>
  <r>
    <s v="O106808"/>
    <x v="659"/>
    <x v="0"/>
    <x v="6"/>
    <x v="0"/>
    <x v="0"/>
    <n v="3"/>
    <n v="76704"/>
    <d v="2026-02-18T00:00:00"/>
    <n v="2"/>
    <n v="18"/>
    <n v="2026"/>
    <x v="4"/>
    <s v="Q1"/>
    <x v="0"/>
  </r>
  <r>
    <s v="O110060"/>
    <x v="758"/>
    <x v="9"/>
    <x v="7"/>
    <x v="1"/>
    <x v="3"/>
    <n v="5"/>
    <n v="76642"/>
    <d v="2026-04-09T00:00:00"/>
    <n v="4"/>
    <n v="9"/>
    <n v="2026"/>
    <x v="11"/>
    <s v="Q2"/>
    <x v="1"/>
  </r>
  <r>
    <s v="O107910"/>
    <x v="102"/>
    <x v="6"/>
    <x v="6"/>
    <x v="0"/>
    <x v="3"/>
    <n v="4"/>
    <n v="76634"/>
    <d v="2026-04-26T00:00:00"/>
    <n v="4"/>
    <n v="26"/>
    <n v="2026"/>
    <x v="11"/>
    <s v="Q2"/>
    <x v="0"/>
  </r>
  <r>
    <s v="O106705"/>
    <x v="703"/>
    <x v="0"/>
    <x v="6"/>
    <x v="0"/>
    <x v="0"/>
    <n v="3"/>
    <n v="76630"/>
    <d v="2026-12-02T00:00:00"/>
    <n v="12"/>
    <n v="2"/>
    <n v="2026"/>
    <x v="7"/>
    <s v="Q4"/>
    <x v="0"/>
  </r>
  <r>
    <s v="O104386"/>
    <x v="625"/>
    <x v="1"/>
    <x v="6"/>
    <x v="0"/>
    <x v="0"/>
    <n v="3"/>
    <n v="76606"/>
    <d v="2025-09-24T00:00:00"/>
    <n v="9"/>
    <n v="24"/>
    <n v="2025"/>
    <x v="1"/>
    <s v="Q3"/>
    <x v="0"/>
  </r>
  <r>
    <s v="O100809"/>
    <x v="22"/>
    <x v="8"/>
    <x v="6"/>
    <x v="4"/>
    <x v="2"/>
    <n v="3"/>
    <n v="76440"/>
    <d v="2025-02-19T00:00:00"/>
    <n v="2"/>
    <n v="19"/>
    <n v="2025"/>
    <x v="4"/>
    <s v="Q1"/>
    <x v="4"/>
  </r>
  <r>
    <s v="O108769"/>
    <x v="709"/>
    <x v="5"/>
    <x v="7"/>
    <x v="3"/>
    <x v="1"/>
    <n v="6"/>
    <n v="76432"/>
    <d v="2026-06-17T00:00:00"/>
    <n v="6"/>
    <n v="17"/>
    <n v="2026"/>
    <x v="2"/>
    <s v="Q2"/>
    <x v="3"/>
  </r>
  <r>
    <s v="O106128"/>
    <x v="687"/>
    <x v="5"/>
    <x v="7"/>
    <x v="1"/>
    <x v="1"/>
    <n v="5"/>
    <n v="76403"/>
    <d v="2026-08-01T00:00:00"/>
    <n v="8"/>
    <n v="1"/>
    <n v="2026"/>
    <x v="8"/>
    <s v="Q3"/>
    <x v="1"/>
  </r>
  <r>
    <s v="O107771"/>
    <x v="69"/>
    <x v="5"/>
    <x v="6"/>
    <x v="4"/>
    <x v="2"/>
    <n v="3"/>
    <n v="76323"/>
    <d v="2026-04-18T00:00:00"/>
    <n v="4"/>
    <n v="18"/>
    <n v="2026"/>
    <x v="11"/>
    <s v="Q2"/>
    <x v="4"/>
  </r>
  <r>
    <s v="O109127"/>
    <x v="346"/>
    <x v="0"/>
    <x v="7"/>
    <x v="3"/>
    <x v="3"/>
    <n v="6"/>
    <n v="76302"/>
    <d v="2026-09-07T00:00:00"/>
    <n v="9"/>
    <n v="7"/>
    <n v="2026"/>
    <x v="1"/>
    <m/>
    <x v="3"/>
  </r>
  <r>
    <s v="O102453"/>
    <x v="9"/>
    <x v="9"/>
    <x v="6"/>
    <x v="3"/>
    <x v="1"/>
    <n v="4"/>
    <n v="76200"/>
    <d v="2025-05-29T00:00:00"/>
    <n v="5"/>
    <n v="29"/>
    <n v="2025"/>
    <x v="3"/>
    <s v="Q2"/>
    <x v="3"/>
  </r>
  <r>
    <s v="O106497"/>
    <x v="393"/>
    <x v="4"/>
    <x v="7"/>
    <x v="3"/>
    <x v="3"/>
    <n v="5"/>
    <n v="76198"/>
    <d v="2026-01-30T00:00:00"/>
    <n v="1"/>
    <n v="30"/>
    <n v="2026"/>
    <x v="6"/>
    <s v="Q1"/>
    <x v="3"/>
  </r>
  <r>
    <s v="O108324"/>
    <x v="536"/>
    <x v="10"/>
    <x v="6"/>
    <x v="0"/>
    <x v="0"/>
    <n v="3"/>
    <n v="76177"/>
    <d v="2026-05-21T00:00:00"/>
    <n v="5"/>
    <n v="21"/>
    <n v="2026"/>
    <x v="3"/>
    <s v="Q2"/>
    <x v="0"/>
  </r>
  <r>
    <s v="O111816"/>
    <x v="249"/>
    <x v="8"/>
    <x v="6"/>
    <x v="3"/>
    <x v="2"/>
    <n v="4"/>
    <n v="76164"/>
    <d v="2026-12-19T00:00:00"/>
    <n v="12"/>
    <n v="19"/>
    <n v="2026"/>
    <x v="7"/>
    <s v="Q4"/>
    <x v="3"/>
  </r>
  <r>
    <s v="O109482"/>
    <x v="284"/>
    <x v="4"/>
    <x v="7"/>
    <x v="2"/>
    <x v="2"/>
    <n v="5"/>
    <n v="76151"/>
    <d v="2026-07-31T00:00:00"/>
    <n v="7"/>
    <n v="31"/>
    <n v="2026"/>
    <x v="10"/>
    <s v="Q3"/>
    <x v="2"/>
  </r>
  <r>
    <s v="O103461"/>
    <x v="286"/>
    <x v="9"/>
    <x v="7"/>
    <x v="1"/>
    <x v="1"/>
    <n v="5"/>
    <n v="76080"/>
    <d v="2025-07-30T00:00:00"/>
    <n v="7"/>
    <n v="30"/>
    <n v="2025"/>
    <x v="10"/>
    <s v="Q3"/>
    <x v="1"/>
  </r>
  <r>
    <s v="O109902"/>
    <x v="488"/>
    <x v="10"/>
    <x v="7"/>
    <x v="7"/>
    <x v="1"/>
    <n v="5"/>
    <n v="75952"/>
    <d v="2026-08-25T00:00:00"/>
    <n v="8"/>
    <n v="25"/>
    <n v="2026"/>
    <x v="8"/>
    <s v="Q3"/>
    <x v="3"/>
  </r>
  <r>
    <s v="O109794"/>
    <x v="758"/>
    <x v="5"/>
    <x v="7"/>
    <x v="3"/>
    <x v="1"/>
    <n v="6"/>
    <n v="75893"/>
    <d v="2026-08-18T00:00:00"/>
    <n v="8"/>
    <n v="18"/>
    <n v="2026"/>
    <x v="8"/>
    <s v="Q3"/>
    <x v="3"/>
  </r>
  <r>
    <s v="O109398"/>
    <x v="153"/>
    <x v="3"/>
    <x v="6"/>
    <x v="2"/>
    <x v="2"/>
    <n v="3"/>
    <n v="75866"/>
    <d v="2026-07-25T00:00:00"/>
    <n v="7"/>
    <n v="25"/>
    <n v="2026"/>
    <x v="10"/>
    <s v="Q3"/>
    <x v="2"/>
  </r>
  <r>
    <s v="O110269"/>
    <x v="429"/>
    <x v="9"/>
    <x v="7"/>
    <x v="0"/>
    <x v="2"/>
    <n v="6"/>
    <n v="75815"/>
    <d v="2026-09-16T00:00:00"/>
    <n v="9"/>
    <n v="16"/>
    <n v="2026"/>
    <x v="1"/>
    <s v="Q3"/>
    <x v="0"/>
  </r>
  <r>
    <s v="O105975"/>
    <x v="438"/>
    <x v="9"/>
    <x v="7"/>
    <x v="1"/>
    <x v="1"/>
    <n v="6"/>
    <n v="75801"/>
    <d v="2025-12-29T00:00:00"/>
    <n v="12"/>
    <n v="29"/>
    <n v="2025"/>
    <x v="7"/>
    <s v="Q4"/>
    <x v="1"/>
  </r>
  <r>
    <s v="O110383"/>
    <x v="475"/>
    <x v="5"/>
    <x v="7"/>
    <x v="4"/>
    <x v="2"/>
    <n v="5"/>
    <n v="75794"/>
    <d v="2026-09-23T00:00:00"/>
    <n v="9"/>
    <n v="23"/>
    <n v="2026"/>
    <x v="1"/>
    <s v="Q3"/>
    <x v="4"/>
  </r>
  <r>
    <s v="O110835"/>
    <x v="475"/>
    <x v="5"/>
    <x v="6"/>
    <x v="1"/>
    <x v="3"/>
    <n v="3"/>
    <n v="75794"/>
    <d v="2026-10-21T00:00:00"/>
    <n v="10"/>
    <n v="21"/>
    <n v="2026"/>
    <x v="9"/>
    <s v="Q4"/>
    <x v="1"/>
  </r>
  <r>
    <s v="O104251"/>
    <x v="34"/>
    <x v="6"/>
    <x v="7"/>
    <x v="1"/>
    <x v="3"/>
    <n v="5"/>
    <n v="75724"/>
    <d v="2025-09-16T00:00:00"/>
    <n v="9"/>
    <n v="16"/>
    <n v="2025"/>
    <x v="1"/>
    <s v="Q3"/>
    <x v="1"/>
  </r>
  <r>
    <s v="O108593"/>
    <x v="595"/>
    <x v="10"/>
    <x v="7"/>
    <x v="1"/>
    <x v="0"/>
    <n v="6"/>
    <n v="75716"/>
    <d v="2026-07-06T00:00:00"/>
    <n v="7"/>
    <n v="6"/>
    <n v="2026"/>
    <x v="10"/>
    <s v="Q3"/>
    <x v="1"/>
  </r>
  <r>
    <s v="O101002"/>
    <x v="774"/>
    <x v="2"/>
    <x v="6"/>
    <x v="2"/>
    <x v="2"/>
    <n v="4"/>
    <n v="75654"/>
    <d v="2025-02-03T00:00:00"/>
    <n v="2"/>
    <n v="3"/>
    <n v="2025"/>
    <x v="4"/>
    <s v="Q1"/>
    <x v="2"/>
  </r>
  <r>
    <s v="O102597"/>
    <x v="165"/>
    <x v="6"/>
    <x v="7"/>
    <x v="7"/>
    <x v="2"/>
    <n v="5"/>
    <n v="75624"/>
    <d v="2025-07-06T00:00:00"/>
    <n v="7"/>
    <n v="6"/>
    <n v="2025"/>
    <x v="10"/>
    <s v="Q3"/>
    <x v="3"/>
  </r>
  <r>
    <s v="O102446"/>
    <x v="675"/>
    <x v="0"/>
    <x v="7"/>
    <x v="2"/>
    <x v="3"/>
    <n v="5"/>
    <n v="75486"/>
    <d v="2025-05-29T00:00:00"/>
    <n v="5"/>
    <n v="29"/>
    <n v="2025"/>
    <x v="3"/>
    <s v="Q2"/>
    <x v="2"/>
  </r>
  <r>
    <s v="O102064"/>
    <x v="457"/>
    <x v="2"/>
    <x v="6"/>
    <x v="3"/>
    <x v="1"/>
    <n v="3"/>
    <n v="75386"/>
    <d v="2025-06-05T00:00:00"/>
    <n v="6"/>
    <n v="5"/>
    <n v="2025"/>
    <x v="2"/>
    <s v="Q2"/>
    <x v="3"/>
  </r>
  <r>
    <s v="O102320"/>
    <x v="392"/>
    <x v="6"/>
    <x v="7"/>
    <x v="0"/>
    <x v="0"/>
    <n v="5"/>
    <n v="75371"/>
    <d v="2025-05-21T00:00:00"/>
    <n v="5"/>
    <n v="21"/>
    <n v="2025"/>
    <x v="3"/>
    <s v="Q2"/>
    <x v="0"/>
  </r>
  <r>
    <s v="O108665"/>
    <x v="339"/>
    <x v="9"/>
    <x v="6"/>
    <x v="2"/>
    <x v="0"/>
    <n v="4"/>
    <n v="75370"/>
    <d v="2026-11-06T00:00:00"/>
    <n v="11"/>
    <n v="6"/>
    <n v="2026"/>
    <x v="0"/>
    <s v="Q4"/>
    <x v="2"/>
  </r>
  <r>
    <s v="O102415"/>
    <x v="247"/>
    <x v="10"/>
    <x v="6"/>
    <x v="2"/>
    <x v="0"/>
    <n v="3"/>
    <n v="75340"/>
    <d v="2025-05-27T00:00:00"/>
    <n v="5"/>
    <n v="27"/>
    <n v="2025"/>
    <x v="3"/>
    <s v="Q2"/>
    <x v="2"/>
  </r>
  <r>
    <s v="O108795"/>
    <x v="423"/>
    <x v="10"/>
    <x v="6"/>
    <x v="1"/>
    <x v="2"/>
    <n v="3"/>
    <n v="75331"/>
    <d v="2026-06-19T00:00:00"/>
    <n v="6"/>
    <n v="19"/>
    <n v="2026"/>
    <x v="2"/>
    <s v="Q2"/>
    <x v="1"/>
  </r>
  <r>
    <s v="O100865"/>
    <x v="556"/>
    <x v="3"/>
    <x v="7"/>
    <x v="3"/>
    <x v="2"/>
    <n v="5"/>
    <n v="75329"/>
    <d v="2025-02-22T00:00:00"/>
    <n v="2"/>
    <n v="22"/>
    <n v="2025"/>
    <x v="4"/>
    <s v="Q1"/>
    <x v="3"/>
  </r>
  <r>
    <s v="O104148"/>
    <x v="459"/>
    <x v="0"/>
    <x v="7"/>
    <x v="2"/>
    <x v="2"/>
    <n v="5"/>
    <n v="75277"/>
    <d v="2025-09-09T00:00:00"/>
    <n v="9"/>
    <n v="9"/>
    <n v="2025"/>
    <x v="1"/>
    <s v="Q3"/>
    <x v="2"/>
  </r>
  <r>
    <s v="O105242"/>
    <x v="714"/>
    <x v="1"/>
    <x v="6"/>
    <x v="0"/>
    <x v="2"/>
    <n v="4"/>
    <n v="75190"/>
    <d v="2025-11-15T00:00:00"/>
    <n v="11"/>
    <n v="15"/>
    <n v="2025"/>
    <x v="0"/>
    <s v="Q4"/>
    <x v="0"/>
  </r>
  <r>
    <s v="O110057"/>
    <x v="711"/>
    <x v="3"/>
    <x v="6"/>
    <x v="3"/>
    <x v="1"/>
    <n v="4"/>
    <n v="75184"/>
    <d v="2026-03-09T00:00:00"/>
    <n v="3"/>
    <n v="9"/>
    <n v="2026"/>
    <x v="5"/>
    <s v="Q1"/>
    <x v="3"/>
  </r>
  <r>
    <s v="O105932"/>
    <x v="403"/>
    <x v="2"/>
    <x v="7"/>
    <x v="1"/>
    <x v="3"/>
    <n v="5"/>
    <n v="75147"/>
    <d v="2025-12-27T00:00:00"/>
    <n v="12"/>
    <n v="27"/>
    <n v="2025"/>
    <x v="7"/>
    <s v="Q4"/>
    <x v="1"/>
  </r>
  <r>
    <s v="O102319"/>
    <x v="681"/>
    <x v="4"/>
    <x v="6"/>
    <x v="0"/>
    <x v="0"/>
    <n v="4"/>
    <n v="75108"/>
    <d v="2025-05-21T00:00:00"/>
    <n v="5"/>
    <n v="21"/>
    <n v="2025"/>
    <x v="3"/>
    <s v="Q2"/>
    <x v="0"/>
  </r>
  <r>
    <s v="O110878"/>
    <x v="92"/>
    <x v="9"/>
    <x v="6"/>
    <x v="4"/>
    <x v="0"/>
    <n v="4"/>
    <n v="75086"/>
    <d v="2026-10-23T00:00:00"/>
    <n v="10"/>
    <n v="23"/>
    <n v="2026"/>
    <x v="9"/>
    <s v="Q4"/>
    <x v="4"/>
  </r>
  <r>
    <s v="O100478"/>
    <x v="324"/>
    <x v="10"/>
    <x v="6"/>
    <x v="4"/>
    <x v="2"/>
    <n v="4"/>
    <n v="75071"/>
    <d v="2025-01-29T00:00:00"/>
    <n v="1"/>
    <n v="29"/>
    <n v="2025"/>
    <x v="6"/>
    <m/>
    <x v="4"/>
  </r>
  <r>
    <s v="O101182"/>
    <x v="615"/>
    <x v="7"/>
    <x v="7"/>
    <x v="0"/>
    <x v="3"/>
    <n v="6"/>
    <n v="75016"/>
    <d v="2025-03-13T00:00:00"/>
    <n v="3"/>
    <n v="13"/>
    <n v="2025"/>
    <x v="5"/>
    <s v="Q1"/>
    <x v="0"/>
  </r>
  <r>
    <s v="O103066"/>
    <x v="247"/>
    <x v="9"/>
    <x v="7"/>
    <x v="0"/>
    <x v="0"/>
    <n v="6"/>
    <n v="74911"/>
    <d v="2025-06-07T00:00:00"/>
    <n v="6"/>
    <n v="7"/>
    <n v="2025"/>
    <x v="2"/>
    <s v="Q2"/>
    <x v="0"/>
  </r>
  <r>
    <s v="O100444"/>
    <x v="302"/>
    <x v="3"/>
    <x v="7"/>
    <x v="4"/>
    <x v="0"/>
    <n v="6"/>
    <n v="74879"/>
    <d v="2025-01-27T00:00:00"/>
    <n v="1"/>
    <n v="27"/>
    <n v="2025"/>
    <x v="6"/>
    <s v="Q1"/>
    <x v="4"/>
  </r>
  <r>
    <s v="O110790"/>
    <x v="328"/>
    <x v="1"/>
    <x v="7"/>
    <x v="1"/>
    <x v="2"/>
    <n v="4"/>
    <n v="74864"/>
    <d v="2026-10-18T00:00:00"/>
    <n v="10"/>
    <n v="18"/>
    <n v="2026"/>
    <x v="9"/>
    <s v="Q4"/>
    <x v="1"/>
  </r>
  <r>
    <s v="O103537"/>
    <x v="403"/>
    <x v="2"/>
    <x v="7"/>
    <x v="4"/>
    <x v="3"/>
    <n v="4"/>
    <n v="74831"/>
    <d v="2025-03-08T00:00:00"/>
    <n v="3"/>
    <n v="8"/>
    <n v="2025"/>
    <x v="5"/>
    <s v="Q1"/>
    <x v="4"/>
  </r>
  <r>
    <s v="O107135"/>
    <x v="121"/>
    <x v="0"/>
    <x v="6"/>
    <x v="0"/>
    <x v="3"/>
    <n v="3"/>
    <n v="74738"/>
    <d v="2026-10-03T00:00:00"/>
    <n v="10"/>
    <n v="3"/>
    <n v="2026"/>
    <x v="9"/>
    <s v="Q4"/>
    <x v="0"/>
  </r>
  <r>
    <s v="O100387"/>
    <x v="239"/>
    <x v="2"/>
    <x v="7"/>
    <x v="3"/>
    <x v="2"/>
    <n v="4"/>
    <n v="74576"/>
    <d v="2025-01-24T00:00:00"/>
    <n v="1"/>
    <n v="24"/>
    <n v="2025"/>
    <x v="6"/>
    <s v="Q1"/>
    <x v="3"/>
  </r>
  <r>
    <s v="O107773"/>
    <x v="614"/>
    <x v="2"/>
    <x v="7"/>
    <x v="0"/>
    <x v="1"/>
    <n v="4"/>
    <n v="74568"/>
    <d v="2026-04-18T00:00:00"/>
    <n v="4"/>
    <n v="18"/>
    <n v="2026"/>
    <x v="11"/>
    <s v="Q2"/>
    <x v="0"/>
  </r>
  <r>
    <s v="O111947"/>
    <x v="799"/>
    <x v="3"/>
    <x v="7"/>
    <x v="3"/>
    <x v="2"/>
    <n v="6"/>
    <n v="74568"/>
    <d v="2026-12-27T00:00:00"/>
    <n v="12"/>
    <n v="27"/>
    <n v="2026"/>
    <x v="7"/>
    <s v="Q4"/>
    <x v="3"/>
  </r>
  <r>
    <s v="O109352"/>
    <x v="592"/>
    <x v="3"/>
    <x v="7"/>
    <x v="2"/>
    <x v="0"/>
    <n v="4"/>
    <n v="74406"/>
    <d v="2026-07-23T00:00:00"/>
    <n v="7"/>
    <n v="23"/>
    <n v="2026"/>
    <x v="10"/>
    <s v="Q3"/>
    <x v="2"/>
  </r>
  <r>
    <s v="O111492"/>
    <x v="771"/>
    <x v="2"/>
    <x v="7"/>
    <x v="4"/>
    <x v="0"/>
    <n v="5"/>
    <n v="74235"/>
    <d v="2026-11-30T00:00:00"/>
    <n v="11"/>
    <n v="30"/>
    <n v="2026"/>
    <x v="0"/>
    <s v="Q4"/>
    <x v="4"/>
  </r>
  <r>
    <s v="O104577"/>
    <x v="141"/>
    <x v="6"/>
    <x v="7"/>
    <x v="3"/>
    <x v="2"/>
    <n v="4"/>
    <n v="74205"/>
    <d v="2025-06-10T00:00:00"/>
    <n v="6"/>
    <n v="10"/>
    <n v="2025"/>
    <x v="2"/>
    <s v="Q2"/>
    <x v="3"/>
  </r>
  <r>
    <s v="O102148"/>
    <x v="357"/>
    <x v="6"/>
    <x v="7"/>
    <x v="2"/>
    <x v="3"/>
    <n v="6"/>
    <n v="74150"/>
    <d v="2025-11-05T00:00:00"/>
    <n v="11"/>
    <n v="5"/>
    <n v="2025"/>
    <x v="0"/>
    <s v="Q4"/>
    <x v="2"/>
  </r>
  <r>
    <s v="O105706"/>
    <x v="300"/>
    <x v="10"/>
    <x v="7"/>
    <x v="1"/>
    <x v="3"/>
    <n v="4"/>
    <n v="74147"/>
    <d v="2025-12-13T00:00:00"/>
    <n v="12"/>
    <n v="13"/>
    <n v="2025"/>
    <x v="7"/>
    <s v="Q4"/>
    <x v="1"/>
  </r>
  <r>
    <s v="O107032"/>
    <x v="361"/>
    <x v="5"/>
    <x v="7"/>
    <x v="2"/>
    <x v="3"/>
    <n v="6"/>
    <n v="74125"/>
    <d v="2026-04-03T00:00:00"/>
    <n v="4"/>
    <n v="3"/>
    <n v="2026"/>
    <x v="11"/>
    <s v="Q2"/>
    <x v="2"/>
  </r>
  <r>
    <s v="O109270"/>
    <x v="754"/>
    <x v="3"/>
    <x v="7"/>
    <x v="1"/>
    <x v="2"/>
    <n v="6"/>
    <n v="74115"/>
    <d v="2026-07-18T00:00:00"/>
    <n v="7"/>
    <n v="18"/>
    <n v="2026"/>
    <x v="10"/>
    <s v="Q3"/>
    <x v="1"/>
  </r>
  <r>
    <s v="O104587"/>
    <x v="702"/>
    <x v="1"/>
    <x v="7"/>
    <x v="4"/>
    <x v="3"/>
    <n v="5"/>
    <n v="74092"/>
    <d v="2025-06-10T00:00:00"/>
    <n v="6"/>
    <n v="10"/>
    <n v="2025"/>
    <x v="2"/>
    <s v="Q2"/>
    <x v="4"/>
  </r>
  <r>
    <s v="O105829"/>
    <x v="196"/>
    <x v="8"/>
    <x v="7"/>
    <x v="1"/>
    <x v="0"/>
    <n v="5"/>
    <n v="74024"/>
    <d v="2025-12-21T00:00:00"/>
    <n v="12"/>
    <n v="21"/>
    <n v="2025"/>
    <x v="7"/>
    <s v="Q4"/>
    <x v="1"/>
  </r>
  <r>
    <s v="O101637"/>
    <x v="156"/>
    <x v="6"/>
    <x v="7"/>
    <x v="4"/>
    <x v="2"/>
    <n v="6"/>
    <n v="73992"/>
    <d v="2025-10-04T00:00:00"/>
    <n v="10"/>
    <n v="4"/>
    <n v="2025"/>
    <x v="9"/>
    <s v="Q4"/>
    <x v="4"/>
  </r>
  <r>
    <s v="O100528"/>
    <x v="531"/>
    <x v="6"/>
    <x v="7"/>
    <x v="3"/>
    <x v="2"/>
    <n v="4"/>
    <n v="73961"/>
    <d v="2025-02-02T00:00:00"/>
    <n v="2"/>
    <n v="2"/>
    <n v="2025"/>
    <x v="4"/>
    <s v="Q1"/>
    <x v="3"/>
  </r>
  <r>
    <s v="O103381"/>
    <x v="239"/>
    <x v="3"/>
    <x v="7"/>
    <x v="0"/>
    <x v="0"/>
    <n v="4"/>
    <n v="73922"/>
    <d v="2025-07-25T00:00:00"/>
    <n v="7"/>
    <n v="25"/>
    <n v="2025"/>
    <x v="10"/>
    <s v="Q3"/>
    <x v="0"/>
  </r>
  <r>
    <s v="O107755"/>
    <x v="669"/>
    <x v="2"/>
    <x v="7"/>
    <x v="4"/>
    <x v="0"/>
    <n v="5"/>
    <n v="73806"/>
    <d v="2026-04-17T00:00:00"/>
    <n v="4"/>
    <n v="17"/>
    <n v="2026"/>
    <x v="11"/>
    <s v="Q2"/>
    <x v="4"/>
  </r>
  <r>
    <s v="O109224"/>
    <x v="303"/>
    <x v="3"/>
    <x v="7"/>
    <x v="4"/>
    <x v="1"/>
    <n v="6"/>
    <n v="73753"/>
    <d v="2026-07-15T00:00:00"/>
    <n v="7"/>
    <n v="15"/>
    <n v="2026"/>
    <x v="10"/>
    <s v="Q3"/>
    <x v="4"/>
  </r>
  <r>
    <s v="O100644"/>
    <x v="642"/>
    <x v="1"/>
    <x v="7"/>
    <x v="1"/>
    <x v="3"/>
    <n v="6"/>
    <n v="73745"/>
    <d v="2025-09-02T00:00:00"/>
    <n v="9"/>
    <n v="2"/>
    <n v="2025"/>
    <x v="1"/>
    <s v="Q3"/>
    <x v="1"/>
  </r>
  <r>
    <s v="O107728"/>
    <x v="599"/>
    <x v="5"/>
    <x v="6"/>
    <x v="0"/>
    <x v="2"/>
    <n v="3"/>
    <n v="73657"/>
    <d v="2026-04-15T00:00:00"/>
    <n v="4"/>
    <n v="15"/>
    <n v="2026"/>
    <x v="11"/>
    <s v="Q2"/>
    <x v="0"/>
  </r>
  <r>
    <s v="O111594"/>
    <x v="512"/>
    <x v="4"/>
    <x v="7"/>
    <x v="4"/>
    <x v="2"/>
    <n v="5"/>
    <n v="73547"/>
    <d v="2026-06-12T00:00:00"/>
    <n v="6"/>
    <n v="12"/>
    <n v="2026"/>
    <x v="2"/>
    <s v="Q2"/>
    <x v="4"/>
  </r>
  <r>
    <s v="O109434"/>
    <x v="125"/>
    <x v="1"/>
    <x v="7"/>
    <x v="4"/>
    <x v="1"/>
    <n v="4"/>
    <n v="73530"/>
    <d v="2026-07-28T00:00:00"/>
    <n v="7"/>
    <n v="28"/>
    <n v="2026"/>
    <x v="10"/>
    <s v="Q3"/>
    <x v="4"/>
  </r>
  <r>
    <s v="O106529"/>
    <x v="532"/>
    <x v="6"/>
    <x v="7"/>
    <x v="4"/>
    <x v="3"/>
    <n v="4"/>
    <n v="73499"/>
    <d v="2026-01-02T00:00:00"/>
    <n v="1"/>
    <n v="2"/>
    <n v="2026"/>
    <x v="6"/>
    <s v="Q1"/>
    <x v="4"/>
  </r>
  <r>
    <s v="O103362"/>
    <x v="399"/>
    <x v="9"/>
    <x v="7"/>
    <x v="0"/>
    <x v="2"/>
    <n v="4"/>
    <n v="73266"/>
    <d v="2025-07-24T00:00:00"/>
    <n v="7"/>
    <n v="24"/>
    <n v="2025"/>
    <x v="10"/>
    <s v="Q3"/>
    <x v="0"/>
  </r>
  <r>
    <s v="O105841"/>
    <x v="360"/>
    <x v="5"/>
    <x v="7"/>
    <x v="0"/>
    <x v="1"/>
    <n v="4"/>
    <n v="73204"/>
    <d v="2025-12-21T00:00:00"/>
    <n v="12"/>
    <n v="21"/>
    <n v="2025"/>
    <x v="7"/>
    <s v="Q4"/>
    <x v="0"/>
  </r>
  <r>
    <s v="O108894"/>
    <x v="213"/>
    <x v="3"/>
    <x v="6"/>
    <x v="1"/>
    <x v="1"/>
    <n v="3"/>
    <n v="73201"/>
    <d v="2026-06-25T00:00:00"/>
    <n v="6"/>
    <n v="25"/>
    <n v="2026"/>
    <x v="2"/>
    <m/>
    <x v="1"/>
  </r>
  <r>
    <s v="O101899"/>
    <x v="63"/>
    <x v="0"/>
    <x v="7"/>
    <x v="3"/>
    <x v="2"/>
    <n v="4"/>
    <n v="73173"/>
    <d v="2025-04-26T00:00:00"/>
    <n v="4"/>
    <n v="26"/>
    <n v="2025"/>
    <x v="11"/>
    <s v="Q2"/>
    <x v="3"/>
  </r>
  <r>
    <s v="O100251"/>
    <x v="622"/>
    <x v="5"/>
    <x v="7"/>
    <x v="0"/>
    <x v="3"/>
    <n v="4"/>
    <n v="73048"/>
    <d v="2025-01-16T00:00:00"/>
    <n v="1"/>
    <n v="16"/>
    <n v="2025"/>
    <x v="6"/>
    <s v="Q1"/>
    <x v="0"/>
  </r>
  <r>
    <s v="O105163"/>
    <x v="465"/>
    <x v="1"/>
    <x v="7"/>
    <x v="5"/>
    <x v="1"/>
    <n v="4"/>
    <n v="72974"/>
    <d v="2025-10-11T00:00:00"/>
    <n v="10"/>
    <n v="11"/>
    <n v="2025"/>
    <x v="9"/>
    <s v="Q4"/>
    <x v="5"/>
  </r>
  <r>
    <s v="O109182"/>
    <x v="221"/>
    <x v="10"/>
    <x v="7"/>
    <x v="4"/>
    <x v="1"/>
    <n v="4"/>
    <n v="72967"/>
    <d v="2026-12-07T00:00:00"/>
    <n v="12"/>
    <n v="7"/>
    <n v="2026"/>
    <x v="7"/>
    <s v="Q4"/>
    <x v="4"/>
  </r>
  <r>
    <s v="O107168"/>
    <x v="678"/>
    <x v="10"/>
    <x v="6"/>
    <x v="1"/>
    <x v="3"/>
    <n v="3"/>
    <n v="72909"/>
    <d v="2026-12-03T00:00:00"/>
    <n v="12"/>
    <n v="3"/>
    <n v="2026"/>
    <x v="7"/>
    <s v="Q4"/>
    <x v="1"/>
  </r>
  <r>
    <s v="O110458"/>
    <x v="430"/>
    <x v="4"/>
    <x v="7"/>
    <x v="3"/>
    <x v="0"/>
    <n v="6"/>
    <n v="72892"/>
    <d v="2026-09-28T00:00:00"/>
    <n v="9"/>
    <n v="28"/>
    <n v="2026"/>
    <x v="1"/>
    <s v="Q3"/>
    <x v="3"/>
  </r>
  <r>
    <s v="O100905"/>
    <x v="88"/>
    <x v="8"/>
    <x v="6"/>
    <x v="4"/>
    <x v="0"/>
    <n v="3"/>
    <n v="72853"/>
    <d v="2025-02-24T00:00:00"/>
    <n v="2"/>
    <n v="24"/>
    <n v="2025"/>
    <x v="4"/>
    <s v="Q1"/>
    <x v="4"/>
  </r>
  <r>
    <s v="O100145"/>
    <x v="756"/>
    <x v="6"/>
    <x v="7"/>
    <x v="3"/>
    <x v="0"/>
    <n v="5"/>
    <n v="72837"/>
    <d v="2025-09-01T00:00:00"/>
    <n v="9"/>
    <n v="1"/>
    <n v="2025"/>
    <x v="1"/>
    <s v="Q3"/>
    <x v="3"/>
  </r>
  <r>
    <s v="O110943"/>
    <x v="355"/>
    <x v="3"/>
    <x v="7"/>
    <x v="1"/>
    <x v="3"/>
    <n v="5"/>
    <n v="72724"/>
    <d v="2026-10-27T00:00:00"/>
    <n v="10"/>
    <n v="27"/>
    <n v="2026"/>
    <x v="9"/>
    <s v="Q4"/>
    <x v="1"/>
  </r>
  <r>
    <s v="O104998"/>
    <x v="121"/>
    <x v="6"/>
    <x v="7"/>
    <x v="2"/>
    <x v="1"/>
    <n v="6"/>
    <n v="72698"/>
    <d v="2025-10-31T00:00:00"/>
    <n v="10"/>
    <n v="31"/>
    <n v="2025"/>
    <x v="9"/>
    <s v="Q4"/>
    <x v="2"/>
  </r>
  <r>
    <s v="O101695"/>
    <x v="395"/>
    <x v="8"/>
    <x v="7"/>
    <x v="4"/>
    <x v="3"/>
    <n v="6"/>
    <n v="72665"/>
    <d v="2025-04-13T00:00:00"/>
    <n v="4"/>
    <n v="13"/>
    <n v="2025"/>
    <x v="11"/>
    <s v="Q2"/>
    <x v="4"/>
  </r>
  <r>
    <s v="O105807"/>
    <x v="197"/>
    <x v="0"/>
    <x v="7"/>
    <x v="2"/>
    <x v="0"/>
    <n v="6"/>
    <n v="72658"/>
    <d v="2025-12-19T00:00:00"/>
    <n v="12"/>
    <n v="19"/>
    <n v="2025"/>
    <x v="7"/>
    <s v="Q4"/>
    <x v="2"/>
  </r>
  <r>
    <s v="O109380"/>
    <x v="751"/>
    <x v="1"/>
    <x v="7"/>
    <x v="0"/>
    <x v="1"/>
    <n v="6"/>
    <n v="72624"/>
    <d v="2026-07-24T00:00:00"/>
    <n v="7"/>
    <n v="24"/>
    <n v="2026"/>
    <x v="10"/>
    <s v="Q3"/>
    <x v="0"/>
  </r>
  <r>
    <s v="O102292"/>
    <x v="450"/>
    <x v="6"/>
    <x v="7"/>
    <x v="2"/>
    <x v="1"/>
    <n v="4"/>
    <n v="72617"/>
    <d v="2025-05-20T00:00:00"/>
    <n v="5"/>
    <n v="20"/>
    <n v="2025"/>
    <x v="3"/>
    <s v="Q2"/>
    <x v="2"/>
  </r>
  <r>
    <s v="O106894"/>
    <x v="5"/>
    <x v="2"/>
    <x v="7"/>
    <x v="2"/>
    <x v="3"/>
    <n v="6"/>
    <n v="72525"/>
    <d v="2026-02-23T00:00:00"/>
    <n v="2"/>
    <n v="23"/>
    <n v="2026"/>
    <x v="4"/>
    <s v="Q1"/>
    <x v="2"/>
  </r>
  <r>
    <s v="O100825"/>
    <x v="591"/>
    <x v="3"/>
    <x v="6"/>
    <x v="4"/>
    <x v="3"/>
    <n v="3"/>
    <n v="72450"/>
    <d v="2025-02-20T00:00:00"/>
    <n v="2"/>
    <n v="20"/>
    <n v="2025"/>
    <x v="4"/>
    <s v="Q1"/>
    <x v="4"/>
  </r>
  <r>
    <s v="O111651"/>
    <x v="122"/>
    <x v="10"/>
    <x v="7"/>
    <x v="0"/>
    <x v="2"/>
    <n v="4"/>
    <n v="72448"/>
    <d v="2026-09-12T00:00:00"/>
    <n v="9"/>
    <n v="12"/>
    <n v="2026"/>
    <x v="1"/>
    <s v="Q3"/>
    <x v="0"/>
  </r>
  <r>
    <s v="O100818"/>
    <x v="607"/>
    <x v="4"/>
    <x v="7"/>
    <x v="0"/>
    <x v="1"/>
    <n v="4"/>
    <n v="72445"/>
    <d v="2025-02-19T00:00:00"/>
    <n v="2"/>
    <n v="19"/>
    <n v="2025"/>
    <x v="4"/>
    <s v="Q1"/>
    <x v="0"/>
  </r>
  <r>
    <s v="O111464"/>
    <x v="152"/>
    <x v="10"/>
    <x v="7"/>
    <x v="0"/>
    <x v="0"/>
    <n v="5"/>
    <n v="72380"/>
    <d v="2026-11-28T00:00:00"/>
    <n v="11"/>
    <n v="28"/>
    <n v="2026"/>
    <x v="0"/>
    <s v="Q4"/>
    <x v="0"/>
  </r>
  <r>
    <s v="O101468"/>
    <x v="658"/>
    <x v="10"/>
    <x v="7"/>
    <x v="2"/>
    <x v="3"/>
    <n v="4"/>
    <n v="72271"/>
    <d v="2025-03-31T00:00:00"/>
    <n v="3"/>
    <n v="31"/>
    <n v="2025"/>
    <x v="5"/>
    <s v="Q1"/>
    <x v="2"/>
  </r>
  <r>
    <s v="O102825"/>
    <x v="568"/>
    <x v="10"/>
    <x v="7"/>
    <x v="4"/>
    <x v="3"/>
    <n v="5"/>
    <n v="72267"/>
    <d v="2025-06-21T00:00:00"/>
    <n v="6"/>
    <n v="21"/>
    <n v="2025"/>
    <x v="2"/>
    <s v="Q2"/>
    <x v="4"/>
  </r>
  <r>
    <s v="O104491"/>
    <x v="86"/>
    <x v="10"/>
    <x v="7"/>
    <x v="2"/>
    <x v="3"/>
    <n v="6"/>
    <n v="72193"/>
    <d v="2025-09-30T00:00:00"/>
    <n v="9"/>
    <n v="30"/>
    <n v="2025"/>
    <x v="1"/>
    <s v="Q3"/>
    <x v="2"/>
  </r>
  <r>
    <s v="O106673"/>
    <x v="761"/>
    <x v="10"/>
    <x v="7"/>
    <x v="1"/>
    <x v="1"/>
    <n v="5"/>
    <n v="72141"/>
    <d v="2026-10-02T00:00:00"/>
    <n v="10"/>
    <n v="2"/>
    <n v="2026"/>
    <x v="9"/>
    <s v="Q4"/>
    <x v="1"/>
  </r>
  <r>
    <s v="O102016"/>
    <x v="238"/>
    <x v="5"/>
    <x v="7"/>
    <x v="4"/>
    <x v="1"/>
    <n v="4"/>
    <n v="72101"/>
    <d v="2025-03-05T00:00:00"/>
    <n v="3"/>
    <n v="5"/>
    <n v="2025"/>
    <x v="5"/>
    <s v="Q1"/>
    <x v="4"/>
  </r>
  <r>
    <s v="O111075"/>
    <x v="122"/>
    <x v="8"/>
    <x v="7"/>
    <x v="1"/>
    <x v="2"/>
    <n v="4"/>
    <n v="71955"/>
    <d v="2026-04-11T00:00:00"/>
    <n v="4"/>
    <n v="11"/>
    <n v="2026"/>
    <x v="11"/>
    <s v="Q2"/>
    <x v="1"/>
  </r>
  <r>
    <s v="O104181"/>
    <x v="585"/>
    <x v="0"/>
    <x v="7"/>
    <x v="3"/>
    <x v="0"/>
    <n v="6"/>
    <n v="71933"/>
    <d v="2025-11-09T00:00:00"/>
    <n v="11"/>
    <n v="9"/>
    <n v="2025"/>
    <x v="0"/>
    <s v="Q4"/>
    <x v="3"/>
  </r>
  <r>
    <s v="O103293"/>
    <x v="722"/>
    <x v="2"/>
    <x v="7"/>
    <x v="1"/>
    <x v="1"/>
    <n v="6"/>
    <n v="71877"/>
    <d v="2025-07-20T00:00:00"/>
    <n v="7"/>
    <n v="20"/>
    <n v="2025"/>
    <x v="10"/>
    <s v="Q3"/>
    <x v="1"/>
  </r>
  <r>
    <s v="O103615"/>
    <x v="735"/>
    <x v="0"/>
    <x v="7"/>
    <x v="1"/>
    <x v="3"/>
    <n v="5"/>
    <n v="71862"/>
    <d v="2025-08-08T00:00:00"/>
    <n v="8"/>
    <n v="8"/>
    <n v="2025"/>
    <x v="8"/>
    <s v="Q3"/>
    <x v="1"/>
  </r>
  <r>
    <s v="O101604"/>
    <x v="319"/>
    <x v="9"/>
    <x v="7"/>
    <x v="0"/>
    <x v="0"/>
    <n v="4"/>
    <n v="71854"/>
    <d v="2025-08-04T00:00:00"/>
    <n v="8"/>
    <n v="4"/>
    <n v="2025"/>
    <x v="8"/>
    <s v="Q3"/>
    <x v="0"/>
  </r>
  <r>
    <s v="O107466"/>
    <x v="211"/>
    <x v="1"/>
    <x v="7"/>
    <x v="2"/>
    <x v="3"/>
    <n v="5"/>
    <n v="71833"/>
    <d v="2026-03-30T00:00:00"/>
    <n v="3"/>
    <n v="30"/>
    <n v="2026"/>
    <x v="5"/>
    <s v="Q1"/>
    <x v="2"/>
  </r>
  <r>
    <s v="O102713"/>
    <x v="316"/>
    <x v="5"/>
    <x v="7"/>
    <x v="0"/>
    <x v="3"/>
    <n v="5"/>
    <n v="71788"/>
    <d v="2025-06-14T00:00:00"/>
    <n v="6"/>
    <n v="14"/>
    <n v="2025"/>
    <x v="2"/>
    <s v="Q2"/>
    <x v="0"/>
  </r>
  <r>
    <s v="O109131"/>
    <x v="212"/>
    <x v="4"/>
    <x v="7"/>
    <x v="0"/>
    <x v="1"/>
    <n v="5"/>
    <n v="71749"/>
    <d v="2026-09-07T00:00:00"/>
    <n v="9"/>
    <n v="7"/>
    <n v="2026"/>
    <x v="1"/>
    <s v="Q3"/>
    <x v="0"/>
  </r>
  <r>
    <s v="O108635"/>
    <x v="255"/>
    <x v="1"/>
    <x v="7"/>
    <x v="1"/>
    <x v="0"/>
    <n v="6"/>
    <n v="71667"/>
    <d v="2026-09-06T00:00:00"/>
    <n v="9"/>
    <n v="6"/>
    <n v="2026"/>
    <x v="1"/>
    <s v="Q3"/>
    <x v="1"/>
  </r>
  <r>
    <s v="O100986"/>
    <x v="641"/>
    <x v="1"/>
    <x v="6"/>
    <x v="4"/>
    <x v="2"/>
    <n v="3"/>
    <n v="71420"/>
    <d v="2025-01-03T00:00:00"/>
    <n v="1"/>
    <n v="3"/>
    <n v="2025"/>
    <x v="6"/>
    <s v="Q1"/>
    <x v="4"/>
  </r>
  <r>
    <s v="O109911"/>
    <x v="267"/>
    <x v="2"/>
    <x v="7"/>
    <x v="0"/>
    <x v="1"/>
    <n v="4"/>
    <n v="71367"/>
    <d v="2026-08-26T00:00:00"/>
    <n v="8"/>
    <n v="26"/>
    <n v="2026"/>
    <x v="8"/>
    <s v="Q3"/>
    <x v="0"/>
  </r>
  <r>
    <s v="O105356"/>
    <x v="550"/>
    <x v="6"/>
    <x v="7"/>
    <x v="1"/>
    <x v="3"/>
    <n v="4"/>
    <n v="71356"/>
    <d v="2025-11-22T00:00:00"/>
    <n v="11"/>
    <n v="22"/>
    <n v="2025"/>
    <x v="0"/>
    <s v="Q4"/>
    <x v="1"/>
  </r>
  <r>
    <s v="O102005"/>
    <x v="309"/>
    <x v="4"/>
    <x v="7"/>
    <x v="1"/>
    <x v="0"/>
    <n v="5"/>
    <n v="71352"/>
    <d v="2025-02-05T00:00:00"/>
    <n v="2"/>
    <n v="5"/>
    <n v="2025"/>
    <x v="4"/>
    <m/>
    <x v="1"/>
  </r>
  <r>
    <s v="O110984"/>
    <x v="22"/>
    <x v="1"/>
    <x v="7"/>
    <x v="4"/>
    <x v="1"/>
    <n v="4"/>
    <n v="71338"/>
    <d v="2026-10-30T00:00:00"/>
    <n v="10"/>
    <n v="30"/>
    <n v="2026"/>
    <x v="9"/>
    <s v="Q4"/>
    <x v="4"/>
  </r>
  <r>
    <s v="O106933"/>
    <x v="567"/>
    <x v="0"/>
    <x v="6"/>
    <x v="3"/>
    <x v="1"/>
    <n v="3"/>
    <n v="71248"/>
    <d v="2026-02-26T00:00:00"/>
    <n v="2"/>
    <n v="26"/>
    <n v="2026"/>
    <x v="4"/>
    <s v="Q1"/>
    <x v="3"/>
  </r>
  <r>
    <s v="O101059"/>
    <x v="361"/>
    <x v="10"/>
    <x v="6"/>
    <x v="2"/>
    <x v="0"/>
    <n v="3"/>
    <n v="71238"/>
    <d v="2025-06-03T00:00:00"/>
    <n v="6"/>
    <n v="3"/>
    <n v="2025"/>
    <x v="2"/>
    <s v="Q2"/>
    <x v="2"/>
  </r>
  <r>
    <s v="O101288"/>
    <x v="791"/>
    <x v="2"/>
    <x v="7"/>
    <x v="0"/>
    <x v="0"/>
    <n v="6"/>
    <n v="71209"/>
    <d v="2025-03-20T00:00:00"/>
    <n v="3"/>
    <n v="20"/>
    <n v="2025"/>
    <x v="5"/>
    <s v="Q1"/>
    <x v="0"/>
  </r>
  <r>
    <s v="O107909"/>
    <x v="579"/>
    <x v="5"/>
    <x v="7"/>
    <x v="0"/>
    <x v="0"/>
    <n v="5"/>
    <n v="71179"/>
    <d v="2026-04-26T00:00:00"/>
    <n v="4"/>
    <n v="26"/>
    <n v="2026"/>
    <x v="11"/>
    <s v="Q2"/>
    <x v="0"/>
  </r>
  <r>
    <s v="O104975"/>
    <x v="109"/>
    <x v="9"/>
    <x v="7"/>
    <x v="4"/>
    <x v="0"/>
    <n v="4"/>
    <n v="71131"/>
    <d v="2025-10-30T00:00:00"/>
    <n v="10"/>
    <n v="30"/>
    <n v="2025"/>
    <x v="9"/>
    <s v="Q4"/>
    <x v="4"/>
  </r>
  <r>
    <s v="O100551"/>
    <x v="628"/>
    <x v="2"/>
    <x v="6"/>
    <x v="3"/>
    <x v="3"/>
    <n v="3"/>
    <n v="71079"/>
    <d v="2025-03-02T00:00:00"/>
    <n v="3"/>
    <n v="2"/>
    <n v="2025"/>
    <x v="5"/>
    <s v="Q1"/>
    <x v="3"/>
  </r>
  <r>
    <s v="O105911"/>
    <x v="606"/>
    <x v="4"/>
    <x v="7"/>
    <x v="1"/>
    <x v="3"/>
    <n v="6"/>
    <n v="71071"/>
    <d v="2025-12-26T00:00:00"/>
    <n v="12"/>
    <n v="26"/>
    <n v="2025"/>
    <x v="7"/>
    <s v="Q4"/>
    <x v="1"/>
  </r>
  <r>
    <s v="O110038"/>
    <x v="107"/>
    <x v="3"/>
    <x v="7"/>
    <x v="3"/>
    <x v="2"/>
    <n v="4"/>
    <n v="71054"/>
    <d v="2026-02-09T00:00:00"/>
    <n v="2"/>
    <n v="9"/>
    <n v="2026"/>
    <x v="4"/>
    <s v="Q1"/>
    <x v="3"/>
  </r>
  <r>
    <s v="O106965"/>
    <x v="338"/>
    <x v="2"/>
    <x v="7"/>
    <x v="1"/>
    <x v="0"/>
    <n v="4"/>
    <n v="70999"/>
    <d v="2026-02-28T00:00:00"/>
    <n v="2"/>
    <n v="28"/>
    <n v="2026"/>
    <x v="4"/>
    <s v="Q1"/>
    <x v="1"/>
  </r>
  <r>
    <s v="O109175"/>
    <x v="630"/>
    <x v="4"/>
    <x v="7"/>
    <x v="4"/>
    <x v="1"/>
    <n v="6"/>
    <n v="70979"/>
    <d v="2026-12-07T00:00:00"/>
    <n v="12"/>
    <n v="7"/>
    <n v="2026"/>
    <x v="7"/>
    <s v="Q4"/>
    <x v="4"/>
  </r>
  <r>
    <s v="O103164"/>
    <x v="508"/>
    <x v="2"/>
    <x v="6"/>
    <x v="1"/>
    <x v="3"/>
    <n v="3"/>
    <n v="70959"/>
    <d v="2025-12-07T00:00:00"/>
    <n v="12"/>
    <n v="7"/>
    <n v="2025"/>
    <x v="7"/>
    <s v="Q4"/>
    <x v="1"/>
  </r>
  <r>
    <s v="O105496"/>
    <x v="412"/>
    <x v="0"/>
    <x v="7"/>
    <x v="4"/>
    <x v="0"/>
    <n v="6"/>
    <n v="70950"/>
    <d v="2025-11-30T00:00:00"/>
    <n v="11"/>
    <n v="30"/>
    <n v="2025"/>
    <x v="0"/>
    <s v="Q4"/>
    <x v="4"/>
  </r>
  <r>
    <s v="O104179"/>
    <x v="343"/>
    <x v="4"/>
    <x v="7"/>
    <x v="2"/>
    <x v="3"/>
    <n v="5"/>
    <n v="70927"/>
    <d v="2025-11-09T00:00:00"/>
    <n v="11"/>
    <n v="9"/>
    <n v="2025"/>
    <x v="0"/>
    <s v="Q4"/>
    <x v="2"/>
  </r>
  <r>
    <s v="O111415"/>
    <x v="615"/>
    <x v="5"/>
    <x v="7"/>
    <x v="1"/>
    <x v="2"/>
    <n v="4"/>
    <n v="70807"/>
    <d v="2026-11-25T00:00:00"/>
    <n v="11"/>
    <n v="25"/>
    <n v="2026"/>
    <x v="0"/>
    <s v="Q4"/>
    <x v="1"/>
  </r>
  <r>
    <s v="O105925"/>
    <x v="317"/>
    <x v="2"/>
    <x v="7"/>
    <x v="1"/>
    <x v="3"/>
    <n v="4"/>
    <n v="70796"/>
    <d v="2025-12-26T00:00:00"/>
    <n v="12"/>
    <n v="26"/>
    <n v="2025"/>
    <x v="7"/>
    <s v="Q4"/>
    <x v="1"/>
  </r>
  <r>
    <s v="O104078"/>
    <x v="150"/>
    <x v="1"/>
    <x v="7"/>
    <x v="2"/>
    <x v="1"/>
    <n v="6"/>
    <n v="70693"/>
    <d v="2025-05-09T00:00:00"/>
    <n v="5"/>
    <n v="9"/>
    <n v="2025"/>
    <x v="3"/>
    <s v="Q2"/>
    <x v="2"/>
  </r>
  <r>
    <s v="O104613"/>
    <x v="680"/>
    <x v="0"/>
    <x v="6"/>
    <x v="4"/>
    <x v="3"/>
    <n v="3"/>
    <n v="70665"/>
    <d v="2025-08-10T00:00:00"/>
    <n v="8"/>
    <n v="10"/>
    <n v="2025"/>
    <x v="8"/>
    <s v="Q3"/>
    <x v="4"/>
  </r>
  <r>
    <s v="O105466"/>
    <x v="591"/>
    <x v="1"/>
    <x v="6"/>
    <x v="1"/>
    <x v="4"/>
    <n v="3"/>
    <n v="70663"/>
    <d v="2025-11-29T00:00:00"/>
    <n v="11"/>
    <n v="29"/>
    <n v="2025"/>
    <x v="0"/>
    <s v="Q4"/>
    <x v="1"/>
  </r>
  <r>
    <s v="O109113"/>
    <x v="298"/>
    <x v="10"/>
    <x v="6"/>
    <x v="4"/>
    <x v="1"/>
    <n v="3"/>
    <n v="70619"/>
    <d v="2026-08-07T00:00:00"/>
    <n v="8"/>
    <n v="7"/>
    <n v="2026"/>
    <x v="8"/>
    <s v="Q3"/>
    <x v="4"/>
  </r>
  <r>
    <s v="O105702"/>
    <x v="699"/>
    <x v="1"/>
    <x v="7"/>
    <x v="2"/>
    <x v="4"/>
    <n v="6"/>
    <n v="70588"/>
    <d v="2025-12-13T00:00:00"/>
    <n v="12"/>
    <n v="13"/>
    <n v="2025"/>
    <x v="7"/>
    <s v="Q4"/>
    <x v="2"/>
  </r>
  <r>
    <s v="O100276"/>
    <x v="764"/>
    <x v="4"/>
    <x v="6"/>
    <x v="3"/>
    <x v="0"/>
    <n v="3"/>
    <n v="70544"/>
    <d v="2025-01-17T00:00:00"/>
    <n v="1"/>
    <n v="17"/>
    <n v="2025"/>
    <x v="6"/>
    <s v="Q1"/>
    <x v="3"/>
  </r>
  <r>
    <s v="O109021"/>
    <x v="557"/>
    <x v="5"/>
    <x v="7"/>
    <x v="0"/>
    <x v="1"/>
    <n v="4"/>
    <n v="70543"/>
    <d v="2026-03-07T00:00:00"/>
    <n v="3"/>
    <n v="7"/>
    <n v="2026"/>
    <x v="5"/>
    <s v="Q1"/>
    <x v="0"/>
  </r>
  <r>
    <s v="O108867"/>
    <x v="798"/>
    <x v="9"/>
    <x v="7"/>
    <x v="2"/>
    <x v="0"/>
    <n v="4"/>
    <n v="70448"/>
    <d v="2026-06-23T00:00:00"/>
    <n v="6"/>
    <n v="23"/>
    <n v="2026"/>
    <x v="2"/>
    <s v="Q2"/>
    <x v="2"/>
  </r>
  <r>
    <s v="O101769"/>
    <x v="615"/>
    <x v="6"/>
    <x v="7"/>
    <x v="3"/>
    <x v="1"/>
    <n v="4"/>
    <n v="70442"/>
    <d v="2025-04-18T00:00:00"/>
    <n v="4"/>
    <n v="18"/>
    <n v="2025"/>
    <x v="11"/>
    <s v="Q2"/>
    <x v="3"/>
  </r>
  <r>
    <s v="O110808"/>
    <x v="230"/>
    <x v="8"/>
    <x v="7"/>
    <x v="0"/>
    <x v="1"/>
    <n v="6"/>
    <n v="70437"/>
    <d v="2026-10-19T00:00:00"/>
    <n v="10"/>
    <n v="19"/>
    <n v="2026"/>
    <x v="9"/>
    <s v="Q4"/>
    <x v="0"/>
  </r>
  <r>
    <s v="O109256"/>
    <x v="612"/>
    <x v="10"/>
    <x v="7"/>
    <x v="1"/>
    <x v="3"/>
    <n v="4"/>
    <n v="70400"/>
    <d v="2026-07-17T00:00:00"/>
    <n v="7"/>
    <n v="17"/>
    <n v="2026"/>
    <x v="10"/>
    <s v="Q3"/>
    <x v="1"/>
  </r>
  <r>
    <s v="O102774"/>
    <x v="71"/>
    <x v="9"/>
    <x v="6"/>
    <x v="3"/>
    <x v="2"/>
    <n v="3"/>
    <n v="70386"/>
    <d v="2025-06-18T00:00:00"/>
    <n v="6"/>
    <n v="18"/>
    <n v="2025"/>
    <x v="2"/>
    <s v="Q2"/>
    <x v="3"/>
  </r>
  <r>
    <s v="O101064"/>
    <x v="691"/>
    <x v="0"/>
    <x v="7"/>
    <x v="0"/>
    <x v="3"/>
    <n v="4"/>
    <n v="70353"/>
    <d v="2025-06-03T00:00:00"/>
    <n v="6"/>
    <n v="3"/>
    <n v="2025"/>
    <x v="2"/>
    <m/>
    <x v="0"/>
  </r>
  <r>
    <s v="O110622"/>
    <x v="603"/>
    <x v="0"/>
    <x v="7"/>
    <x v="0"/>
    <x v="1"/>
    <n v="6"/>
    <n v="70140"/>
    <d v="2026-08-10T00:00:00"/>
    <n v="8"/>
    <n v="10"/>
    <n v="2026"/>
    <x v="8"/>
    <s v="Q3"/>
    <x v="0"/>
  </r>
  <r>
    <s v="O107222"/>
    <x v="472"/>
    <x v="5"/>
    <x v="7"/>
    <x v="1"/>
    <x v="0"/>
    <n v="5"/>
    <n v="70134"/>
    <d v="2026-03-15T00:00:00"/>
    <n v="3"/>
    <n v="15"/>
    <n v="2026"/>
    <x v="5"/>
    <s v="Q1"/>
    <x v="1"/>
  </r>
  <r>
    <s v="O110621"/>
    <x v="73"/>
    <x v="2"/>
    <x v="7"/>
    <x v="4"/>
    <x v="1"/>
    <n v="4"/>
    <n v="69965"/>
    <d v="2026-08-10T00:00:00"/>
    <n v="8"/>
    <n v="10"/>
    <n v="2026"/>
    <x v="8"/>
    <s v="Q3"/>
    <x v="4"/>
  </r>
  <r>
    <s v="O104837"/>
    <x v="9"/>
    <x v="8"/>
    <x v="7"/>
    <x v="4"/>
    <x v="3"/>
    <n v="5"/>
    <n v="69924"/>
    <d v="2025-10-21T00:00:00"/>
    <n v="10"/>
    <n v="21"/>
    <n v="2025"/>
    <x v="9"/>
    <s v="Q4"/>
    <x v="4"/>
  </r>
  <r>
    <s v="O103350"/>
    <x v="476"/>
    <x v="2"/>
    <x v="7"/>
    <x v="0"/>
    <x v="0"/>
    <n v="4"/>
    <n v="69894"/>
    <d v="2025-07-23T00:00:00"/>
    <n v="7"/>
    <n v="23"/>
    <n v="2025"/>
    <x v="10"/>
    <s v="Q3"/>
    <x v="0"/>
  </r>
  <r>
    <s v="O100657"/>
    <x v="758"/>
    <x v="5"/>
    <x v="7"/>
    <x v="0"/>
    <x v="0"/>
    <n v="4"/>
    <n v="69884"/>
    <d v="2025-09-02T00:00:00"/>
    <n v="9"/>
    <n v="2"/>
    <n v="2025"/>
    <x v="1"/>
    <s v="Q3"/>
    <x v="0"/>
  </r>
  <r>
    <s v="O104864"/>
    <x v="718"/>
    <x v="2"/>
    <x v="7"/>
    <x v="3"/>
    <x v="2"/>
    <n v="5"/>
    <n v="69854"/>
    <d v="2025-10-23T00:00:00"/>
    <n v="10"/>
    <n v="23"/>
    <n v="2025"/>
    <x v="9"/>
    <s v="Q4"/>
    <x v="3"/>
  </r>
  <r>
    <s v="O109965"/>
    <x v="722"/>
    <x v="3"/>
    <x v="6"/>
    <x v="2"/>
    <x v="0"/>
    <n v="3"/>
    <n v="69850"/>
    <d v="2026-08-29T00:00:00"/>
    <n v="8"/>
    <n v="29"/>
    <n v="2026"/>
    <x v="8"/>
    <s v="Q3"/>
    <x v="2"/>
  </r>
  <r>
    <s v="O107298"/>
    <x v="243"/>
    <x v="9"/>
    <x v="6"/>
    <x v="3"/>
    <x v="0"/>
    <n v="3"/>
    <n v="69834"/>
    <d v="2026-03-20T00:00:00"/>
    <n v="3"/>
    <n v="20"/>
    <n v="2026"/>
    <x v="5"/>
    <s v="Q1"/>
    <x v="3"/>
  </r>
  <r>
    <s v="O104331"/>
    <x v="60"/>
    <x v="4"/>
    <x v="7"/>
    <x v="1"/>
    <x v="2"/>
    <n v="4"/>
    <n v="69828"/>
    <d v="2025-09-21T00:00:00"/>
    <n v="9"/>
    <n v="21"/>
    <n v="2025"/>
    <x v="1"/>
    <s v="Q3"/>
    <x v="1"/>
  </r>
  <r>
    <s v="O109033"/>
    <x v="350"/>
    <x v="8"/>
    <x v="7"/>
    <x v="4"/>
    <x v="2"/>
    <n v="5"/>
    <n v="69790"/>
    <d v="2026-03-07T00:00:00"/>
    <n v="3"/>
    <n v="7"/>
    <n v="2026"/>
    <x v="5"/>
    <s v="Q1"/>
    <x v="4"/>
  </r>
  <r>
    <s v="O110339"/>
    <x v="771"/>
    <x v="10"/>
    <x v="7"/>
    <x v="3"/>
    <x v="2"/>
    <n v="5"/>
    <n v="69687"/>
    <d v="2026-09-21T00:00:00"/>
    <n v="9"/>
    <n v="21"/>
    <n v="2026"/>
    <x v="1"/>
    <s v="Q3"/>
    <x v="3"/>
  </r>
  <r>
    <s v="O111716"/>
    <x v="399"/>
    <x v="5"/>
    <x v="7"/>
    <x v="2"/>
    <x v="0"/>
    <n v="5"/>
    <n v="69637"/>
    <d v="2026-12-13T00:00:00"/>
    <n v="12"/>
    <n v="13"/>
    <n v="2026"/>
    <x v="7"/>
    <s v="Q4"/>
    <x v="2"/>
  </r>
  <r>
    <s v="O104019"/>
    <x v="722"/>
    <x v="10"/>
    <x v="7"/>
    <x v="3"/>
    <x v="0"/>
    <n v="4"/>
    <n v="69531"/>
    <d v="2025-02-09T00:00:00"/>
    <n v="2"/>
    <n v="9"/>
    <n v="2025"/>
    <x v="4"/>
    <s v="Q1"/>
    <x v="3"/>
  </r>
  <r>
    <s v="O104071"/>
    <x v="689"/>
    <x v="6"/>
    <x v="7"/>
    <x v="2"/>
    <x v="1"/>
    <n v="6"/>
    <n v="69529"/>
    <d v="2025-05-09T00:00:00"/>
    <n v="5"/>
    <n v="9"/>
    <n v="2025"/>
    <x v="3"/>
    <s v="Q2"/>
    <x v="2"/>
  </r>
  <r>
    <s v="O101492"/>
    <x v="239"/>
    <x v="8"/>
    <x v="7"/>
    <x v="1"/>
    <x v="3"/>
    <n v="5"/>
    <n v="69498"/>
    <d v="2025-01-04T00:00:00"/>
    <n v="1"/>
    <n v="4"/>
    <n v="2025"/>
    <x v="6"/>
    <s v="Q1"/>
    <x v="1"/>
  </r>
  <r>
    <s v="O106328"/>
    <x v="44"/>
    <x v="8"/>
    <x v="7"/>
    <x v="1"/>
    <x v="1"/>
    <n v="5"/>
    <n v="69460"/>
    <d v="2026-01-20T00:00:00"/>
    <n v="1"/>
    <n v="20"/>
    <n v="2026"/>
    <x v="6"/>
    <s v="Q1"/>
    <x v="1"/>
  </r>
  <r>
    <s v="O109011"/>
    <x v="579"/>
    <x v="0"/>
    <x v="7"/>
    <x v="1"/>
    <x v="1"/>
    <n v="5"/>
    <n v="69433"/>
    <d v="2026-02-07T00:00:00"/>
    <n v="2"/>
    <n v="7"/>
    <n v="2026"/>
    <x v="4"/>
    <s v="Q1"/>
    <x v="1"/>
  </r>
  <r>
    <s v="O110668"/>
    <x v="758"/>
    <x v="2"/>
    <x v="7"/>
    <x v="3"/>
    <x v="2"/>
    <n v="4"/>
    <n v="69379"/>
    <d v="2026-11-10T00:00:00"/>
    <n v="11"/>
    <n v="10"/>
    <n v="2026"/>
    <x v="0"/>
    <s v="Q4"/>
    <x v="3"/>
  </r>
  <r>
    <s v="O109376"/>
    <x v="551"/>
    <x v="6"/>
    <x v="7"/>
    <x v="2"/>
    <x v="3"/>
    <n v="4"/>
    <n v="69378"/>
    <d v="2026-07-24T00:00:00"/>
    <n v="7"/>
    <n v="24"/>
    <n v="2026"/>
    <x v="10"/>
    <s v="Q3"/>
    <x v="2"/>
  </r>
  <r>
    <s v="O108884"/>
    <x v="8"/>
    <x v="5"/>
    <x v="7"/>
    <x v="1"/>
    <x v="0"/>
    <n v="5"/>
    <n v="69332"/>
    <d v="2026-06-24T00:00:00"/>
    <n v="6"/>
    <n v="24"/>
    <n v="2026"/>
    <x v="2"/>
    <s v="Q2"/>
    <x v="1"/>
  </r>
  <r>
    <s v="O103441"/>
    <x v="299"/>
    <x v="2"/>
    <x v="7"/>
    <x v="0"/>
    <x v="3"/>
    <n v="6"/>
    <n v="69332"/>
    <d v="2025-07-28T00:00:00"/>
    <n v="7"/>
    <n v="28"/>
    <n v="2025"/>
    <x v="10"/>
    <s v="Q3"/>
    <x v="0"/>
  </r>
  <r>
    <s v="O101924"/>
    <x v="525"/>
    <x v="3"/>
    <x v="7"/>
    <x v="1"/>
    <x v="0"/>
    <n v="4"/>
    <n v="69300"/>
    <d v="2025-04-27T00:00:00"/>
    <n v="4"/>
    <n v="27"/>
    <n v="2025"/>
    <x v="11"/>
    <s v="Q2"/>
    <x v="1"/>
  </r>
  <r>
    <s v="O102941"/>
    <x v="172"/>
    <x v="5"/>
    <x v="7"/>
    <x v="3"/>
    <x v="2"/>
    <n v="4"/>
    <n v="69238"/>
    <d v="2025-06-28T00:00:00"/>
    <n v="6"/>
    <n v="28"/>
    <n v="2025"/>
    <x v="2"/>
    <s v="Q2"/>
    <x v="3"/>
  </r>
  <r>
    <s v="O110491"/>
    <x v="431"/>
    <x v="6"/>
    <x v="7"/>
    <x v="3"/>
    <x v="2"/>
    <n v="5"/>
    <n v="69203"/>
    <d v="2026-09-30T00:00:00"/>
    <n v="9"/>
    <n v="30"/>
    <n v="2026"/>
    <x v="1"/>
    <s v="Q3"/>
    <x v="3"/>
  </r>
  <r>
    <s v="O103763"/>
    <x v="65"/>
    <x v="2"/>
    <x v="6"/>
    <x v="3"/>
    <x v="3"/>
    <n v="3"/>
    <n v="69151"/>
    <d v="2025-08-17T00:00:00"/>
    <n v="8"/>
    <n v="17"/>
    <n v="2025"/>
    <x v="8"/>
    <s v="Q3"/>
    <x v="3"/>
  </r>
  <r>
    <s v="O110368"/>
    <x v="581"/>
    <x v="8"/>
    <x v="7"/>
    <x v="0"/>
    <x v="3"/>
    <n v="6"/>
    <n v="69141"/>
    <d v="2026-09-22T00:00:00"/>
    <n v="9"/>
    <n v="22"/>
    <n v="2026"/>
    <x v="1"/>
    <s v="Q3"/>
    <x v="0"/>
  </r>
  <r>
    <s v="O105064"/>
    <x v="306"/>
    <x v="0"/>
    <x v="7"/>
    <x v="0"/>
    <x v="1"/>
    <n v="5"/>
    <n v="69130"/>
    <d v="2025-04-11T00:00:00"/>
    <n v="4"/>
    <n v="11"/>
    <n v="2025"/>
    <x v="11"/>
    <s v="Q2"/>
    <x v="0"/>
  </r>
  <r>
    <s v="O108006"/>
    <x v="531"/>
    <x v="3"/>
    <x v="7"/>
    <x v="2"/>
    <x v="1"/>
    <n v="6"/>
    <n v="69109"/>
    <d v="2026-02-05T00:00:00"/>
    <n v="2"/>
    <n v="5"/>
    <n v="2026"/>
    <x v="4"/>
    <s v="Q1"/>
    <x v="2"/>
  </r>
  <r>
    <s v="O101630"/>
    <x v="153"/>
    <x v="3"/>
    <x v="6"/>
    <x v="2"/>
    <x v="2"/>
    <n v="3"/>
    <n v="69068"/>
    <d v="2025-09-04T00:00:00"/>
    <n v="9"/>
    <n v="4"/>
    <n v="2025"/>
    <x v="1"/>
    <s v="Q3"/>
    <x v="2"/>
  </r>
  <r>
    <s v="O108422"/>
    <x v="462"/>
    <x v="6"/>
    <x v="7"/>
    <x v="4"/>
    <x v="3"/>
    <n v="6"/>
    <n v="69036"/>
    <d v="2026-05-27T00:00:00"/>
    <n v="5"/>
    <n v="27"/>
    <n v="2026"/>
    <x v="3"/>
    <s v="Q2"/>
    <x v="4"/>
  </r>
  <r>
    <s v="O110769"/>
    <x v="200"/>
    <x v="5"/>
    <x v="6"/>
    <x v="4"/>
    <x v="1"/>
    <n v="3"/>
    <n v="68847"/>
    <d v="2026-10-17T00:00:00"/>
    <n v="10"/>
    <n v="17"/>
    <n v="2026"/>
    <x v="9"/>
    <s v="Q4"/>
    <x v="4"/>
  </r>
  <r>
    <s v="O107464"/>
    <x v="429"/>
    <x v="6"/>
    <x v="7"/>
    <x v="2"/>
    <x v="2"/>
    <n v="4"/>
    <n v="68727"/>
    <d v="2026-03-30T00:00:00"/>
    <n v="3"/>
    <n v="30"/>
    <n v="2026"/>
    <x v="5"/>
    <s v="Q1"/>
    <x v="2"/>
  </r>
  <r>
    <s v="O101487"/>
    <x v="96"/>
    <x v="4"/>
    <x v="7"/>
    <x v="1"/>
    <x v="0"/>
    <n v="6"/>
    <n v="68671"/>
    <d v="2025-01-04T00:00:00"/>
    <n v="1"/>
    <n v="4"/>
    <n v="2025"/>
    <x v="6"/>
    <s v="Q1"/>
    <x v="1"/>
  </r>
  <r>
    <s v="O110574"/>
    <x v="490"/>
    <x v="5"/>
    <x v="7"/>
    <x v="5"/>
    <x v="1"/>
    <n v="6"/>
    <n v="68661"/>
    <d v="2026-05-10T00:00:00"/>
    <n v="5"/>
    <n v="10"/>
    <n v="2026"/>
    <x v="3"/>
    <s v="Q2"/>
    <x v="5"/>
  </r>
  <r>
    <s v="O111281"/>
    <x v="514"/>
    <x v="3"/>
    <x v="7"/>
    <x v="2"/>
    <x v="3"/>
    <n v="4"/>
    <n v="68646"/>
    <d v="2026-11-17T00:00:00"/>
    <n v="11"/>
    <n v="17"/>
    <n v="2026"/>
    <x v="0"/>
    <m/>
    <x v="2"/>
  </r>
  <r>
    <s v="O111071"/>
    <x v="470"/>
    <x v="10"/>
    <x v="7"/>
    <x v="1"/>
    <x v="1"/>
    <n v="6"/>
    <n v="68606"/>
    <d v="2026-04-11T00:00:00"/>
    <n v="4"/>
    <n v="11"/>
    <n v="2026"/>
    <x v="11"/>
    <s v="Q2"/>
    <x v="1"/>
  </r>
  <r>
    <s v="O106075"/>
    <x v="279"/>
    <x v="4"/>
    <x v="7"/>
    <x v="2"/>
    <x v="1"/>
    <n v="4"/>
    <n v="68576"/>
    <d v="2026-05-01T00:00:00"/>
    <n v="5"/>
    <n v="1"/>
    <n v="2026"/>
    <x v="3"/>
    <s v="Q2"/>
    <x v="2"/>
  </r>
  <r>
    <s v="O107804"/>
    <x v="293"/>
    <x v="2"/>
    <x v="7"/>
    <x v="2"/>
    <x v="1"/>
    <n v="4"/>
    <n v="68576"/>
    <d v="2026-04-20T00:00:00"/>
    <n v="4"/>
    <n v="20"/>
    <n v="2026"/>
    <x v="11"/>
    <s v="Q2"/>
    <x v="2"/>
  </r>
  <r>
    <s v="O110726"/>
    <x v="298"/>
    <x v="1"/>
    <x v="7"/>
    <x v="2"/>
    <x v="1"/>
    <n v="4"/>
    <n v="68568"/>
    <d v="2026-10-14T00:00:00"/>
    <n v="10"/>
    <n v="14"/>
    <n v="2026"/>
    <x v="9"/>
    <s v="Q4"/>
    <x v="2"/>
  </r>
  <r>
    <s v="O107998"/>
    <x v="38"/>
    <x v="5"/>
    <x v="6"/>
    <x v="4"/>
    <x v="0"/>
    <n v="3"/>
    <n v="68548"/>
    <d v="2026-01-05T00:00:00"/>
    <n v="1"/>
    <n v="5"/>
    <n v="2026"/>
    <x v="6"/>
    <s v="Q1"/>
    <x v="4"/>
  </r>
  <r>
    <s v="O100688"/>
    <x v="31"/>
    <x v="5"/>
    <x v="7"/>
    <x v="3"/>
    <x v="1"/>
    <n v="4"/>
    <n v="68537"/>
    <d v="2025-11-02T00:00:00"/>
    <n v="11"/>
    <n v="2"/>
    <n v="2025"/>
    <x v="0"/>
    <s v="Q4"/>
    <x v="3"/>
  </r>
  <r>
    <s v="O100181"/>
    <x v="539"/>
    <x v="2"/>
    <x v="7"/>
    <x v="3"/>
    <x v="3"/>
    <n v="4"/>
    <n v="68430"/>
    <d v="2025-11-01T00:00:00"/>
    <n v="11"/>
    <n v="1"/>
    <n v="2025"/>
    <x v="0"/>
    <s v="Q4"/>
    <x v="3"/>
  </r>
  <r>
    <s v="O106392"/>
    <x v="713"/>
    <x v="8"/>
    <x v="7"/>
    <x v="3"/>
    <x v="1"/>
    <n v="4"/>
    <n v="68423"/>
    <d v="2026-01-24T00:00:00"/>
    <n v="1"/>
    <n v="24"/>
    <n v="2026"/>
    <x v="6"/>
    <s v="Q1"/>
    <x v="3"/>
  </r>
  <r>
    <s v="O111896"/>
    <x v="586"/>
    <x v="1"/>
    <x v="7"/>
    <x v="3"/>
    <x v="0"/>
    <n v="4"/>
    <n v="68417"/>
    <d v="2026-12-24T00:00:00"/>
    <n v="12"/>
    <n v="24"/>
    <n v="2026"/>
    <x v="7"/>
    <s v="Q4"/>
    <x v="3"/>
  </r>
  <r>
    <s v="O106180"/>
    <x v="608"/>
    <x v="9"/>
    <x v="7"/>
    <x v="1"/>
    <x v="1"/>
    <n v="5"/>
    <n v="68393"/>
    <d v="2026-11-01T00:00:00"/>
    <n v="11"/>
    <n v="1"/>
    <n v="2026"/>
    <x v="0"/>
    <s v="Q4"/>
    <x v="1"/>
  </r>
  <r>
    <s v="O102943"/>
    <x v="213"/>
    <x v="6"/>
    <x v="7"/>
    <x v="2"/>
    <x v="2"/>
    <n v="5"/>
    <n v="68377"/>
    <d v="2025-06-28T00:00:00"/>
    <n v="6"/>
    <n v="28"/>
    <n v="2025"/>
    <x v="2"/>
    <m/>
    <x v="2"/>
  </r>
  <r>
    <s v="O101920"/>
    <x v="69"/>
    <x v="2"/>
    <x v="7"/>
    <x v="2"/>
    <x v="3"/>
    <n v="5"/>
    <n v="68365"/>
    <d v="2025-04-27T00:00:00"/>
    <n v="4"/>
    <n v="27"/>
    <n v="2025"/>
    <x v="11"/>
    <s v="Q2"/>
    <x v="2"/>
  </r>
  <r>
    <s v="O108056"/>
    <x v="11"/>
    <x v="9"/>
    <x v="7"/>
    <x v="4"/>
    <x v="2"/>
    <n v="6"/>
    <n v="68326"/>
    <d v="2026-05-05T00:00:00"/>
    <n v="5"/>
    <n v="5"/>
    <n v="2026"/>
    <x v="3"/>
    <s v="Q2"/>
    <x v="4"/>
  </r>
  <r>
    <s v="O104045"/>
    <x v="635"/>
    <x v="0"/>
    <x v="7"/>
    <x v="2"/>
    <x v="2"/>
    <n v="5"/>
    <n v="68316"/>
    <d v="2025-03-09T00:00:00"/>
    <n v="3"/>
    <n v="9"/>
    <n v="2025"/>
    <x v="5"/>
    <s v="Q1"/>
    <x v="2"/>
  </r>
  <r>
    <s v="O100626"/>
    <x v="369"/>
    <x v="3"/>
    <x v="7"/>
    <x v="2"/>
    <x v="2"/>
    <n v="4"/>
    <n v="68314"/>
    <d v="2025-07-02T00:00:00"/>
    <n v="7"/>
    <n v="2"/>
    <n v="2025"/>
    <x v="10"/>
    <m/>
    <x v="2"/>
  </r>
  <r>
    <s v="O100405"/>
    <x v="505"/>
    <x v="0"/>
    <x v="7"/>
    <x v="4"/>
    <x v="2"/>
    <n v="5"/>
    <n v="68311"/>
    <d v="2025-01-25T00:00:00"/>
    <n v="1"/>
    <n v="25"/>
    <n v="2025"/>
    <x v="6"/>
    <s v="Q1"/>
    <x v="4"/>
  </r>
  <r>
    <s v="O101056"/>
    <x v="25"/>
    <x v="9"/>
    <x v="7"/>
    <x v="4"/>
    <x v="1"/>
    <n v="6"/>
    <n v="68310"/>
    <d v="2025-06-03T00:00:00"/>
    <n v="6"/>
    <n v="3"/>
    <n v="2025"/>
    <x v="2"/>
    <s v="Q2"/>
    <x v="4"/>
  </r>
  <r>
    <s v="O108079"/>
    <x v="162"/>
    <x v="6"/>
    <x v="7"/>
    <x v="3"/>
    <x v="2"/>
    <n v="5"/>
    <n v="68242"/>
    <d v="2026-06-05T00:00:00"/>
    <n v="6"/>
    <n v="5"/>
    <n v="2026"/>
    <x v="2"/>
    <s v="Q2"/>
    <x v="3"/>
  </r>
  <r>
    <s v="O105348"/>
    <x v="20"/>
    <x v="3"/>
    <x v="7"/>
    <x v="0"/>
    <x v="0"/>
    <n v="4"/>
    <n v="68223"/>
    <d v="2025-11-21T00:00:00"/>
    <n v="11"/>
    <n v="21"/>
    <n v="2025"/>
    <x v="0"/>
    <s v="Q4"/>
    <x v="0"/>
  </r>
  <r>
    <s v="O103278"/>
    <x v="266"/>
    <x v="0"/>
    <x v="6"/>
    <x v="2"/>
    <x v="1"/>
    <n v="3"/>
    <n v="68210"/>
    <d v="2025-07-19T00:00:00"/>
    <n v="7"/>
    <n v="19"/>
    <n v="2025"/>
    <x v="10"/>
    <s v="Q3"/>
    <x v="2"/>
  </r>
  <r>
    <s v="O111454"/>
    <x v="369"/>
    <x v="1"/>
    <x v="7"/>
    <x v="4"/>
    <x v="0"/>
    <n v="5"/>
    <n v="68150"/>
    <d v="2026-11-27T00:00:00"/>
    <n v="11"/>
    <n v="27"/>
    <n v="2026"/>
    <x v="0"/>
    <m/>
    <x v="4"/>
  </r>
  <r>
    <s v="O110900"/>
    <x v="225"/>
    <x v="5"/>
    <x v="7"/>
    <x v="0"/>
    <x v="2"/>
    <n v="4"/>
    <n v="68103"/>
    <d v="2026-10-25T00:00:00"/>
    <n v="10"/>
    <n v="25"/>
    <n v="2026"/>
    <x v="9"/>
    <s v="Q4"/>
    <x v="0"/>
  </r>
  <r>
    <s v="O106214"/>
    <x v="166"/>
    <x v="10"/>
    <x v="7"/>
    <x v="0"/>
    <x v="0"/>
    <n v="4"/>
    <n v="68011"/>
    <d v="2026-01-13T00:00:00"/>
    <n v="1"/>
    <n v="13"/>
    <n v="2026"/>
    <x v="6"/>
    <s v="Q1"/>
    <x v="0"/>
  </r>
  <r>
    <s v="O108033"/>
    <x v="588"/>
    <x v="10"/>
    <x v="7"/>
    <x v="1"/>
    <x v="0"/>
    <n v="4"/>
    <n v="67976"/>
    <d v="2026-03-05T00:00:00"/>
    <n v="3"/>
    <n v="5"/>
    <n v="2026"/>
    <x v="5"/>
    <s v="Q1"/>
    <x v="1"/>
  </r>
  <r>
    <s v="O102151"/>
    <x v="447"/>
    <x v="1"/>
    <x v="7"/>
    <x v="0"/>
    <x v="3"/>
    <n v="5"/>
    <n v="67964"/>
    <d v="2025-11-05T00:00:00"/>
    <n v="11"/>
    <n v="5"/>
    <n v="2025"/>
    <x v="0"/>
    <s v="Q4"/>
    <x v="0"/>
  </r>
  <r>
    <s v="O105582"/>
    <x v="646"/>
    <x v="6"/>
    <x v="7"/>
    <x v="4"/>
    <x v="2"/>
    <n v="4"/>
    <n v="67945"/>
    <d v="2025-06-12T00:00:00"/>
    <n v="6"/>
    <n v="12"/>
    <n v="2025"/>
    <x v="2"/>
    <s v="Q2"/>
    <x v="4"/>
  </r>
  <r>
    <s v="O106048"/>
    <x v="411"/>
    <x v="3"/>
    <x v="6"/>
    <x v="3"/>
    <x v="3"/>
    <n v="3"/>
    <n v="67805"/>
    <d v="2026-03-01T00:00:00"/>
    <n v="3"/>
    <n v="1"/>
    <n v="2026"/>
    <x v="5"/>
    <s v="Q1"/>
    <x v="3"/>
  </r>
  <r>
    <s v="O107131"/>
    <x v="342"/>
    <x v="4"/>
    <x v="7"/>
    <x v="2"/>
    <x v="1"/>
    <n v="6"/>
    <n v="67801"/>
    <d v="2026-10-03T00:00:00"/>
    <n v="10"/>
    <n v="3"/>
    <n v="2026"/>
    <x v="9"/>
    <s v="Q4"/>
    <x v="2"/>
  </r>
  <r>
    <s v="O105136"/>
    <x v="65"/>
    <x v="10"/>
    <x v="7"/>
    <x v="3"/>
    <x v="1"/>
    <n v="4"/>
    <n v="67776"/>
    <d v="2025-08-11T00:00:00"/>
    <n v="8"/>
    <n v="11"/>
    <n v="2025"/>
    <x v="8"/>
    <s v="Q3"/>
    <x v="3"/>
  </r>
  <r>
    <s v="O105773"/>
    <x v="91"/>
    <x v="0"/>
    <x v="7"/>
    <x v="2"/>
    <x v="0"/>
    <n v="5"/>
    <n v="67713"/>
    <d v="2025-12-17T00:00:00"/>
    <n v="12"/>
    <n v="17"/>
    <n v="2025"/>
    <x v="7"/>
    <s v="Q4"/>
    <x v="2"/>
  </r>
  <r>
    <s v="O109710"/>
    <x v="315"/>
    <x v="10"/>
    <x v="6"/>
    <x v="3"/>
    <x v="2"/>
    <n v="3"/>
    <n v="67526"/>
    <d v="2026-08-13T00:00:00"/>
    <n v="8"/>
    <n v="13"/>
    <n v="2026"/>
    <x v="8"/>
    <s v="Q3"/>
    <x v="3"/>
  </r>
  <r>
    <s v="O108870"/>
    <x v="658"/>
    <x v="8"/>
    <x v="7"/>
    <x v="3"/>
    <x v="1"/>
    <n v="4"/>
    <n v="67524"/>
    <d v="2026-06-23T00:00:00"/>
    <n v="6"/>
    <n v="23"/>
    <n v="2026"/>
    <x v="2"/>
    <s v="Q2"/>
    <x v="3"/>
  </r>
  <r>
    <s v="O107730"/>
    <x v="470"/>
    <x v="1"/>
    <x v="6"/>
    <x v="1"/>
    <x v="3"/>
    <n v="3"/>
    <n v="67498"/>
    <d v="2026-04-15T00:00:00"/>
    <n v="4"/>
    <n v="15"/>
    <n v="2026"/>
    <x v="11"/>
    <s v="Q2"/>
    <x v="1"/>
  </r>
  <r>
    <s v="O106271"/>
    <x v="670"/>
    <x v="3"/>
    <x v="7"/>
    <x v="2"/>
    <x v="2"/>
    <n v="5"/>
    <n v="67486"/>
    <d v="2026-01-16T00:00:00"/>
    <n v="1"/>
    <n v="16"/>
    <n v="2026"/>
    <x v="6"/>
    <s v="Q1"/>
    <x v="2"/>
  </r>
  <r>
    <s v="O102920"/>
    <x v="124"/>
    <x v="0"/>
    <x v="7"/>
    <x v="1"/>
    <x v="3"/>
    <n v="4"/>
    <n v="67395"/>
    <d v="2025-06-27T00:00:00"/>
    <n v="6"/>
    <n v="27"/>
    <n v="2025"/>
    <x v="2"/>
    <s v="Q2"/>
    <x v="1"/>
  </r>
  <r>
    <s v="O107113"/>
    <x v="593"/>
    <x v="8"/>
    <x v="7"/>
    <x v="4"/>
    <x v="1"/>
    <n v="5"/>
    <n v="67204"/>
    <d v="2026-09-03T00:00:00"/>
    <n v="9"/>
    <n v="3"/>
    <n v="2026"/>
    <x v="1"/>
    <s v="Q3"/>
    <x v="4"/>
  </r>
  <r>
    <s v="O100748"/>
    <x v="631"/>
    <x v="0"/>
    <x v="6"/>
    <x v="2"/>
    <x v="3"/>
    <n v="3"/>
    <n v="67202"/>
    <d v="2025-02-15T00:00:00"/>
    <n v="2"/>
    <n v="15"/>
    <n v="2025"/>
    <x v="4"/>
    <s v="Q1"/>
    <x v="2"/>
  </r>
  <r>
    <s v="O111562"/>
    <x v="547"/>
    <x v="2"/>
    <x v="7"/>
    <x v="1"/>
    <x v="1"/>
    <n v="4"/>
    <n v="67053"/>
    <d v="2026-04-12T00:00:00"/>
    <n v="4"/>
    <n v="12"/>
    <n v="2026"/>
    <x v="11"/>
    <s v="Q2"/>
    <x v="1"/>
  </r>
  <r>
    <s v="O110932"/>
    <x v="743"/>
    <x v="9"/>
    <x v="7"/>
    <x v="1"/>
    <x v="3"/>
    <n v="4"/>
    <n v="67038"/>
    <d v="2026-10-27T00:00:00"/>
    <n v="10"/>
    <n v="27"/>
    <n v="2026"/>
    <x v="9"/>
    <s v="Q4"/>
    <x v="1"/>
  </r>
  <r>
    <s v="O105013"/>
    <x v="711"/>
    <x v="3"/>
    <x v="6"/>
    <x v="2"/>
    <x v="1"/>
    <n v="3"/>
    <n v="67036"/>
    <d v="2025-01-11T00:00:00"/>
    <n v="1"/>
    <n v="11"/>
    <n v="2025"/>
    <x v="6"/>
    <s v="Q1"/>
    <x v="2"/>
  </r>
  <r>
    <s v="O104007"/>
    <x v="187"/>
    <x v="3"/>
    <x v="7"/>
    <x v="0"/>
    <x v="1"/>
    <n v="4"/>
    <n v="66954"/>
    <d v="2025-01-09T00:00:00"/>
    <n v="1"/>
    <n v="9"/>
    <n v="2025"/>
    <x v="6"/>
    <s v="Q1"/>
    <x v="0"/>
  </r>
  <r>
    <s v="O111353"/>
    <x v="290"/>
    <x v="0"/>
    <x v="7"/>
    <x v="2"/>
    <x v="2"/>
    <n v="4"/>
    <n v="66890"/>
    <d v="2026-11-21T00:00:00"/>
    <n v="11"/>
    <n v="21"/>
    <n v="2026"/>
    <x v="0"/>
    <s v="Q4"/>
    <x v="2"/>
  </r>
  <r>
    <s v="O103773"/>
    <x v="745"/>
    <x v="10"/>
    <x v="7"/>
    <x v="0"/>
    <x v="2"/>
    <n v="4"/>
    <n v="66883"/>
    <d v="2025-08-18T00:00:00"/>
    <n v="8"/>
    <n v="18"/>
    <n v="2025"/>
    <x v="8"/>
    <s v="Q3"/>
    <x v="0"/>
  </r>
  <r>
    <s v="O106784"/>
    <x v="213"/>
    <x v="8"/>
    <x v="7"/>
    <x v="4"/>
    <x v="3"/>
    <n v="5"/>
    <n v="66811"/>
    <d v="2026-02-17T00:00:00"/>
    <n v="2"/>
    <n v="17"/>
    <n v="2026"/>
    <x v="4"/>
    <m/>
    <x v="4"/>
  </r>
  <r>
    <s v="O109444"/>
    <x v="295"/>
    <x v="8"/>
    <x v="7"/>
    <x v="3"/>
    <x v="0"/>
    <n v="4"/>
    <n v="66707"/>
    <d v="2026-07-28T00:00:00"/>
    <n v="7"/>
    <n v="28"/>
    <n v="2026"/>
    <x v="10"/>
    <s v="Q3"/>
    <x v="3"/>
  </r>
  <r>
    <s v="O111660"/>
    <x v="474"/>
    <x v="9"/>
    <x v="7"/>
    <x v="3"/>
    <x v="0"/>
    <n v="4"/>
    <n v="66697"/>
    <d v="2026-10-12T00:00:00"/>
    <n v="10"/>
    <n v="12"/>
    <n v="2026"/>
    <x v="9"/>
    <s v="Q4"/>
    <x v="3"/>
  </r>
  <r>
    <s v="O100270"/>
    <x v="592"/>
    <x v="10"/>
    <x v="7"/>
    <x v="3"/>
    <x v="3"/>
    <n v="4"/>
    <n v="66621"/>
    <d v="2025-01-17T00:00:00"/>
    <n v="1"/>
    <n v="17"/>
    <n v="2025"/>
    <x v="6"/>
    <s v="Q1"/>
    <x v="3"/>
  </r>
  <r>
    <s v="O101163"/>
    <x v="68"/>
    <x v="1"/>
    <x v="7"/>
    <x v="3"/>
    <x v="3"/>
    <n v="4"/>
    <n v="66608"/>
    <d v="2025-12-03T00:00:00"/>
    <n v="12"/>
    <n v="3"/>
    <n v="2025"/>
    <x v="7"/>
    <s v="Q4"/>
    <x v="3"/>
  </r>
  <r>
    <s v="O103531"/>
    <x v="289"/>
    <x v="2"/>
    <x v="7"/>
    <x v="4"/>
    <x v="2"/>
    <n v="5"/>
    <n v="66600"/>
    <d v="2025-03-08T00:00:00"/>
    <n v="3"/>
    <n v="8"/>
    <n v="2025"/>
    <x v="5"/>
    <s v="Q1"/>
    <x v="4"/>
  </r>
  <r>
    <s v="O109268"/>
    <x v="765"/>
    <x v="4"/>
    <x v="7"/>
    <x v="3"/>
    <x v="3"/>
    <n v="4"/>
    <n v="66574"/>
    <d v="2026-07-18T00:00:00"/>
    <n v="7"/>
    <n v="18"/>
    <n v="2026"/>
    <x v="10"/>
    <s v="Q3"/>
    <x v="3"/>
  </r>
  <r>
    <s v="O109850"/>
    <x v="439"/>
    <x v="10"/>
    <x v="6"/>
    <x v="2"/>
    <x v="2"/>
    <n v="3"/>
    <n v="66570"/>
    <d v="2026-08-22T00:00:00"/>
    <n v="8"/>
    <n v="22"/>
    <n v="2026"/>
    <x v="8"/>
    <s v="Q3"/>
    <x v="2"/>
  </r>
  <r>
    <s v="O111010"/>
    <x v="655"/>
    <x v="8"/>
    <x v="7"/>
    <x v="4"/>
    <x v="3"/>
    <n v="4"/>
    <n v="66529"/>
    <d v="2026-10-31T00:00:00"/>
    <n v="10"/>
    <n v="31"/>
    <n v="2026"/>
    <x v="9"/>
    <s v="Q4"/>
    <x v="4"/>
  </r>
  <r>
    <s v="O107934"/>
    <x v="27"/>
    <x v="9"/>
    <x v="7"/>
    <x v="3"/>
    <x v="3"/>
    <n v="4"/>
    <n v="66470"/>
    <d v="2026-04-27T00:00:00"/>
    <n v="4"/>
    <n v="27"/>
    <n v="2026"/>
    <x v="11"/>
    <s v="Q2"/>
    <x v="3"/>
  </r>
  <r>
    <s v="O104291"/>
    <x v="543"/>
    <x v="9"/>
    <x v="6"/>
    <x v="1"/>
    <x v="2"/>
    <n v="3"/>
    <n v="66460"/>
    <d v="2025-09-18T00:00:00"/>
    <n v="9"/>
    <n v="18"/>
    <n v="2025"/>
    <x v="1"/>
    <s v="Q3"/>
    <x v="1"/>
  </r>
  <r>
    <s v="O105687"/>
    <x v="261"/>
    <x v="1"/>
    <x v="6"/>
    <x v="2"/>
    <x v="1"/>
    <n v="3"/>
    <n v="66403"/>
    <d v="2025-12-12T00:00:00"/>
    <n v="12"/>
    <n v="12"/>
    <n v="2025"/>
    <x v="7"/>
    <s v="Q4"/>
    <x v="2"/>
  </r>
  <r>
    <s v="O104121"/>
    <x v="726"/>
    <x v="1"/>
    <x v="7"/>
    <x v="0"/>
    <x v="3"/>
    <n v="4"/>
    <n v="66336"/>
    <d v="2025-08-09T00:00:00"/>
    <n v="8"/>
    <n v="9"/>
    <n v="2025"/>
    <x v="8"/>
    <s v="Q3"/>
    <x v="0"/>
  </r>
  <r>
    <s v="O108987"/>
    <x v="754"/>
    <x v="9"/>
    <x v="7"/>
    <x v="1"/>
    <x v="2"/>
    <n v="5"/>
    <n v="66299"/>
    <d v="2026-06-30T00:00:00"/>
    <n v="6"/>
    <n v="30"/>
    <n v="2026"/>
    <x v="2"/>
    <s v="Q2"/>
    <x v="1"/>
  </r>
  <r>
    <s v="O104264"/>
    <x v="672"/>
    <x v="5"/>
    <x v="7"/>
    <x v="3"/>
    <x v="0"/>
    <n v="4"/>
    <n v="66252"/>
    <d v="2025-09-16T00:00:00"/>
    <n v="9"/>
    <n v="16"/>
    <n v="2025"/>
    <x v="1"/>
    <s v="Q3"/>
    <x v="3"/>
  </r>
  <r>
    <s v="O105700"/>
    <x v="635"/>
    <x v="10"/>
    <x v="7"/>
    <x v="1"/>
    <x v="0"/>
    <n v="4"/>
    <n v="66161"/>
    <d v="2025-12-13T00:00:00"/>
    <n v="12"/>
    <n v="13"/>
    <n v="2025"/>
    <x v="7"/>
    <s v="Q4"/>
    <x v="1"/>
  </r>
  <r>
    <s v="O104333"/>
    <x v="530"/>
    <x v="0"/>
    <x v="6"/>
    <x v="1"/>
    <x v="3"/>
    <n v="3"/>
    <n v="66105"/>
    <d v="2025-09-21T00:00:00"/>
    <n v="9"/>
    <n v="21"/>
    <n v="2025"/>
    <x v="1"/>
    <s v="Q3"/>
    <x v="1"/>
  </r>
  <r>
    <s v="O103561"/>
    <x v="114"/>
    <x v="4"/>
    <x v="7"/>
    <x v="4"/>
    <x v="0"/>
    <n v="5"/>
    <n v="66092"/>
    <d v="2025-05-08T00:00:00"/>
    <n v="5"/>
    <n v="8"/>
    <n v="2025"/>
    <x v="3"/>
    <s v="Q2"/>
    <x v="4"/>
  </r>
  <r>
    <s v="O102589"/>
    <x v="19"/>
    <x v="6"/>
    <x v="7"/>
    <x v="0"/>
    <x v="0"/>
    <n v="4"/>
    <n v="66068"/>
    <d v="2025-07-06T00:00:00"/>
    <n v="7"/>
    <n v="6"/>
    <n v="2025"/>
    <x v="10"/>
    <s v="Q3"/>
    <x v="0"/>
  </r>
  <r>
    <s v="O107232"/>
    <x v="90"/>
    <x v="3"/>
    <x v="6"/>
    <x v="1"/>
    <x v="0"/>
    <n v="3"/>
    <n v="66064"/>
    <d v="2026-03-16T00:00:00"/>
    <n v="3"/>
    <n v="16"/>
    <n v="2026"/>
    <x v="5"/>
    <s v="Q1"/>
    <x v="1"/>
  </r>
  <r>
    <s v="O105716"/>
    <x v="14"/>
    <x v="5"/>
    <x v="7"/>
    <x v="1"/>
    <x v="1"/>
    <n v="5"/>
    <n v="65936"/>
    <d v="2025-12-14T00:00:00"/>
    <n v="12"/>
    <n v="14"/>
    <n v="2025"/>
    <x v="7"/>
    <s v="Q4"/>
    <x v="1"/>
  </r>
  <r>
    <s v="O111437"/>
    <x v="341"/>
    <x v="9"/>
    <x v="6"/>
    <x v="1"/>
    <x v="3"/>
    <n v="3"/>
    <n v="65900"/>
    <d v="2026-11-26T00:00:00"/>
    <n v="11"/>
    <n v="26"/>
    <n v="2026"/>
    <x v="0"/>
    <m/>
    <x v="1"/>
  </r>
  <r>
    <s v="O104022"/>
    <x v="394"/>
    <x v="2"/>
    <x v="7"/>
    <x v="1"/>
    <x v="2"/>
    <n v="4"/>
    <n v="65898"/>
    <d v="2025-02-09T00:00:00"/>
    <n v="2"/>
    <n v="9"/>
    <n v="2025"/>
    <x v="4"/>
    <s v="Q1"/>
    <x v="1"/>
  </r>
  <r>
    <s v="O108165"/>
    <x v="620"/>
    <x v="9"/>
    <x v="7"/>
    <x v="0"/>
    <x v="1"/>
    <n v="4"/>
    <n v="65671"/>
    <d v="2026-12-05T00:00:00"/>
    <n v="12"/>
    <n v="5"/>
    <n v="2026"/>
    <x v="7"/>
    <s v="Q4"/>
    <x v="0"/>
  </r>
  <r>
    <s v="O103937"/>
    <x v="595"/>
    <x v="8"/>
    <x v="7"/>
    <x v="2"/>
    <x v="2"/>
    <n v="4"/>
    <n v="65662"/>
    <d v="2025-08-28T00:00:00"/>
    <n v="8"/>
    <n v="28"/>
    <n v="2025"/>
    <x v="8"/>
    <s v="Q3"/>
    <x v="2"/>
  </r>
  <r>
    <s v="O108629"/>
    <x v="513"/>
    <x v="1"/>
    <x v="7"/>
    <x v="2"/>
    <x v="3"/>
    <n v="5"/>
    <n v="65548"/>
    <d v="2026-09-06T00:00:00"/>
    <n v="9"/>
    <n v="6"/>
    <n v="2026"/>
    <x v="1"/>
    <s v="Q3"/>
    <x v="2"/>
  </r>
  <r>
    <s v="O100955"/>
    <x v="385"/>
    <x v="5"/>
    <x v="7"/>
    <x v="2"/>
    <x v="1"/>
    <n v="4"/>
    <n v="65356"/>
    <d v="2025-02-27T00:00:00"/>
    <n v="2"/>
    <n v="27"/>
    <n v="2025"/>
    <x v="4"/>
    <s v="Q1"/>
    <x v="2"/>
  </r>
  <r>
    <s v="O104006"/>
    <x v="215"/>
    <x v="2"/>
    <x v="7"/>
    <x v="1"/>
    <x v="2"/>
    <n v="4"/>
    <n v="65307"/>
    <d v="2025-01-09T00:00:00"/>
    <n v="1"/>
    <n v="9"/>
    <n v="2025"/>
    <x v="6"/>
    <s v="Q1"/>
    <x v="1"/>
  </r>
  <r>
    <s v="O104904"/>
    <x v="477"/>
    <x v="4"/>
    <x v="7"/>
    <x v="1"/>
    <x v="0"/>
    <n v="4"/>
    <n v="65269"/>
    <d v="2025-10-25T00:00:00"/>
    <n v="10"/>
    <n v="25"/>
    <n v="2025"/>
    <x v="9"/>
    <s v="Q4"/>
    <x v="1"/>
  </r>
  <r>
    <s v="O102209"/>
    <x v="24"/>
    <x v="2"/>
    <x v="7"/>
    <x v="4"/>
    <x v="1"/>
    <n v="5"/>
    <n v="65237"/>
    <d v="2025-05-15T00:00:00"/>
    <n v="5"/>
    <n v="15"/>
    <n v="2025"/>
    <x v="3"/>
    <s v="Q2"/>
    <x v="4"/>
  </r>
  <r>
    <s v="O108482"/>
    <x v="397"/>
    <x v="8"/>
    <x v="7"/>
    <x v="2"/>
    <x v="1"/>
    <n v="5"/>
    <n v="65179"/>
    <d v="2026-05-31T00:00:00"/>
    <n v="5"/>
    <n v="31"/>
    <n v="2026"/>
    <x v="3"/>
    <s v="Q2"/>
    <x v="2"/>
  </r>
  <r>
    <s v="O103152"/>
    <x v="34"/>
    <x v="8"/>
    <x v="7"/>
    <x v="1"/>
    <x v="3"/>
    <n v="4"/>
    <n v="65109"/>
    <d v="2025-11-07T00:00:00"/>
    <n v="11"/>
    <n v="7"/>
    <n v="2025"/>
    <x v="0"/>
    <s v="Q4"/>
    <x v="1"/>
  </r>
  <r>
    <s v="O104122"/>
    <x v="5"/>
    <x v="1"/>
    <x v="6"/>
    <x v="3"/>
    <x v="3"/>
    <n v="3"/>
    <n v="65009"/>
    <d v="2025-08-09T00:00:00"/>
    <n v="8"/>
    <n v="9"/>
    <n v="2025"/>
    <x v="8"/>
    <s v="Q3"/>
    <x v="3"/>
  </r>
  <r>
    <s v="O105963"/>
    <x v="74"/>
    <x v="9"/>
    <x v="7"/>
    <x v="0"/>
    <x v="0"/>
    <n v="5"/>
    <n v="64983"/>
    <d v="2025-12-29T00:00:00"/>
    <n v="12"/>
    <n v="29"/>
    <n v="2025"/>
    <x v="7"/>
    <s v="Q4"/>
    <x v="0"/>
  </r>
  <r>
    <s v="O109115"/>
    <x v="100"/>
    <x v="10"/>
    <x v="7"/>
    <x v="4"/>
    <x v="2"/>
    <n v="5"/>
    <n v="64908"/>
    <d v="2026-08-07T00:00:00"/>
    <n v="8"/>
    <n v="7"/>
    <n v="2026"/>
    <x v="8"/>
    <s v="Q3"/>
    <x v="4"/>
  </r>
  <r>
    <s v="O110712"/>
    <x v="352"/>
    <x v="9"/>
    <x v="7"/>
    <x v="2"/>
    <x v="3"/>
    <n v="4"/>
    <n v="64859"/>
    <d v="2026-10-13T00:00:00"/>
    <n v="10"/>
    <n v="13"/>
    <n v="2026"/>
    <x v="9"/>
    <s v="Q4"/>
    <x v="2"/>
  </r>
  <r>
    <s v="O108931"/>
    <x v="102"/>
    <x v="8"/>
    <x v="7"/>
    <x v="2"/>
    <x v="1"/>
    <n v="4"/>
    <n v="64835"/>
    <d v="2026-06-27T00:00:00"/>
    <n v="6"/>
    <n v="27"/>
    <n v="2026"/>
    <x v="2"/>
    <s v="Q2"/>
    <x v="2"/>
  </r>
  <r>
    <s v="O100225"/>
    <x v="158"/>
    <x v="5"/>
    <x v="7"/>
    <x v="2"/>
    <x v="0"/>
    <n v="5"/>
    <n v="64823"/>
    <d v="2025-01-14T00:00:00"/>
    <n v="1"/>
    <n v="14"/>
    <n v="2025"/>
    <x v="6"/>
    <s v="Q1"/>
    <x v="2"/>
  </r>
  <r>
    <s v="O107235"/>
    <x v="27"/>
    <x v="10"/>
    <x v="7"/>
    <x v="3"/>
    <x v="2"/>
    <n v="4"/>
    <n v="64733"/>
    <d v="2026-03-16T00:00:00"/>
    <n v="3"/>
    <n v="16"/>
    <n v="2026"/>
    <x v="5"/>
    <s v="Q1"/>
    <x v="3"/>
  </r>
  <r>
    <s v="O109544"/>
    <x v="276"/>
    <x v="3"/>
    <x v="6"/>
    <x v="4"/>
    <x v="1"/>
    <n v="3"/>
    <n v="64649"/>
    <d v="2026-03-08T00:00:00"/>
    <n v="3"/>
    <n v="8"/>
    <n v="2026"/>
    <x v="5"/>
    <s v="Q1"/>
    <x v="4"/>
  </r>
  <r>
    <s v="O101499"/>
    <x v="434"/>
    <x v="10"/>
    <x v="7"/>
    <x v="3"/>
    <x v="1"/>
    <n v="5"/>
    <n v="64614"/>
    <d v="2025-02-04T00:00:00"/>
    <n v="2"/>
    <n v="4"/>
    <n v="2025"/>
    <x v="4"/>
    <s v="Q1"/>
    <x v="3"/>
  </r>
  <r>
    <s v="O105564"/>
    <x v="292"/>
    <x v="10"/>
    <x v="7"/>
    <x v="0"/>
    <x v="3"/>
    <n v="5"/>
    <n v="64607"/>
    <d v="2025-04-12T00:00:00"/>
    <n v="4"/>
    <n v="12"/>
    <n v="2025"/>
    <x v="11"/>
    <s v="Q2"/>
    <x v="0"/>
  </r>
  <r>
    <s v="O100311"/>
    <x v="342"/>
    <x v="1"/>
    <x v="6"/>
    <x v="4"/>
    <x v="1"/>
    <n v="3"/>
    <n v="64584"/>
    <d v="2025-01-19T00:00:00"/>
    <n v="1"/>
    <n v="19"/>
    <n v="2025"/>
    <x v="6"/>
    <s v="Q1"/>
    <x v="4"/>
  </r>
  <r>
    <s v="O107899"/>
    <x v="313"/>
    <x v="2"/>
    <x v="7"/>
    <x v="4"/>
    <x v="1"/>
    <n v="5"/>
    <n v="64577"/>
    <d v="2026-04-25T00:00:00"/>
    <n v="4"/>
    <n v="25"/>
    <n v="2026"/>
    <x v="11"/>
    <s v="Q2"/>
    <x v="4"/>
  </r>
  <r>
    <s v="O104440"/>
    <x v="712"/>
    <x v="10"/>
    <x v="7"/>
    <x v="3"/>
    <x v="1"/>
    <n v="4"/>
    <n v="64418"/>
    <d v="2025-09-27T00:00:00"/>
    <n v="9"/>
    <n v="27"/>
    <n v="2025"/>
    <x v="1"/>
    <s v="Q3"/>
    <x v="3"/>
  </r>
  <r>
    <s v="O106940"/>
    <x v="775"/>
    <x v="1"/>
    <x v="7"/>
    <x v="1"/>
    <x v="2"/>
    <n v="4"/>
    <n v="64342"/>
    <d v="2026-02-26T00:00:00"/>
    <n v="2"/>
    <n v="26"/>
    <n v="2026"/>
    <x v="4"/>
    <s v="Q1"/>
    <x v="1"/>
  </r>
  <r>
    <s v="O104593"/>
    <x v="189"/>
    <x v="9"/>
    <x v="6"/>
    <x v="3"/>
    <x v="2"/>
    <n v="3"/>
    <n v="64338"/>
    <d v="2025-06-10T00:00:00"/>
    <n v="6"/>
    <n v="10"/>
    <n v="2025"/>
    <x v="2"/>
    <s v="Q2"/>
    <x v="3"/>
  </r>
  <r>
    <s v="O108159"/>
    <x v="185"/>
    <x v="5"/>
    <x v="7"/>
    <x v="4"/>
    <x v="1"/>
    <n v="4"/>
    <n v="64337"/>
    <d v="2026-11-05T00:00:00"/>
    <n v="11"/>
    <n v="5"/>
    <n v="2026"/>
    <x v="0"/>
    <s v="Q4"/>
    <x v="4"/>
  </r>
  <r>
    <s v="O102424"/>
    <x v="657"/>
    <x v="1"/>
    <x v="6"/>
    <x v="0"/>
    <x v="1"/>
    <n v="3"/>
    <n v="64332"/>
    <d v="2025-05-28T00:00:00"/>
    <n v="5"/>
    <n v="28"/>
    <n v="2025"/>
    <x v="3"/>
    <s v="Q2"/>
    <x v="0"/>
  </r>
  <r>
    <s v="O111643"/>
    <x v="162"/>
    <x v="9"/>
    <x v="6"/>
    <x v="2"/>
    <x v="0"/>
    <n v="3"/>
    <n v="64326"/>
    <d v="2026-09-12T00:00:00"/>
    <n v="9"/>
    <n v="12"/>
    <n v="2026"/>
    <x v="1"/>
    <s v="Q3"/>
    <x v="2"/>
  </r>
  <r>
    <s v="O105458"/>
    <x v="702"/>
    <x v="9"/>
    <x v="7"/>
    <x v="3"/>
    <x v="3"/>
    <n v="5"/>
    <n v="64190"/>
    <d v="2025-11-28T00:00:00"/>
    <n v="11"/>
    <n v="28"/>
    <n v="2025"/>
    <x v="0"/>
    <s v="Q4"/>
    <x v="3"/>
  </r>
  <r>
    <s v="O105424"/>
    <x v="778"/>
    <x v="4"/>
    <x v="7"/>
    <x v="1"/>
    <x v="2"/>
    <n v="4"/>
    <n v="64154"/>
    <d v="2025-11-26T00:00:00"/>
    <n v="11"/>
    <n v="26"/>
    <n v="2025"/>
    <x v="0"/>
    <s v="Q4"/>
    <x v="1"/>
  </r>
  <r>
    <s v="O110894"/>
    <x v="580"/>
    <x v="1"/>
    <x v="7"/>
    <x v="4"/>
    <x v="1"/>
    <n v="4"/>
    <n v="63991"/>
    <d v="2026-10-24T00:00:00"/>
    <n v="10"/>
    <n v="24"/>
    <n v="2026"/>
    <x v="9"/>
    <s v="Q4"/>
    <x v="4"/>
  </r>
  <r>
    <s v="O111297"/>
    <x v="587"/>
    <x v="6"/>
    <x v="6"/>
    <x v="1"/>
    <x v="2"/>
    <n v="3"/>
    <n v="63968"/>
    <d v="2026-11-18T00:00:00"/>
    <n v="11"/>
    <n v="18"/>
    <n v="2026"/>
    <x v="0"/>
    <m/>
    <x v="1"/>
  </r>
  <r>
    <s v="O107308"/>
    <x v="368"/>
    <x v="0"/>
    <x v="7"/>
    <x v="2"/>
    <x v="0"/>
    <n v="4"/>
    <n v="63914"/>
    <d v="2026-03-20T00:00:00"/>
    <n v="3"/>
    <n v="20"/>
    <n v="2026"/>
    <x v="5"/>
    <s v="Q1"/>
    <x v="2"/>
  </r>
  <r>
    <s v="O110244"/>
    <x v="342"/>
    <x v="2"/>
    <x v="7"/>
    <x v="4"/>
    <x v="1"/>
    <n v="4"/>
    <n v="63863"/>
    <d v="2026-09-15T00:00:00"/>
    <n v="9"/>
    <n v="15"/>
    <n v="2026"/>
    <x v="1"/>
    <s v="Q3"/>
    <x v="4"/>
  </r>
  <r>
    <s v="O105946"/>
    <x v="440"/>
    <x v="3"/>
    <x v="7"/>
    <x v="4"/>
    <x v="1"/>
    <n v="5"/>
    <n v="63813"/>
    <d v="2025-12-28T00:00:00"/>
    <n v="12"/>
    <n v="28"/>
    <n v="2025"/>
    <x v="7"/>
    <s v="Q4"/>
    <x v="4"/>
  </r>
  <r>
    <s v="O111671"/>
    <x v="73"/>
    <x v="6"/>
    <x v="7"/>
    <x v="0"/>
    <x v="0"/>
    <n v="4"/>
    <n v="63749"/>
    <d v="2026-11-12T00:00:00"/>
    <n v="11"/>
    <n v="12"/>
    <n v="2026"/>
    <x v="0"/>
    <s v="Q4"/>
    <x v="0"/>
  </r>
  <r>
    <s v="O106809"/>
    <x v="550"/>
    <x v="4"/>
    <x v="7"/>
    <x v="1"/>
    <x v="3"/>
    <n v="5"/>
    <n v="63705"/>
    <d v="2026-02-18T00:00:00"/>
    <n v="2"/>
    <n v="18"/>
    <n v="2026"/>
    <x v="4"/>
    <s v="Q1"/>
    <x v="1"/>
  </r>
  <r>
    <s v="O110479"/>
    <x v="52"/>
    <x v="6"/>
    <x v="6"/>
    <x v="2"/>
    <x v="3"/>
    <n v="3"/>
    <n v="63641"/>
    <d v="2026-09-29T00:00:00"/>
    <n v="9"/>
    <n v="29"/>
    <n v="2026"/>
    <x v="1"/>
    <s v="Q3"/>
    <x v="2"/>
  </r>
  <r>
    <s v="O107525"/>
    <x v="381"/>
    <x v="8"/>
    <x v="7"/>
    <x v="1"/>
    <x v="0"/>
    <n v="4"/>
    <n v="63602"/>
    <d v="2026-03-04T00:00:00"/>
    <n v="3"/>
    <n v="4"/>
    <n v="2026"/>
    <x v="5"/>
    <s v="Q1"/>
    <x v="1"/>
  </r>
  <r>
    <s v="O108071"/>
    <x v="698"/>
    <x v="3"/>
    <x v="6"/>
    <x v="0"/>
    <x v="2"/>
    <n v="3"/>
    <n v="63591"/>
    <d v="2026-06-05T00:00:00"/>
    <n v="6"/>
    <n v="5"/>
    <n v="2026"/>
    <x v="2"/>
    <s v="Q2"/>
    <x v="0"/>
  </r>
  <r>
    <s v="O103185"/>
    <x v="409"/>
    <x v="1"/>
    <x v="6"/>
    <x v="3"/>
    <x v="1"/>
    <n v="3"/>
    <n v="63308"/>
    <d v="2025-07-13T00:00:00"/>
    <n v="7"/>
    <n v="13"/>
    <n v="2025"/>
    <x v="10"/>
    <s v="Q3"/>
    <x v="3"/>
  </r>
  <r>
    <s v="O110287"/>
    <x v="352"/>
    <x v="1"/>
    <x v="6"/>
    <x v="0"/>
    <x v="3"/>
    <n v="3"/>
    <n v="63244"/>
    <d v="2026-09-17T00:00:00"/>
    <n v="9"/>
    <n v="17"/>
    <n v="2026"/>
    <x v="1"/>
    <s v="Q3"/>
    <x v="0"/>
  </r>
  <r>
    <s v="O100707"/>
    <x v="768"/>
    <x v="3"/>
    <x v="7"/>
    <x v="0"/>
    <x v="0"/>
    <n v="4"/>
    <n v="63210"/>
    <d v="2025-12-02T00:00:00"/>
    <n v="12"/>
    <n v="2"/>
    <n v="2025"/>
    <x v="7"/>
    <s v="Q4"/>
    <x v="0"/>
  </r>
  <r>
    <s v="O107848"/>
    <x v="466"/>
    <x v="9"/>
    <x v="6"/>
    <x v="0"/>
    <x v="1"/>
    <n v="3"/>
    <n v="63162"/>
    <d v="2026-04-22T00:00:00"/>
    <n v="4"/>
    <n v="22"/>
    <n v="2026"/>
    <x v="11"/>
    <s v="Q2"/>
    <x v="0"/>
  </r>
  <r>
    <s v="O107600"/>
    <x v="45"/>
    <x v="5"/>
    <x v="7"/>
    <x v="0"/>
    <x v="3"/>
    <n v="4"/>
    <n v="63125"/>
    <d v="2026-07-04T00:00:00"/>
    <n v="7"/>
    <n v="4"/>
    <n v="2026"/>
    <x v="10"/>
    <s v="Q3"/>
    <x v="0"/>
  </r>
  <r>
    <s v="O100111"/>
    <x v="286"/>
    <x v="10"/>
    <x v="7"/>
    <x v="0"/>
    <x v="1"/>
    <n v="5"/>
    <n v="63090"/>
    <d v="2025-07-01T00:00:00"/>
    <n v="7"/>
    <n v="1"/>
    <n v="2025"/>
    <x v="10"/>
    <s v="Q3"/>
    <x v="0"/>
  </r>
  <r>
    <s v="O103188"/>
    <x v="138"/>
    <x v="4"/>
    <x v="7"/>
    <x v="3"/>
    <x v="2"/>
    <n v="4"/>
    <n v="63074"/>
    <d v="2025-07-13T00:00:00"/>
    <n v="7"/>
    <n v="13"/>
    <n v="2025"/>
    <x v="10"/>
    <s v="Q3"/>
    <x v="3"/>
  </r>
  <r>
    <s v="O107768"/>
    <x v="700"/>
    <x v="10"/>
    <x v="7"/>
    <x v="0"/>
    <x v="2"/>
    <n v="5"/>
    <n v="63046"/>
    <d v="2026-04-17T00:00:00"/>
    <n v="4"/>
    <n v="17"/>
    <n v="2026"/>
    <x v="11"/>
    <s v="Q2"/>
    <x v="0"/>
  </r>
  <r>
    <s v="O109862"/>
    <x v="655"/>
    <x v="6"/>
    <x v="6"/>
    <x v="1"/>
    <x v="0"/>
    <n v="3"/>
    <n v="62968"/>
    <d v="2026-08-23T00:00:00"/>
    <n v="8"/>
    <n v="23"/>
    <n v="2026"/>
    <x v="8"/>
    <s v="Q3"/>
    <x v="1"/>
  </r>
  <r>
    <s v="O103345"/>
    <x v="584"/>
    <x v="3"/>
    <x v="6"/>
    <x v="0"/>
    <x v="2"/>
    <n v="3"/>
    <n v="62890"/>
    <d v="2025-07-23T00:00:00"/>
    <n v="7"/>
    <n v="23"/>
    <n v="2025"/>
    <x v="10"/>
    <s v="Q3"/>
    <x v="0"/>
  </r>
  <r>
    <s v="O105760"/>
    <x v="449"/>
    <x v="0"/>
    <x v="7"/>
    <x v="1"/>
    <x v="3"/>
    <n v="5"/>
    <n v="62864"/>
    <d v="2025-12-16T00:00:00"/>
    <n v="12"/>
    <n v="16"/>
    <n v="2025"/>
    <x v="7"/>
    <s v="Q4"/>
    <x v="1"/>
  </r>
  <r>
    <s v="O104341"/>
    <x v="335"/>
    <x v="5"/>
    <x v="6"/>
    <x v="2"/>
    <x v="1"/>
    <n v="3"/>
    <n v="62837"/>
    <d v="2025-09-21T00:00:00"/>
    <n v="9"/>
    <n v="21"/>
    <n v="2025"/>
    <x v="1"/>
    <s v="Q3"/>
    <x v="2"/>
  </r>
  <r>
    <s v="O108245"/>
    <x v="701"/>
    <x v="10"/>
    <x v="7"/>
    <x v="4"/>
    <x v="0"/>
    <n v="4"/>
    <n v="62801"/>
    <d v="2026-05-16T00:00:00"/>
    <n v="5"/>
    <n v="16"/>
    <n v="2026"/>
    <x v="3"/>
    <s v="Q2"/>
    <x v="4"/>
  </r>
  <r>
    <s v="O102963"/>
    <x v="126"/>
    <x v="10"/>
    <x v="7"/>
    <x v="0"/>
    <x v="2"/>
    <n v="4"/>
    <n v="62759"/>
    <d v="2025-06-29T00:00:00"/>
    <n v="6"/>
    <n v="29"/>
    <n v="2025"/>
    <x v="2"/>
    <s v="Q2"/>
    <x v="0"/>
  </r>
  <r>
    <s v="O107832"/>
    <x v="431"/>
    <x v="6"/>
    <x v="7"/>
    <x v="3"/>
    <x v="2"/>
    <n v="5"/>
    <n v="62728"/>
    <d v="2026-04-21T00:00:00"/>
    <n v="4"/>
    <n v="21"/>
    <n v="2026"/>
    <x v="11"/>
    <s v="Q2"/>
    <x v="3"/>
  </r>
  <r>
    <s v="O106162"/>
    <x v="524"/>
    <x v="5"/>
    <x v="7"/>
    <x v="1"/>
    <x v="3"/>
    <n v="5"/>
    <n v="62660"/>
    <d v="2026-10-01T00:00:00"/>
    <n v="10"/>
    <n v="1"/>
    <n v="2026"/>
    <x v="9"/>
    <s v="Q4"/>
    <x v="1"/>
  </r>
  <r>
    <s v="O103876"/>
    <x v="374"/>
    <x v="4"/>
    <x v="7"/>
    <x v="4"/>
    <x v="3"/>
    <n v="4"/>
    <n v="62490"/>
    <d v="2025-08-24T00:00:00"/>
    <n v="8"/>
    <n v="24"/>
    <n v="2025"/>
    <x v="8"/>
    <s v="Q3"/>
    <x v="4"/>
  </r>
  <r>
    <s v="O102994"/>
    <x v="659"/>
    <x v="2"/>
    <x v="7"/>
    <x v="2"/>
    <x v="0"/>
    <n v="4"/>
    <n v="62452"/>
    <d v="2025-01-07T00:00:00"/>
    <n v="1"/>
    <n v="7"/>
    <n v="2025"/>
    <x v="6"/>
    <s v="Q1"/>
    <x v="2"/>
  </r>
  <r>
    <s v="O102362"/>
    <x v="694"/>
    <x v="2"/>
    <x v="6"/>
    <x v="4"/>
    <x v="1"/>
    <n v="2"/>
    <n v="62301"/>
    <d v="2025-05-24T00:00:00"/>
    <n v="5"/>
    <n v="24"/>
    <n v="2025"/>
    <x v="3"/>
    <s v="Q2"/>
    <x v="4"/>
  </r>
  <r>
    <s v="O106804"/>
    <x v="315"/>
    <x v="4"/>
    <x v="6"/>
    <x v="4"/>
    <x v="1"/>
    <n v="2"/>
    <n v="62258"/>
    <d v="2026-02-18T00:00:00"/>
    <n v="2"/>
    <n v="18"/>
    <n v="2026"/>
    <x v="4"/>
    <s v="Q1"/>
    <x v="4"/>
  </r>
  <r>
    <s v="O102625"/>
    <x v="201"/>
    <x v="9"/>
    <x v="7"/>
    <x v="1"/>
    <x v="3"/>
    <n v="5"/>
    <n v="62215"/>
    <d v="2025-09-06T00:00:00"/>
    <n v="9"/>
    <n v="6"/>
    <n v="2025"/>
    <x v="1"/>
    <s v="Q3"/>
    <x v="1"/>
  </r>
  <r>
    <s v="O111979"/>
    <x v="215"/>
    <x v="9"/>
    <x v="6"/>
    <x v="1"/>
    <x v="0"/>
    <n v="2"/>
    <n v="62214"/>
    <d v="2026-12-29T00:00:00"/>
    <n v="12"/>
    <n v="29"/>
    <n v="2026"/>
    <x v="7"/>
    <s v="Q4"/>
    <x v="1"/>
  </r>
  <r>
    <s v="O107068"/>
    <x v="268"/>
    <x v="8"/>
    <x v="6"/>
    <x v="0"/>
    <x v="1"/>
    <n v="3"/>
    <n v="62200"/>
    <d v="2026-06-03T00:00:00"/>
    <n v="6"/>
    <n v="3"/>
    <n v="2026"/>
    <x v="2"/>
    <s v="Q2"/>
    <x v="0"/>
  </r>
  <r>
    <s v="O100539"/>
    <x v="571"/>
    <x v="4"/>
    <x v="6"/>
    <x v="4"/>
    <x v="2"/>
    <n v="3"/>
    <n v="62185"/>
    <d v="2025-02-02T00:00:00"/>
    <n v="2"/>
    <n v="2"/>
    <n v="2025"/>
    <x v="4"/>
    <s v="Q1"/>
    <x v="4"/>
  </r>
  <r>
    <s v="O107423"/>
    <x v="40"/>
    <x v="6"/>
    <x v="7"/>
    <x v="1"/>
    <x v="1"/>
    <n v="5"/>
    <n v="62111"/>
    <d v="2026-03-27T00:00:00"/>
    <n v="3"/>
    <n v="27"/>
    <n v="2026"/>
    <x v="5"/>
    <s v="Q1"/>
    <x v="1"/>
  </r>
  <r>
    <s v="O105387"/>
    <x v="516"/>
    <x v="3"/>
    <x v="6"/>
    <x v="1"/>
    <x v="0"/>
    <n v="3"/>
    <n v="62103"/>
    <d v="2025-11-24T00:00:00"/>
    <n v="11"/>
    <n v="24"/>
    <n v="2025"/>
    <x v="0"/>
    <s v="Q4"/>
    <x v="1"/>
  </r>
  <r>
    <s v="O104432"/>
    <x v="8"/>
    <x v="8"/>
    <x v="6"/>
    <x v="3"/>
    <x v="2"/>
    <n v="2"/>
    <n v="62103"/>
    <d v="2025-09-27T00:00:00"/>
    <n v="9"/>
    <n v="27"/>
    <n v="2025"/>
    <x v="1"/>
    <s v="Q3"/>
    <x v="3"/>
  </r>
  <r>
    <s v="O105048"/>
    <x v="748"/>
    <x v="2"/>
    <x v="6"/>
    <x v="2"/>
    <x v="1"/>
    <n v="2"/>
    <n v="61898"/>
    <d v="2025-03-11T00:00:00"/>
    <n v="3"/>
    <n v="11"/>
    <n v="2025"/>
    <x v="5"/>
    <s v="Q1"/>
    <x v="2"/>
  </r>
  <r>
    <s v="O109007"/>
    <x v="280"/>
    <x v="3"/>
    <x v="7"/>
    <x v="2"/>
    <x v="1"/>
    <n v="5"/>
    <n v="61892"/>
    <d v="2026-02-07T00:00:00"/>
    <n v="2"/>
    <n v="7"/>
    <n v="2026"/>
    <x v="4"/>
    <s v="Q1"/>
    <x v="2"/>
  </r>
  <r>
    <s v="O108510"/>
    <x v="607"/>
    <x v="5"/>
    <x v="7"/>
    <x v="4"/>
    <x v="2"/>
    <n v="4"/>
    <n v="61857"/>
    <d v="2026-01-06T00:00:00"/>
    <n v="1"/>
    <n v="6"/>
    <n v="2026"/>
    <x v="6"/>
    <s v="Q1"/>
    <x v="4"/>
  </r>
  <r>
    <s v="O109520"/>
    <x v="299"/>
    <x v="2"/>
    <x v="7"/>
    <x v="2"/>
    <x v="0"/>
    <n v="4"/>
    <n v="61846"/>
    <d v="2026-02-08T00:00:00"/>
    <n v="2"/>
    <n v="8"/>
    <n v="2026"/>
    <x v="4"/>
    <s v="Q1"/>
    <x v="2"/>
  </r>
  <r>
    <s v="O109655"/>
    <x v="38"/>
    <x v="1"/>
    <x v="6"/>
    <x v="4"/>
    <x v="1"/>
    <n v="2"/>
    <n v="61838"/>
    <d v="2026-10-08T00:00:00"/>
    <n v="10"/>
    <n v="8"/>
    <n v="2026"/>
    <x v="9"/>
    <s v="Q4"/>
    <x v="4"/>
  </r>
  <r>
    <s v="O107171"/>
    <x v="67"/>
    <x v="6"/>
    <x v="6"/>
    <x v="1"/>
    <x v="3"/>
    <n v="3"/>
    <n v="61756"/>
    <d v="2026-12-03T00:00:00"/>
    <n v="12"/>
    <n v="3"/>
    <n v="2026"/>
    <x v="7"/>
    <s v="Q4"/>
    <x v="1"/>
  </r>
  <r>
    <s v="O109239"/>
    <x v="74"/>
    <x v="10"/>
    <x v="6"/>
    <x v="3"/>
    <x v="0"/>
    <n v="2"/>
    <n v="61738"/>
    <d v="2026-07-16T00:00:00"/>
    <n v="7"/>
    <n v="16"/>
    <n v="2026"/>
    <x v="10"/>
    <s v="Q3"/>
    <x v="3"/>
  </r>
  <r>
    <s v="O101602"/>
    <x v="659"/>
    <x v="5"/>
    <x v="7"/>
    <x v="2"/>
    <x v="3"/>
    <n v="5"/>
    <n v="61656"/>
    <d v="2025-08-04T00:00:00"/>
    <n v="8"/>
    <n v="4"/>
    <n v="2025"/>
    <x v="8"/>
    <s v="Q3"/>
    <x v="2"/>
  </r>
  <r>
    <s v="O102387"/>
    <x v="336"/>
    <x v="2"/>
    <x v="7"/>
    <x v="1"/>
    <x v="0"/>
    <n v="5"/>
    <n v="61514"/>
    <d v="2025-05-25T00:00:00"/>
    <n v="5"/>
    <n v="25"/>
    <n v="2025"/>
    <x v="3"/>
    <s v="Q2"/>
    <x v="1"/>
  </r>
  <r>
    <s v="O111582"/>
    <x v="618"/>
    <x v="10"/>
    <x v="7"/>
    <x v="1"/>
    <x v="1"/>
    <n v="4"/>
    <n v="61489"/>
    <d v="2026-05-12T00:00:00"/>
    <n v="5"/>
    <n v="12"/>
    <n v="2026"/>
    <x v="3"/>
    <s v="Q2"/>
    <x v="1"/>
  </r>
  <r>
    <s v="O110957"/>
    <x v="99"/>
    <x v="2"/>
    <x v="7"/>
    <x v="2"/>
    <x v="2"/>
    <n v="4"/>
    <n v="61434"/>
    <d v="2026-10-28T00:00:00"/>
    <n v="10"/>
    <n v="28"/>
    <n v="2026"/>
    <x v="9"/>
    <s v="Q4"/>
    <x v="2"/>
  </r>
  <r>
    <s v="O107447"/>
    <x v="218"/>
    <x v="2"/>
    <x v="6"/>
    <x v="0"/>
    <x v="3"/>
    <n v="2"/>
    <n v="61433"/>
    <d v="2026-03-29T00:00:00"/>
    <n v="3"/>
    <n v="29"/>
    <n v="2026"/>
    <x v="5"/>
    <s v="Q1"/>
    <x v="0"/>
  </r>
  <r>
    <s v="O106448"/>
    <x v="431"/>
    <x v="3"/>
    <x v="6"/>
    <x v="3"/>
    <x v="0"/>
    <n v="2"/>
    <n v="61418"/>
    <d v="2026-01-27T00:00:00"/>
    <n v="1"/>
    <n v="27"/>
    <n v="2026"/>
    <x v="6"/>
    <s v="Q1"/>
    <x v="3"/>
  </r>
  <r>
    <s v="O108734"/>
    <x v="522"/>
    <x v="5"/>
    <x v="6"/>
    <x v="1"/>
    <x v="2"/>
    <n v="2"/>
    <n v="61395"/>
    <d v="2026-06-15T00:00:00"/>
    <n v="6"/>
    <n v="15"/>
    <n v="2026"/>
    <x v="2"/>
    <s v="Q2"/>
    <x v="1"/>
  </r>
  <r>
    <s v="O106830"/>
    <x v="430"/>
    <x v="1"/>
    <x v="7"/>
    <x v="2"/>
    <x v="3"/>
    <n v="4"/>
    <n v="61387"/>
    <d v="2026-02-19T00:00:00"/>
    <n v="2"/>
    <n v="19"/>
    <n v="2026"/>
    <x v="4"/>
    <s v="Q1"/>
    <x v="2"/>
  </r>
  <r>
    <s v="O101009"/>
    <x v="342"/>
    <x v="3"/>
    <x v="7"/>
    <x v="0"/>
    <x v="1"/>
    <n v="5"/>
    <n v="61265"/>
    <d v="2025-03-03T00:00:00"/>
    <n v="3"/>
    <n v="3"/>
    <n v="2025"/>
    <x v="5"/>
    <s v="Q1"/>
    <x v="0"/>
  </r>
  <r>
    <s v="O106175"/>
    <x v="518"/>
    <x v="3"/>
    <x v="6"/>
    <x v="2"/>
    <x v="1"/>
    <n v="3"/>
    <n v="61246"/>
    <d v="2026-11-01T00:00:00"/>
    <n v="11"/>
    <n v="1"/>
    <n v="2026"/>
    <x v="0"/>
    <s v="Q4"/>
    <x v="2"/>
  </r>
  <r>
    <s v="O108573"/>
    <x v="709"/>
    <x v="6"/>
    <x v="7"/>
    <x v="4"/>
    <x v="0"/>
    <n v="4"/>
    <n v="61205"/>
    <d v="2026-05-06T00:00:00"/>
    <n v="5"/>
    <n v="6"/>
    <n v="2026"/>
    <x v="3"/>
    <s v="Q2"/>
    <x v="4"/>
  </r>
  <r>
    <s v="O110254"/>
    <x v="163"/>
    <x v="6"/>
    <x v="1"/>
    <x v="3"/>
    <x v="0"/>
    <n v="4"/>
    <n v="61199"/>
    <d v="2026-09-15T00:00:00"/>
    <n v="9"/>
    <n v="15"/>
    <n v="2026"/>
    <x v="1"/>
    <s v="Q3"/>
    <x v="3"/>
  </r>
  <r>
    <s v="O103759"/>
    <x v="199"/>
    <x v="6"/>
    <x v="6"/>
    <x v="3"/>
    <x v="0"/>
    <n v="2"/>
    <n v="61185"/>
    <d v="2025-08-17T00:00:00"/>
    <n v="8"/>
    <n v="17"/>
    <n v="2025"/>
    <x v="8"/>
    <s v="Q3"/>
    <x v="3"/>
  </r>
  <r>
    <s v="O110537"/>
    <x v="213"/>
    <x v="3"/>
    <x v="7"/>
    <x v="4"/>
    <x v="1"/>
    <n v="4"/>
    <n v="61156"/>
    <d v="2026-03-10T00:00:00"/>
    <n v="3"/>
    <n v="10"/>
    <n v="2026"/>
    <x v="5"/>
    <m/>
    <x v="4"/>
  </r>
  <r>
    <s v="O104610"/>
    <x v="167"/>
    <x v="0"/>
    <x v="7"/>
    <x v="1"/>
    <x v="3"/>
    <n v="4"/>
    <n v="61140"/>
    <d v="2025-08-10T00:00:00"/>
    <n v="8"/>
    <n v="10"/>
    <n v="2025"/>
    <x v="8"/>
    <s v="Q3"/>
    <x v="1"/>
  </r>
  <r>
    <s v="O108137"/>
    <x v="47"/>
    <x v="10"/>
    <x v="7"/>
    <x v="2"/>
    <x v="2"/>
    <n v="5"/>
    <n v="61111"/>
    <d v="2026-10-05T00:00:00"/>
    <n v="10"/>
    <n v="5"/>
    <n v="2026"/>
    <x v="9"/>
    <s v="Q4"/>
    <x v="2"/>
  </r>
  <r>
    <s v="O109388"/>
    <x v="77"/>
    <x v="3"/>
    <x v="7"/>
    <x v="2"/>
    <x v="2"/>
    <n v="5"/>
    <n v="61061"/>
    <d v="2026-07-25T00:00:00"/>
    <n v="7"/>
    <n v="25"/>
    <n v="2026"/>
    <x v="10"/>
    <s v="Q3"/>
    <x v="2"/>
  </r>
  <r>
    <s v="O109503"/>
    <x v="722"/>
    <x v="5"/>
    <x v="6"/>
    <x v="3"/>
    <x v="3"/>
    <n v="2"/>
    <n v="61030"/>
    <d v="2026-01-08T00:00:00"/>
    <n v="1"/>
    <n v="8"/>
    <n v="2026"/>
    <x v="6"/>
    <s v="Q1"/>
    <x v="3"/>
  </r>
  <r>
    <s v="O111303"/>
    <x v="504"/>
    <x v="4"/>
    <x v="6"/>
    <x v="1"/>
    <x v="3"/>
    <n v="3"/>
    <n v="61021"/>
    <d v="2026-11-18T00:00:00"/>
    <n v="11"/>
    <n v="18"/>
    <n v="2026"/>
    <x v="0"/>
    <s v="Q4"/>
    <x v="1"/>
  </r>
  <r>
    <s v="O109044"/>
    <x v="326"/>
    <x v="3"/>
    <x v="7"/>
    <x v="1"/>
    <x v="3"/>
    <n v="5"/>
    <n v="60950"/>
    <d v="2026-04-07T00:00:00"/>
    <n v="4"/>
    <n v="7"/>
    <n v="2026"/>
    <x v="11"/>
    <s v="Q2"/>
    <x v="1"/>
  </r>
  <r>
    <s v="O101285"/>
    <x v="342"/>
    <x v="3"/>
    <x v="7"/>
    <x v="2"/>
    <x v="3"/>
    <n v="5"/>
    <n v="60886"/>
    <d v="2025-03-20T00:00:00"/>
    <n v="3"/>
    <n v="20"/>
    <n v="2025"/>
    <x v="5"/>
    <s v="Q1"/>
    <x v="2"/>
  </r>
  <r>
    <s v="O105191"/>
    <x v="346"/>
    <x v="2"/>
    <x v="7"/>
    <x v="3"/>
    <x v="3"/>
    <n v="5"/>
    <n v="60852"/>
    <d v="2025-12-11T00:00:00"/>
    <n v="12"/>
    <n v="11"/>
    <n v="2025"/>
    <x v="7"/>
    <m/>
    <x v="3"/>
  </r>
  <r>
    <s v="O102043"/>
    <x v="373"/>
    <x v="0"/>
    <x v="6"/>
    <x v="1"/>
    <x v="3"/>
    <n v="3"/>
    <n v="60803"/>
    <d v="2025-05-05T00:00:00"/>
    <n v="5"/>
    <n v="5"/>
    <n v="2025"/>
    <x v="3"/>
    <s v="Q2"/>
    <x v="1"/>
  </r>
  <r>
    <s v="O111128"/>
    <x v="543"/>
    <x v="0"/>
    <x v="7"/>
    <x v="3"/>
    <x v="1"/>
    <n v="5"/>
    <n v="60791"/>
    <d v="2026-08-11T00:00:00"/>
    <n v="8"/>
    <n v="11"/>
    <n v="2026"/>
    <x v="8"/>
    <s v="Q3"/>
    <x v="3"/>
  </r>
  <r>
    <s v="O105258"/>
    <x v="154"/>
    <x v="6"/>
    <x v="6"/>
    <x v="3"/>
    <x v="1"/>
    <n v="3"/>
    <n v="60790"/>
    <d v="2025-11-16T00:00:00"/>
    <n v="11"/>
    <n v="16"/>
    <n v="2025"/>
    <x v="0"/>
    <s v="Q4"/>
    <x v="3"/>
  </r>
  <r>
    <s v="O100782"/>
    <x v="751"/>
    <x v="9"/>
    <x v="6"/>
    <x v="3"/>
    <x v="1"/>
    <n v="2"/>
    <n v="60781"/>
    <d v="2025-02-17T00:00:00"/>
    <n v="2"/>
    <n v="17"/>
    <n v="2025"/>
    <x v="4"/>
    <s v="Q1"/>
    <x v="3"/>
  </r>
  <r>
    <s v="O106488"/>
    <x v="370"/>
    <x v="6"/>
    <x v="7"/>
    <x v="2"/>
    <x v="0"/>
    <n v="4"/>
    <n v="60748"/>
    <d v="2026-01-30T00:00:00"/>
    <n v="1"/>
    <n v="30"/>
    <n v="2026"/>
    <x v="6"/>
    <s v="Q1"/>
    <x v="2"/>
  </r>
  <r>
    <s v="O111546"/>
    <x v="10"/>
    <x v="2"/>
    <x v="6"/>
    <x v="4"/>
    <x v="2"/>
    <n v="2"/>
    <n v="60710"/>
    <d v="2026-03-12T00:00:00"/>
    <n v="3"/>
    <n v="12"/>
    <n v="2026"/>
    <x v="5"/>
    <s v="Q1"/>
    <x v="4"/>
  </r>
  <r>
    <s v="O108275"/>
    <x v="502"/>
    <x v="2"/>
    <x v="6"/>
    <x v="2"/>
    <x v="1"/>
    <n v="2"/>
    <n v="60704"/>
    <d v="2026-05-18T00:00:00"/>
    <n v="5"/>
    <n v="18"/>
    <n v="2026"/>
    <x v="3"/>
    <s v="Q2"/>
    <x v="2"/>
  </r>
  <r>
    <s v="O111301"/>
    <x v="257"/>
    <x v="8"/>
    <x v="6"/>
    <x v="0"/>
    <x v="0"/>
    <n v="3"/>
    <n v="60703"/>
    <d v="2026-11-18T00:00:00"/>
    <n v="11"/>
    <n v="18"/>
    <n v="2026"/>
    <x v="0"/>
    <s v="Q4"/>
    <x v="0"/>
  </r>
  <r>
    <s v="O109333"/>
    <x v="774"/>
    <x v="4"/>
    <x v="6"/>
    <x v="2"/>
    <x v="0"/>
    <n v="2"/>
    <n v="60685"/>
    <d v="2026-07-21T00:00:00"/>
    <n v="7"/>
    <n v="21"/>
    <n v="2026"/>
    <x v="10"/>
    <s v="Q3"/>
    <x v="2"/>
  </r>
  <r>
    <s v="O106798"/>
    <x v="163"/>
    <x v="9"/>
    <x v="7"/>
    <x v="3"/>
    <x v="2"/>
    <n v="5"/>
    <n v="60654"/>
    <d v="2026-02-17T00:00:00"/>
    <n v="2"/>
    <n v="17"/>
    <n v="2026"/>
    <x v="4"/>
    <s v="Q1"/>
    <x v="3"/>
  </r>
  <r>
    <s v="O101309"/>
    <x v="144"/>
    <x v="5"/>
    <x v="7"/>
    <x v="0"/>
    <x v="0"/>
    <n v="4"/>
    <n v="60639"/>
    <d v="2025-03-21T00:00:00"/>
    <n v="3"/>
    <n v="21"/>
    <n v="2025"/>
    <x v="5"/>
    <s v="Q1"/>
    <x v="0"/>
  </r>
  <r>
    <s v="O105838"/>
    <x v="265"/>
    <x v="2"/>
    <x v="7"/>
    <x v="1"/>
    <x v="0"/>
    <n v="4"/>
    <n v="60639"/>
    <d v="2025-12-21T00:00:00"/>
    <n v="12"/>
    <n v="21"/>
    <n v="2025"/>
    <x v="7"/>
    <s v="Q4"/>
    <x v="1"/>
  </r>
  <r>
    <s v="O109267"/>
    <x v="43"/>
    <x v="9"/>
    <x v="7"/>
    <x v="2"/>
    <x v="1"/>
    <n v="4"/>
    <n v="60607"/>
    <d v="2026-07-17T00:00:00"/>
    <n v="7"/>
    <n v="17"/>
    <n v="2026"/>
    <x v="10"/>
    <s v="Q3"/>
    <x v="2"/>
  </r>
  <r>
    <s v="O111327"/>
    <x v="152"/>
    <x v="5"/>
    <x v="6"/>
    <x v="0"/>
    <x v="2"/>
    <n v="2"/>
    <n v="60568"/>
    <d v="2026-11-20T00:00:00"/>
    <n v="11"/>
    <n v="20"/>
    <n v="2026"/>
    <x v="0"/>
    <s v="Q4"/>
    <x v="0"/>
  </r>
  <r>
    <s v="O111691"/>
    <x v="691"/>
    <x v="2"/>
    <x v="7"/>
    <x v="4"/>
    <x v="2"/>
    <n v="4"/>
    <n v="60528"/>
    <d v="2026-12-12T00:00:00"/>
    <n v="12"/>
    <n v="12"/>
    <n v="2026"/>
    <x v="7"/>
    <m/>
    <x v="4"/>
  </r>
  <r>
    <s v="O111686"/>
    <x v="448"/>
    <x v="6"/>
    <x v="6"/>
    <x v="1"/>
    <x v="1"/>
    <n v="2"/>
    <n v="60512"/>
    <d v="2026-11-12T00:00:00"/>
    <n v="11"/>
    <n v="12"/>
    <n v="2026"/>
    <x v="0"/>
    <s v="Q4"/>
    <x v="1"/>
  </r>
  <r>
    <s v="O107674"/>
    <x v="603"/>
    <x v="5"/>
    <x v="6"/>
    <x v="4"/>
    <x v="0"/>
    <n v="2"/>
    <n v="60502"/>
    <d v="2026-12-04T00:00:00"/>
    <n v="12"/>
    <n v="4"/>
    <n v="2026"/>
    <x v="7"/>
    <s v="Q4"/>
    <x v="4"/>
  </r>
  <r>
    <s v="O108720"/>
    <x v="763"/>
    <x v="8"/>
    <x v="6"/>
    <x v="2"/>
    <x v="3"/>
    <n v="2"/>
    <n v="60502"/>
    <d v="2026-06-14T00:00:00"/>
    <n v="6"/>
    <n v="14"/>
    <n v="2026"/>
    <x v="2"/>
    <s v="Q2"/>
    <x v="2"/>
  </r>
  <r>
    <s v="O100244"/>
    <x v="721"/>
    <x v="6"/>
    <x v="7"/>
    <x v="1"/>
    <x v="3"/>
    <n v="4"/>
    <n v="60492"/>
    <d v="2025-01-15T00:00:00"/>
    <n v="1"/>
    <n v="15"/>
    <n v="2025"/>
    <x v="6"/>
    <s v="Q1"/>
    <x v="1"/>
  </r>
  <r>
    <s v="O102049"/>
    <x v="224"/>
    <x v="0"/>
    <x v="6"/>
    <x v="3"/>
    <x v="1"/>
    <n v="2"/>
    <n v="60487"/>
    <d v="2025-05-05T00:00:00"/>
    <n v="5"/>
    <n v="5"/>
    <n v="2025"/>
    <x v="3"/>
    <s v="Q2"/>
    <x v="3"/>
  </r>
  <r>
    <s v="O111390"/>
    <x v="284"/>
    <x v="3"/>
    <x v="7"/>
    <x v="3"/>
    <x v="2"/>
    <n v="5"/>
    <n v="60452"/>
    <d v="2026-11-23T00:00:00"/>
    <n v="11"/>
    <n v="23"/>
    <n v="2026"/>
    <x v="0"/>
    <s v="Q4"/>
    <x v="3"/>
  </r>
  <r>
    <s v="O107975"/>
    <x v="722"/>
    <x v="3"/>
    <x v="6"/>
    <x v="4"/>
    <x v="1"/>
    <n v="3"/>
    <n v="60357"/>
    <d v="2026-04-30T00:00:00"/>
    <n v="4"/>
    <n v="30"/>
    <n v="2026"/>
    <x v="11"/>
    <s v="Q2"/>
    <x v="4"/>
  </r>
  <r>
    <s v="O101856"/>
    <x v="488"/>
    <x v="0"/>
    <x v="7"/>
    <x v="4"/>
    <x v="0"/>
    <n v="4"/>
    <n v="60345"/>
    <d v="2025-04-23T00:00:00"/>
    <n v="4"/>
    <n v="23"/>
    <n v="2025"/>
    <x v="11"/>
    <s v="Q2"/>
    <x v="4"/>
  </r>
  <r>
    <s v="O100863"/>
    <x v="311"/>
    <x v="4"/>
    <x v="6"/>
    <x v="3"/>
    <x v="3"/>
    <n v="2"/>
    <n v="60337"/>
    <d v="2025-02-22T00:00:00"/>
    <n v="2"/>
    <n v="22"/>
    <n v="2025"/>
    <x v="4"/>
    <s v="Q1"/>
    <x v="3"/>
  </r>
  <r>
    <s v="O107912"/>
    <x v="730"/>
    <x v="3"/>
    <x v="7"/>
    <x v="4"/>
    <x v="2"/>
    <n v="4"/>
    <n v="60323"/>
    <d v="2026-04-26T00:00:00"/>
    <n v="4"/>
    <n v="26"/>
    <n v="2026"/>
    <x v="11"/>
    <s v="Q2"/>
    <x v="4"/>
  </r>
  <r>
    <s v="O101619"/>
    <x v="507"/>
    <x v="0"/>
    <x v="6"/>
    <x v="3"/>
    <x v="1"/>
    <n v="3"/>
    <n v="60303"/>
    <d v="2025-09-04T00:00:00"/>
    <n v="9"/>
    <n v="4"/>
    <n v="2025"/>
    <x v="1"/>
    <s v="Q3"/>
    <x v="3"/>
  </r>
  <r>
    <s v="O101330"/>
    <x v="768"/>
    <x v="3"/>
    <x v="6"/>
    <x v="2"/>
    <x v="2"/>
    <n v="3"/>
    <n v="60252"/>
    <d v="2025-03-22T00:00:00"/>
    <n v="3"/>
    <n v="22"/>
    <n v="2025"/>
    <x v="5"/>
    <s v="Q1"/>
    <x v="2"/>
  </r>
  <r>
    <s v="O104852"/>
    <x v="331"/>
    <x v="4"/>
    <x v="7"/>
    <x v="0"/>
    <x v="1"/>
    <n v="4"/>
    <n v="60251"/>
    <d v="2025-10-22T00:00:00"/>
    <n v="10"/>
    <n v="22"/>
    <n v="2025"/>
    <x v="9"/>
    <s v="Q4"/>
    <x v="0"/>
  </r>
  <r>
    <s v="O100086"/>
    <x v="442"/>
    <x v="0"/>
    <x v="7"/>
    <x v="3"/>
    <x v="0"/>
    <n v="5"/>
    <n v="60243"/>
    <d v="2025-06-01T00:00:00"/>
    <n v="6"/>
    <n v="1"/>
    <n v="2025"/>
    <x v="2"/>
    <s v="Q2"/>
    <x v="3"/>
  </r>
  <r>
    <s v="O102962"/>
    <x v="681"/>
    <x v="8"/>
    <x v="7"/>
    <x v="4"/>
    <x v="2"/>
    <n v="5"/>
    <n v="60166"/>
    <d v="2025-06-29T00:00:00"/>
    <n v="6"/>
    <n v="29"/>
    <n v="2025"/>
    <x v="2"/>
    <s v="Q2"/>
    <x v="4"/>
  </r>
  <r>
    <s v="O100934"/>
    <x v="135"/>
    <x v="0"/>
    <x v="6"/>
    <x v="3"/>
    <x v="2"/>
    <n v="3"/>
    <n v="60148"/>
    <d v="2025-02-26T00:00:00"/>
    <n v="2"/>
    <n v="26"/>
    <n v="2025"/>
    <x v="4"/>
    <s v="Q1"/>
    <x v="3"/>
  </r>
  <r>
    <s v="O111509"/>
    <x v="597"/>
    <x v="2"/>
    <x v="7"/>
    <x v="2"/>
    <x v="4"/>
    <n v="5"/>
    <n v="60139"/>
    <d v="2026-12-01T00:00:00"/>
    <n v="12"/>
    <n v="1"/>
    <n v="2026"/>
    <x v="7"/>
    <s v="Q4"/>
    <x v="2"/>
  </r>
  <r>
    <s v="O108039"/>
    <x v="653"/>
    <x v="3"/>
    <x v="7"/>
    <x v="0"/>
    <x v="0"/>
    <n v="4"/>
    <n v="60081"/>
    <d v="2026-04-05T00:00:00"/>
    <n v="4"/>
    <n v="5"/>
    <n v="2026"/>
    <x v="11"/>
    <s v="Q2"/>
    <x v="0"/>
  </r>
  <r>
    <s v="O104653"/>
    <x v="454"/>
    <x v="5"/>
    <x v="6"/>
    <x v="2"/>
    <x v="0"/>
    <n v="2"/>
    <n v="60074"/>
    <d v="2025-10-10T00:00:00"/>
    <n v="10"/>
    <n v="10"/>
    <n v="2025"/>
    <x v="9"/>
    <s v="Q4"/>
    <x v="2"/>
  </r>
  <r>
    <s v="O109774"/>
    <x v="471"/>
    <x v="3"/>
    <x v="6"/>
    <x v="2"/>
    <x v="2"/>
    <n v="3"/>
    <n v="59985"/>
    <d v="2026-08-17T00:00:00"/>
    <n v="8"/>
    <n v="17"/>
    <n v="2026"/>
    <x v="8"/>
    <s v="Q3"/>
    <x v="2"/>
  </r>
  <r>
    <s v="O101703"/>
    <x v="377"/>
    <x v="0"/>
    <x v="7"/>
    <x v="3"/>
    <x v="2"/>
    <n v="5"/>
    <n v="59940"/>
    <d v="2025-04-14T00:00:00"/>
    <n v="4"/>
    <n v="14"/>
    <n v="2025"/>
    <x v="11"/>
    <s v="Q2"/>
    <x v="3"/>
  </r>
  <r>
    <s v="O109599"/>
    <x v="553"/>
    <x v="5"/>
    <x v="7"/>
    <x v="4"/>
    <x v="3"/>
    <n v="5"/>
    <n v="59901"/>
    <d v="2026-07-08T00:00:00"/>
    <n v="7"/>
    <n v="8"/>
    <n v="2026"/>
    <x v="10"/>
    <s v="Q3"/>
    <x v="4"/>
  </r>
  <r>
    <s v="O110156"/>
    <x v="789"/>
    <x v="5"/>
    <x v="7"/>
    <x v="1"/>
    <x v="3"/>
    <n v="4"/>
    <n v="59867"/>
    <d v="2026-09-09T00:00:00"/>
    <n v="9"/>
    <n v="9"/>
    <n v="2026"/>
    <x v="1"/>
    <s v="Q3"/>
    <x v="1"/>
  </r>
  <r>
    <s v="O107079"/>
    <x v="169"/>
    <x v="7"/>
    <x v="6"/>
    <x v="0"/>
    <x v="0"/>
    <n v="3"/>
    <n v="59866"/>
    <d v="2026-07-03T00:00:00"/>
    <n v="7"/>
    <n v="3"/>
    <n v="2026"/>
    <x v="10"/>
    <m/>
    <x v="0"/>
  </r>
  <r>
    <s v="O105408"/>
    <x v="742"/>
    <x v="6"/>
    <x v="6"/>
    <x v="2"/>
    <x v="2"/>
    <n v="2"/>
    <n v="59863"/>
    <d v="2025-11-25T00:00:00"/>
    <n v="11"/>
    <n v="25"/>
    <n v="2025"/>
    <x v="0"/>
    <s v="Q4"/>
    <x v="2"/>
  </r>
  <r>
    <s v="O105795"/>
    <x v="631"/>
    <x v="10"/>
    <x v="6"/>
    <x v="0"/>
    <x v="1"/>
    <n v="2"/>
    <n v="59838"/>
    <d v="2025-12-19T00:00:00"/>
    <n v="12"/>
    <n v="19"/>
    <n v="2025"/>
    <x v="7"/>
    <s v="Q4"/>
    <x v="0"/>
  </r>
  <r>
    <s v="O105199"/>
    <x v="91"/>
    <x v="2"/>
    <x v="7"/>
    <x v="1"/>
    <x v="3"/>
    <n v="4"/>
    <n v="59832"/>
    <d v="2025-12-11T00:00:00"/>
    <n v="12"/>
    <n v="11"/>
    <n v="2025"/>
    <x v="7"/>
    <s v="Q4"/>
    <x v="1"/>
  </r>
  <r>
    <s v="O102102"/>
    <x v="611"/>
    <x v="2"/>
    <x v="6"/>
    <x v="3"/>
    <x v="2"/>
    <n v="3"/>
    <n v="59802"/>
    <d v="2025-08-05T00:00:00"/>
    <n v="8"/>
    <n v="5"/>
    <n v="2025"/>
    <x v="8"/>
    <s v="Q3"/>
    <x v="3"/>
  </r>
  <r>
    <s v="O102313"/>
    <x v="785"/>
    <x v="0"/>
    <x v="6"/>
    <x v="1"/>
    <x v="1"/>
    <n v="2"/>
    <n v="59747"/>
    <d v="2025-05-21T00:00:00"/>
    <n v="5"/>
    <n v="21"/>
    <n v="2025"/>
    <x v="3"/>
    <s v="Q2"/>
    <x v="1"/>
  </r>
  <r>
    <s v="O111636"/>
    <x v="753"/>
    <x v="4"/>
    <x v="7"/>
    <x v="4"/>
    <x v="2"/>
    <n v="5"/>
    <n v="59747"/>
    <d v="2026-08-12T00:00:00"/>
    <n v="8"/>
    <n v="12"/>
    <n v="2026"/>
    <x v="8"/>
    <s v="Q3"/>
    <x v="4"/>
  </r>
  <r>
    <s v="O105919"/>
    <x v="660"/>
    <x v="4"/>
    <x v="7"/>
    <x v="2"/>
    <x v="0"/>
    <n v="4"/>
    <n v="59694"/>
    <d v="2025-12-26T00:00:00"/>
    <n v="12"/>
    <n v="26"/>
    <n v="2025"/>
    <x v="7"/>
    <m/>
    <x v="2"/>
  </r>
  <r>
    <s v="O101968"/>
    <x v="317"/>
    <x v="4"/>
    <x v="7"/>
    <x v="1"/>
    <x v="3"/>
    <n v="5"/>
    <n v="59657"/>
    <d v="2025-04-30T00:00:00"/>
    <n v="4"/>
    <n v="30"/>
    <n v="2025"/>
    <x v="11"/>
    <s v="Q2"/>
    <x v="1"/>
  </r>
  <r>
    <s v="O108661"/>
    <x v="317"/>
    <x v="3"/>
    <x v="6"/>
    <x v="0"/>
    <x v="0"/>
    <n v="2"/>
    <n v="59613"/>
    <d v="2026-11-06T00:00:00"/>
    <n v="11"/>
    <n v="6"/>
    <n v="2026"/>
    <x v="0"/>
    <s v="Q4"/>
    <x v="0"/>
  </r>
  <r>
    <s v="O100640"/>
    <x v="443"/>
    <x v="5"/>
    <x v="7"/>
    <x v="0"/>
    <x v="2"/>
    <n v="4"/>
    <n v="59586"/>
    <d v="2025-08-02T00:00:00"/>
    <n v="8"/>
    <n v="2"/>
    <n v="2025"/>
    <x v="8"/>
    <m/>
    <x v="0"/>
  </r>
  <r>
    <s v="O108939"/>
    <x v="536"/>
    <x v="8"/>
    <x v="7"/>
    <x v="0"/>
    <x v="1"/>
    <n v="5"/>
    <n v="59576"/>
    <d v="2026-06-28T00:00:00"/>
    <n v="6"/>
    <n v="28"/>
    <n v="2026"/>
    <x v="2"/>
    <s v="Q2"/>
    <x v="0"/>
  </r>
  <r>
    <s v="O100914"/>
    <x v="336"/>
    <x v="8"/>
    <x v="7"/>
    <x v="2"/>
    <x v="2"/>
    <n v="5"/>
    <n v="59575"/>
    <d v="2025-02-25T00:00:00"/>
    <n v="2"/>
    <n v="25"/>
    <n v="2025"/>
    <x v="4"/>
    <s v="Q1"/>
    <x v="2"/>
  </r>
  <r>
    <s v="O108218"/>
    <x v="290"/>
    <x v="1"/>
    <x v="7"/>
    <x v="3"/>
    <x v="3"/>
    <n v="4"/>
    <n v="59561"/>
    <d v="2026-05-15T00:00:00"/>
    <n v="5"/>
    <n v="15"/>
    <n v="2026"/>
    <x v="3"/>
    <s v="Q2"/>
    <x v="3"/>
  </r>
  <r>
    <s v="O105115"/>
    <x v="507"/>
    <x v="5"/>
    <x v="7"/>
    <x v="2"/>
    <x v="1"/>
    <n v="4"/>
    <n v="59539"/>
    <d v="2025-07-11T00:00:00"/>
    <n v="7"/>
    <n v="11"/>
    <n v="2025"/>
    <x v="10"/>
    <s v="Q3"/>
    <x v="2"/>
  </r>
  <r>
    <s v="O108216"/>
    <x v="184"/>
    <x v="1"/>
    <x v="6"/>
    <x v="0"/>
    <x v="3"/>
    <n v="3"/>
    <n v="59492"/>
    <d v="2026-05-15T00:00:00"/>
    <n v="5"/>
    <n v="15"/>
    <n v="2026"/>
    <x v="3"/>
    <s v="Q2"/>
    <x v="0"/>
  </r>
  <r>
    <s v="O108147"/>
    <x v="181"/>
    <x v="2"/>
    <x v="7"/>
    <x v="0"/>
    <x v="2"/>
    <n v="5"/>
    <n v="59483"/>
    <d v="2026-10-05T00:00:00"/>
    <n v="10"/>
    <n v="5"/>
    <n v="2026"/>
    <x v="9"/>
    <s v="Q4"/>
    <x v="0"/>
  </r>
  <r>
    <s v="O100742"/>
    <x v="141"/>
    <x v="1"/>
    <x v="7"/>
    <x v="4"/>
    <x v="3"/>
    <n v="4"/>
    <n v="59438"/>
    <d v="2025-02-15T00:00:00"/>
    <n v="2"/>
    <n v="15"/>
    <n v="2025"/>
    <x v="4"/>
    <s v="Q1"/>
    <x v="4"/>
  </r>
  <r>
    <s v="O102999"/>
    <x v="610"/>
    <x v="10"/>
    <x v="7"/>
    <x v="3"/>
    <x v="2"/>
    <n v="4"/>
    <n v="59392"/>
    <d v="2025-02-07T00:00:00"/>
    <n v="2"/>
    <n v="7"/>
    <n v="2025"/>
    <x v="4"/>
    <s v="Q1"/>
    <x v="3"/>
  </r>
  <r>
    <s v="O102083"/>
    <x v="299"/>
    <x v="0"/>
    <x v="6"/>
    <x v="4"/>
    <x v="3"/>
    <n v="3"/>
    <n v="59391"/>
    <d v="2025-07-05T00:00:00"/>
    <n v="7"/>
    <n v="5"/>
    <n v="2025"/>
    <x v="10"/>
    <s v="Q3"/>
    <x v="4"/>
  </r>
  <r>
    <s v="O104436"/>
    <x v="517"/>
    <x v="2"/>
    <x v="7"/>
    <x v="2"/>
    <x v="3"/>
    <n v="5"/>
    <n v="59358"/>
    <d v="2025-09-27T00:00:00"/>
    <n v="9"/>
    <n v="27"/>
    <n v="2025"/>
    <x v="1"/>
    <s v="Q3"/>
    <x v="2"/>
  </r>
  <r>
    <s v="O111566"/>
    <x v="222"/>
    <x v="6"/>
    <x v="7"/>
    <x v="1"/>
    <x v="0"/>
    <n v="5"/>
    <n v="59346"/>
    <d v="2026-04-12T00:00:00"/>
    <n v="4"/>
    <n v="12"/>
    <n v="2026"/>
    <x v="11"/>
    <s v="Q2"/>
    <x v="1"/>
  </r>
  <r>
    <s v="O100178"/>
    <x v="153"/>
    <x v="5"/>
    <x v="7"/>
    <x v="4"/>
    <x v="3"/>
    <n v="4"/>
    <n v="59286"/>
    <d v="2025-11-01T00:00:00"/>
    <n v="11"/>
    <n v="1"/>
    <n v="2025"/>
    <x v="0"/>
    <s v="Q4"/>
    <x v="4"/>
  </r>
  <r>
    <s v="O106384"/>
    <x v="76"/>
    <x v="9"/>
    <x v="7"/>
    <x v="4"/>
    <x v="2"/>
    <n v="4"/>
    <n v="59195"/>
    <d v="2026-01-23T00:00:00"/>
    <n v="1"/>
    <n v="23"/>
    <n v="2026"/>
    <x v="6"/>
    <s v="Q1"/>
    <x v="4"/>
  </r>
  <r>
    <s v="O107615"/>
    <x v="227"/>
    <x v="5"/>
    <x v="7"/>
    <x v="0"/>
    <x v="0"/>
    <n v="4"/>
    <n v="59167"/>
    <d v="2026-08-04T00:00:00"/>
    <n v="8"/>
    <n v="4"/>
    <n v="2026"/>
    <x v="8"/>
    <s v="Q3"/>
    <x v="0"/>
  </r>
  <r>
    <s v="O103944"/>
    <x v="233"/>
    <x v="1"/>
    <x v="7"/>
    <x v="2"/>
    <x v="1"/>
    <n v="4"/>
    <n v="59062"/>
    <d v="2025-08-28T00:00:00"/>
    <n v="8"/>
    <n v="28"/>
    <n v="2025"/>
    <x v="8"/>
    <s v="Q3"/>
    <x v="2"/>
  </r>
  <r>
    <s v="O107659"/>
    <x v="233"/>
    <x v="2"/>
    <x v="6"/>
    <x v="1"/>
    <x v="0"/>
    <n v="3"/>
    <n v="59032"/>
    <d v="2026-11-04T00:00:00"/>
    <n v="11"/>
    <n v="4"/>
    <n v="2026"/>
    <x v="0"/>
    <s v="Q4"/>
    <x v="1"/>
  </r>
  <r>
    <s v="O107781"/>
    <x v="169"/>
    <x v="1"/>
    <x v="6"/>
    <x v="0"/>
    <x v="3"/>
    <n v="2"/>
    <n v="59016"/>
    <d v="2026-04-18T00:00:00"/>
    <n v="4"/>
    <n v="18"/>
    <n v="2026"/>
    <x v="11"/>
    <m/>
    <x v="0"/>
  </r>
  <r>
    <s v="O108488"/>
    <x v="446"/>
    <x v="9"/>
    <x v="6"/>
    <x v="4"/>
    <x v="2"/>
    <n v="2"/>
    <n v="58951"/>
    <d v="2026-05-31T00:00:00"/>
    <n v="5"/>
    <n v="31"/>
    <n v="2026"/>
    <x v="3"/>
    <s v="Q2"/>
    <x v="4"/>
  </r>
  <r>
    <s v="O102753"/>
    <x v="435"/>
    <x v="9"/>
    <x v="7"/>
    <x v="2"/>
    <x v="2"/>
    <n v="4"/>
    <n v="58934"/>
    <d v="2025-06-17T00:00:00"/>
    <n v="6"/>
    <n v="17"/>
    <n v="2025"/>
    <x v="2"/>
    <s v="Q2"/>
    <x v="2"/>
  </r>
  <r>
    <s v="O109150"/>
    <x v="204"/>
    <x v="10"/>
    <x v="6"/>
    <x v="2"/>
    <x v="2"/>
    <n v="3"/>
    <n v="58926"/>
    <d v="2026-10-07T00:00:00"/>
    <n v="10"/>
    <n v="7"/>
    <n v="2026"/>
    <x v="9"/>
    <s v="Q4"/>
    <x v="2"/>
  </r>
  <r>
    <s v="O104417"/>
    <x v="414"/>
    <x v="6"/>
    <x v="7"/>
    <x v="3"/>
    <x v="0"/>
    <n v="4"/>
    <n v="58925"/>
    <d v="2025-09-26T00:00:00"/>
    <n v="9"/>
    <n v="26"/>
    <n v="2025"/>
    <x v="1"/>
    <s v="Q3"/>
    <x v="3"/>
  </r>
  <r>
    <s v="O109114"/>
    <x v="332"/>
    <x v="5"/>
    <x v="6"/>
    <x v="1"/>
    <x v="0"/>
    <n v="3"/>
    <n v="58902"/>
    <d v="2026-08-07T00:00:00"/>
    <n v="8"/>
    <n v="7"/>
    <n v="2026"/>
    <x v="8"/>
    <s v="Q3"/>
    <x v="1"/>
  </r>
  <r>
    <s v="O101502"/>
    <x v="624"/>
    <x v="10"/>
    <x v="6"/>
    <x v="3"/>
    <x v="0"/>
    <n v="3"/>
    <n v="58845"/>
    <d v="2025-02-04T00:00:00"/>
    <n v="2"/>
    <n v="4"/>
    <n v="2025"/>
    <x v="4"/>
    <s v="Q1"/>
    <x v="3"/>
  </r>
  <r>
    <s v="O104965"/>
    <x v="144"/>
    <x v="2"/>
    <x v="6"/>
    <x v="1"/>
    <x v="1"/>
    <n v="3"/>
    <n v="58844"/>
    <d v="2025-10-29T00:00:00"/>
    <n v="10"/>
    <n v="29"/>
    <n v="2025"/>
    <x v="9"/>
    <s v="Q4"/>
    <x v="1"/>
  </r>
  <r>
    <s v="O102163"/>
    <x v="747"/>
    <x v="2"/>
    <x v="7"/>
    <x v="2"/>
    <x v="0"/>
    <n v="4"/>
    <n v="58807"/>
    <d v="2025-12-05T00:00:00"/>
    <n v="12"/>
    <n v="5"/>
    <n v="2025"/>
    <x v="7"/>
    <m/>
    <x v="2"/>
  </r>
  <r>
    <s v="O104534"/>
    <x v="255"/>
    <x v="6"/>
    <x v="7"/>
    <x v="3"/>
    <x v="3"/>
    <n v="5"/>
    <n v="58805"/>
    <d v="2025-03-10T00:00:00"/>
    <n v="3"/>
    <n v="10"/>
    <n v="2025"/>
    <x v="5"/>
    <s v="Q1"/>
    <x v="3"/>
  </r>
  <r>
    <s v="O111949"/>
    <x v="451"/>
    <x v="9"/>
    <x v="6"/>
    <x v="4"/>
    <x v="0"/>
    <n v="3"/>
    <n v="58744"/>
    <d v="2026-12-27T00:00:00"/>
    <n v="12"/>
    <n v="27"/>
    <n v="2026"/>
    <x v="7"/>
    <s v="Q4"/>
    <x v="4"/>
  </r>
  <r>
    <s v="O104184"/>
    <x v="107"/>
    <x v="0"/>
    <x v="7"/>
    <x v="1"/>
    <x v="3"/>
    <n v="5"/>
    <n v="58742"/>
    <d v="2025-12-09T00:00:00"/>
    <n v="12"/>
    <n v="9"/>
    <n v="2025"/>
    <x v="7"/>
    <s v="Q4"/>
    <x v="1"/>
  </r>
  <r>
    <s v="O108367"/>
    <x v="69"/>
    <x v="1"/>
    <x v="6"/>
    <x v="2"/>
    <x v="3"/>
    <n v="3"/>
    <n v="58701"/>
    <d v="2026-05-24T00:00:00"/>
    <n v="5"/>
    <n v="24"/>
    <n v="2026"/>
    <x v="3"/>
    <s v="Q2"/>
    <x v="2"/>
  </r>
  <r>
    <s v="O105416"/>
    <x v="175"/>
    <x v="3"/>
    <x v="7"/>
    <x v="4"/>
    <x v="2"/>
    <n v="4"/>
    <n v="58688"/>
    <d v="2025-11-25T00:00:00"/>
    <n v="11"/>
    <n v="25"/>
    <n v="2025"/>
    <x v="0"/>
    <s v="Q4"/>
    <x v="4"/>
  </r>
  <r>
    <s v="O107211"/>
    <x v="258"/>
    <x v="6"/>
    <x v="6"/>
    <x v="0"/>
    <x v="1"/>
    <n v="3"/>
    <n v="58686"/>
    <d v="2026-03-15T00:00:00"/>
    <n v="3"/>
    <n v="15"/>
    <n v="2026"/>
    <x v="5"/>
    <m/>
    <x v="0"/>
  </r>
  <r>
    <s v="O104913"/>
    <x v="368"/>
    <x v="4"/>
    <x v="6"/>
    <x v="0"/>
    <x v="3"/>
    <n v="2"/>
    <n v="58621"/>
    <d v="2025-10-26T00:00:00"/>
    <n v="10"/>
    <n v="26"/>
    <n v="2025"/>
    <x v="9"/>
    <s v="Q4"/>
    <x v="0"/>
  </r>
  <r>
    <s v="O106805"/>
    <x v="600"/>
    <x v="1"/>
    <x v="6"/>
    <x v="3"/>
    <x v="2"/>
    <n v="2"/>
    <n v="58612"/>
    <d v="2026-02-18T00:00:00"/>
    <n v="2"/>
    <n v="18"/>
    <n v="2026"/>
    <x v="4"/>
    <s v="Q1"/>
    <x v="3"/>
  </r>
  <r>
    <s v="O102207"/>
    <x v="131"/>
    <x v="6"/>
    <x v="7"/>
    <x v="4"/>
    <x v="0"/>
    <n v="4"/>
    <n v="58609"/>
    <d v="2025-05-15T00:00:00"/>
    <n v="5"/>
    <n v="15"/>
    <n v="2025"/>
    <x v="3"/>
    <s v="Q2"/>
    <x v="4"/>
  </r>
  <r>
    <s v="O110192"/>
    <x v="517"/>
    <x v="9"/>
    <x v="7"/>
    <x v="2"/>
    <x v="2"/>
    <n v="4"/>
    <n v="58580"/>
    <d v="2026-12-09T00:00:00"/>
    <n v="12"/>
    <n v="9"/>
    <n v="2026"/>
    <x v="7"/>
    <s v="Q4"/>
    <x v="2"/>
  </r>
  <r>
    <s v="O107294"/>
    <x v="274"/>
    <x v="1"/>
    <x v="6"/>
    <x v="2"/>
    <x v="1"/>
    <n v="3"/>
    <n v="58564"/>
    <d v="2026-03-20T00:00:00"/>
    <n v="3"/>
    <n v="20"/>
    <n v="2026"/>
    <x v="5"/>
    <s v="Q1"/>
    <x v="2"/>
  </r>
  <r>
    <s v="O107277"/>
    <x v="610"/>
    <x v="1"/>
    <x v="7"/>
    <x v="2"/>
    <x v="1"/>
    <n v="4"/>
    <n v="58564"/>
    <d v="2026-03-19T00:00:00"/>
    <n v="3"/>
    <n v="19"/>
    <n v="2026"/>
    <x v="5"/>
    <s v="Q1"/>
    <x v="2"/>
  </r>
  <r>
    <s v="O100522"/>
    <x v="77"/>
    <x v="10"/>
    <x v="7"/>
    <x v="0"/>
    <x v="0"/>
    <n v="4"/>
    <n v="58551"/>
    <d v="2025-01-02T00:00:00"/>
    <n v="1"/>
    <n v="2"/>
    <n v="2025"/>
    <x v="6"/>
    <s v="Q1"/>
    <x v="0"/>
  </r>
  <r>
    <s v="O109612"/>
    <x v="686"/>
    <x v="3"/>
    <x v="7"/>
    <x v="0"/>
    <x v="2"/>
    <n v="4"/>
    <n v="58490"/>
    <d v="2026-07-08T00:00:00"/>
    <n v="7"/>
    <n v="8"/>
    <n v="2026"/>
    <x v="10"/>
    <s v="Q3"/>
    <x v="0"/>
  </r>
  <r>
    <s v="O108729"/>
    <x v="162"/>
    <x v="3"/>
    <x v="7"/>
    <x v="3"/>
    <x v="1"/>
    <n v="5"/>
    <n v="58433"/>
    <d v="2026-06-15T00:00:00"/>
    <n v="6"/>
    <n v="15"/>
    <n v="2026"/>
    <x v="2"/>
    <s v="Q2"/>
    <x v="3"/>
  </r>
  <r>
    <s v="O111965"/>
    <x v="275"/>
    <x v="9"/>
    <x v="6"/>
    <x v="4"/>
    <x v="3"/>
    <n v="2"/>
    <n v="58432"/>
    <d v="2026-12-28T00:00:00"/>
    <n v="12"/>
    <n v="28"/>
    <n v="2026"/>
    <x v="7"/>
    <s v="Q4"/>
    <x v="4"/>
  </r>
  <r>
    <s v="O101681"/>
    <x v="637"/>
    <x v="0"/>
    <x v="7"/>
    <x v="1"/>
    <x v="3"/>
    <n v="5"/>
    <n v="58343"/>
    <d v="2025-04-13T00:00:00"/>
    <n v="4"/>
    <n v="13"/>
    <n v="2025"/>
    <x v="11"/>
    <s v="Q2"/>
    <x v="1"/>
  </r>
  <r>
    <s v="O110394"/>
    <x v="71"/>
    <x v="5"/>
    <x v="6"/>
    <x v="1"/>
    <x v="0"/>
    <n v="2"/>
    <n v="58328"/>
    <d v="2026-09-24T00:00:00"/>
    <n v="9"/>
    <n v="24"/>
    <n v="2026"/>
    <x v="1"/>
    <s v="Q3"/>
    <x v="1"/>
  </r>
  <r>
    <s v="O106408"/>
    <x v="216"/>
    <x v="2"/>
    <x v="7"/>
    <x v="3"/>
    <x v="2"/>
    <n v="5"/>
    <n v="58291"/>
    <d v="2026-01-25T00:00:00"/>
    <n v="1"/>
    <n v="25"/>
    <n v="2026"/>
    <x v="6"/>
    <s v="Q1"/>
    <x v="3"/>
  </r>
  <r>
    <s v="O104535"/>
    <x v="418"/>
    <x v="5"/>
    <x v="6"/>
    <x v="0"/>
    <x v="0"/>
    <n v="2"/>
    <n v="58239"/>
    <d v="2025-03-10T00:00:00"/>
    <n v="3"/>
    <n v="10"/>
    <n v="2025"/>
    <x v="5"/>
    <s v="Q1"/>
    <x v="0"/>
  </r>
  <r>
    <s v="O112000"/>
    <x v="671"/>
    <x v="2"/>
    <x v="7"/>
    <x v="1"/>
    <x v="0"/>
    <n v="5"/>
    <n v="58180"/>
    <d v="2026-12-31T00:00:00"/>
    <n v="12"/>
    <n v="31"/>
    <n v="2026"/>
    <x v="7"/>
    <s v="Q4"/>
    <x v="1"/>
  </r>
  <r>
    <s v="O108889"/>
    <x v="360"/>
    <x v="4"/>
    <x v="7"/>
    <x v="4"/>
    <x v="2"/>
    <n v="5"/>
    <n v="58148"/>
    <d v="2026-06-24T00:00:00"/>
    <n v="6"/>
    <n v="24"/>
    <n v="2026"/>
    <x v="2"/>
    <s v="Q2"/>
    <x v="4"/>
  </r>
  <r>
    <s v="O104154"/>
    <x v="195"/>
    <x v="4"/>
    <x v="7"/>
    <x v="1"/>
    <x v="0"/>
    <n v="5"/>
    <n v="58070"/>
    <d v="2025-10-09T00:00:00"/>
    <n v="10"/>
    <n v="9"/>
    <n v="2025"/>
    <x v="9"/>
    <s v="Q4"/>
    <x v="1"/>
  </r>
  <r>
    <s v="O101168"/>
    <x v="95"/>
    <x v="4"/>
    <x v="6"/>
    <x v="4"/>
    <x v="1"/>
    <n v="2"/>
    <n v="58063"/>
    <d v="2025-12-03T00:00:00"/>
    <n v="12"/>
    <n v="3"/>
    <n v="2025"/>
    <x v="7"/>
    <s v="Q4"/>
    <x v="4"/>
  </r>
  <r>
    <s v="O103576"/>
    <x v="38"/>
    <x v="8"/>
    <x v="7"/>
    <x v="3"/>
    <x v="1"/>
    <n v="5"/>
    <n v="58056"/>
    <d v="2025-06-08T00:00:00"/>
    <n v="6"/>
    <n v="8"/>
    <n v="2025"/>
    <x v="2"/>
    <s v="Q2"/>
    <x v="3"/>
  </r>
  <r>
    <s v="O108996"/>
    <x v="492"/>
    <x v="1"/>
    <x v="6"/>
    <x v="1"/>
    <x v="1"/>
    <n v="2"/>
    <n v="58045"/>
    <d v="2026-01-07T00:00:00"/>
    <n v="1"/>
    <n v="7"/>
    <n v="2026"/>
    <x v="6"/>
    <s v="Q1"/>
    <x v="1"/>
  </r>
  <r>
    <s v="O107538"/>
    <x v="536"/>
    <x v="1"/>
    <x v="7"/>
    <x v="4"/>
    <x v="0"/>
    <n v="4"/>
    <n v="58044"/>
    <d v="2026-03-04T00:00:00"/>
    <n v="3"/>
    <n v="4"/>
    <n v="2026"/>
    <x v="5"/>
    <s v="Q1"/>
    <x v="4"/>
  </r>
  <r>
    <s v="O102001"/>
    <x v="460"/>
    <x v="1"/>
    <x v="7"/>
    <x v="2"/>
    <x v="0"/>
    <n v="4"/>
    <n v="57958"/>
    <d v="2025-02-05T00:00:00"/>
    <n v="2"/>
    <n v="5"/>
    <n v="2025"/>
    <x v="4"/>
    <s v="Q1"/>
    <x v="2"/>
  </r>
  <r>
    <s v="O100686"/>
    <x v="445"/>
    <x v="2"/>
    <x v="6"/>
    <x v="2"/>
    <x v="1"/>
    <n v="3"/>
    <n v="57920"/>
    <d v="2025-11-02T00:00:00"/>
    <n v="11"/>
    <n v="2"/>
    <n v="2025"/>
    <x v="0"/>
    <s v="Q4"/>
    <x v="2"/>
  </r>
  <r>
    <s v="O105483"/>
    <x v="91"/>
    <x v="3"/>
    <x v="6"/>
    <x v="1"/>
    <x v="3"/>
    <n v="2"/>
    <n v="57911"/>
    <d v="2025-11-30T00:00:00"/>
    <n v="11"/>
    <n v="30"/>
    <n v="2025"/>
    <x v="0"/>
    <s v="Q4"/>
    <x v="1"/>
  </r>
  <r>
    <s v="O102618"/>
    <x v="775"/>
    <x v="10"/>
    <x v="7"/>
    <x v="2"/>
    <x v="0"/>
    <n v="5"/>
    <n v="57897"/>
    <d v="2025-08-06T00:00:00"/>
    <n v="8"/>
    <n v="6"/>
    <n v="2025"/>
    <x v="8"/>
    <s v="Q3"/>
    <x v="2"/>
  </r>
  <r>
    <s v="O101610"/>
    <x v="584"/>
    <x v="2"/>
    <x v="6"/>
    <x v="4"/>
    <x v="0"/>
    <n v="2"/>
    <n v="57894"/>
    <d v="2025-08-04T00:00:00"/>
    <n v="8"/>
    <n v="4"/>
    <n v="2025"/>
    <x v="8"/>
    <s v="Q3"/>
    <x v="4"/>
  </r>
  <r>
    <s v="O102420"/>
    <x v="35"/>
    <x v="0"/>
    <x v="7"/>
    <x v="0"/>
    <x v="2"/>
    <n v="4"/>
    <n v="57831"/>
    <d v="2025-05-27T00:00:00"/>
    <n v="5"/>
    <n v="27"/>
    <n v="2025"/>
    <x v="3"/>
    <s v="Q2"/>
    <x v="0"/>
  </r>
  <r>
    <s v="O109451"/>
    <x v="411"/>
    <x v="8"/>
    <x v="6"/>
    <x v="0"/>
    <x v="0"/>
    <n v="2"/>
    <n v="57828"/>
    <d v="2026-07-29T00:00:00"/>
    <n v="7"/>
    <n v="29"/>
    <n v="2026"/>
    <x v="10"/>
    <s v="Q3"/>
    <x v="0"/>
  </r>
  <r>
    <s v="O104655"/>
    <x v="734"/>
    <x v="1"/>
    <x v="7"/>
    <x v="2"/>
    <x v="1"/>
    <n v="5"/>
    <n v="57814"/>
    <d v="2025-10-10T00:00:00"/>
    <n v="10"/>
    <n v="10"/>
    <n v="2025"/>
    <x v="9"/>
    <s v="Q4"/>
    <x v="2"/>
  </r>
  <r>
    <s v="O103962"/>
    <x v="66"/>
    <x v="0"/>
    <x v="7"/>
    <x v="0"/>
    <x v="0"/>
    <n v="5"/>
    <n v="57797"/>
    <d v="2025-08-29T00:00:00"/>
    <n v="8"/>
    <n v="29"/>
    <n v="2025"/>
    <x v="8"/>
    <s v="Q3"/>
    <x v="0"/>
  </r>
  <r>
    <s v="O104971"/>
    <x v="760"/>
    <x v="3"/>
    <x v="6"/>
    <x v="3"/>
    <x v="0"/>
    <n v="2"/>
    <n v="57790"/>
    <d v="2025-10-29T00:00:00"/>
    <n v="10"/>
    <n v="29"/>
    <n v="2025"/>
    <x v="9"/>
    <s v="Q4"/>
    <x v="3"/>
  </r>
  <r>
    <s v="O105993"/>
    <x v="260"/>
    <x v="6"/>
    <x v="6"/>
    <x v="4"/>
    <x v="0"/>
    <n v="2"/>
    <n v="57683"/>
    <d v="2025-12-31T00:00:00"/>
    <n v="12"/>
    <n v="31"/>
    <n v="2025"/>
    <x v="7"/>
    <s v="Q4"/>
    <x v="4"/>
  </r>
  <r>
    <s v="O103890"/>
    <x v="661"/>
    <x v="2"/>
    <x v="7"/>
    <x v="2"/>
    <x v="2"/>
    <n v="4"/>
    <n v="57682"/>
    <d v="2025-08-25T00:00:00"/>
    <n v="8"/>
    <n v="25"/>
    <n v="2025"/>
    <x v="8"/>
    <s v="Q3"/>
    <x v="2"/>
  </r>
  <r>
    <s v="O101094"/>
    <x v="365"/>
    <x v="1"/>
    <x v="6"/>
    <x v="4"/>
    <x v="2"/>
    <n v="3"/>
    <n v="57663"/>
    <d v="2025-08-03T00:00:00"/>
    <n v="8"/>
    <n v="3"/>
    <n v="2025"/>
    <x v="8"/>
    <s v="Q3"/>
    <x v="4"/>
  </r>
  <r>
    <s v="O101508"/>
    <x v="163"/>
    <x v="5"/>
    <x v="6"/>
    <x v="2"/>
    <x v="2"/>
    <n v="2"/>
    <n v="57663"/>
    <d v="2025-02-04T00:00:00"/>
    <n v="2"/>
    <n v="4"/>
    <n v="2025"/>
    <x v="4"/>
    <s v="Q1"/>
    <x v="2"/>
  </r>
  <r>
    <s v="O107888"/>
    <x v="129"/>
    <x v="3"/>
    <x v="7"/>
    <x v="2"/>
    <x v="2"/>
    <n v="5"/>
    <n v="57637"/>
    <d v="2026-04-25T00:00:00"/>
    <n v="4"/>
    <n v="25"/>
    <n v="2026"/>
    <x v="11"/>
    <s v="Q2"/>
    <x v="2"/>
  </r>
  <r>
    <s v="O109293"/>
    <x v="715"/>
    <x v="6"/>
    <x v="6"/>
    <x v="4"/>
    <x v="0"/>
    <n v="2"/>
    <n v="57636"/>
    <d v="2026-07-19T00:00:00"/>
    <n v="7"/>
    <n v="19"/>
    <n v="2026"/>
    <x v="10"/>
    <s v="Q3"/>
    <x v="4"/>
  </r>
  <r>
    <s v="O104735"/>
    <x v="601"/>
    <x v="8"/>
    <x v="6"/>
    <x v="3"/>
    <x v="1"/>
    <n v="2"/>
    <n v="57631"/>
    <d v="2025-10-15T00:00:00"/>
    <n v="10"/>
    <n v="15"/>
    <n v="2025"/>
    <x v="9"/>
    <s v="Q4"/>
    <x v="3"/>
  </r>
  <r>
    <s v="O107767"/>
    <x v="106"/>
    <x v="3"/>
    <x v="7"/>
    <x v="2"/>
    <x v="3"/>
    <n v="4"/>
    <n v="57629"/>
    <d v="2026-04-17T00:00:00"/>
    <n v="4"/>
    <n v="17"/>
    <n v="2026"/>
    <x v="11"/>
    <s v="Q2"/>
    <x v="2"/>
  </r>
  <r>
    <s v="O109148"/>
    <x v="209"/>
    <x v="2"/>
    <x v="7"/>
    <x v="3"/>
    <x v="0"/>
    <n v="4"/>
    <n v="57618"/>
    <d v="2026-10-07T00:00:00"/>
    <n v="10"/>
    <n v="7"/>
    <n v="2026"/>
    <x v="9"/>
    <s v="Q4"/>
    <x v="3"/>
  </r>
  <r>
    <s v="O109581"/>
    <x v="119"/>
    <x v="3"/>
    <x v="7"/>
    <x v="1"/>
    <x v="1"/>
    <n v="4"/>
    <n v="57604"/>
    <d v="2026-06-08T00:00:00"/>
    <n v="6"/>
    <n v="8"/>
    <n v="2026"/>
    <x v="2"/>
    <s v="Q2"/>
    <x v="1"/>
  </r>
  <r>
    <s v="O100302"/>
    <x v="92"/>
    <x v="3"/>
    <x v="6"/>
    <x v="4"/>
    <x v="1"/>
    <n v="2"/>
    <n v="57551"/>
    <d v="2025-01-19T00:00:00"/>
    <n v="1"/>
    <n v="19"/>
    <n v="2025"/>
    <x v="6"/>
    <s v="Q1"/>
    <x v="4"/>
  </r>
  <r>
    <s v="O109881"/>
    <x v="89"/>
    <x v="9"/>
    <x v="6"/>
    <x v="4"/>
    <x v="0"/>
    <n v="2"/>
    <n v="57538"/>
    <d v="2026-08-24T00:00:00"/>
    <n v="8"/>
    <n v="24"/>
    <n v="2026"/>
    <x v="8"/>
    <s v="Q3"/>
    <x v="4"/>
  </r>
  <r>
    <s v="O105940"/>
    <x v="430"/>
    <x v="5"/>
    <x v="7"/>
    <x v="3"/>
    <x v="2"/>
    <n v="5"/>
    <n v="57492"/>
    <d v="2025-12-27T00:00:00"/>
    <n v="12"/>
    <n v="27"/>
    <n v="2025"/>
    <x v="7"/>
    <s v="Q4"/>
    <x v="3"/>
  </r>
  <r>
    <s v="O109065"/>
    <x v="41"/>
    <x v="10"/>
    <x v="6"/>
    <x v="2"/>
    <x v="0"/>
    <n v="3"/>
    <n v="57465"/>
    <d v="2026-05-07T00:00:00"/>
    <n v="5"/>
    <n v="7"/>
    <n v="2026"/>
    <x v="3"/>
    <s v="Q2"/>
    <x v="2"/>
  </r>
  <r>
    <s v="O109950"/>
    <x v="343"/>
    <x v="4"/>
    <x v="6"/>
    <x v="2"/>
    <x v="1"/>
    <n v="2"/>
    <n v="57454"/>
    <d v="2026-08-28T00:00:00"/>
    <n v="8"/>
    <n v="28"/>
    <n v="2026"/>
    <x v="8"/>
    <s v="Q3"/>
    <x v="2"/>
  </r>
  <r>
    <s v="O103585"/>
    <x v="616"/>
    <x v="1"/>
    <x v="7"/>
    <x v="0"/>
    <x v="0"/>
    <n v="4"/>
    <n v="57406"/>
    <d v="2025-06-08T00:00:00"/>
    <n v="6"/>
    <n v="8"/>
    <n v="2025"/>
    <x v="2"/>
    <s v="Q2"/>
    <x v="0"/>
  </r>
  <r>
    <s v="O108169"/>
    <x v="773"/>
    <x v="0"/>
    <x v="6"/>
    <x v="0"/>
    <x v="1"/>
    <n v="2"/>
    <n v="57370"/>
    <d v="2026-12-05T00:00:00"/>
    <n v="12"/>
    <n v="5"/>
    <n v="2026"/>
    <x v="7"/>
    <s v="Q4"/>
    <x v="0"/>
  </r>
  <r>
    <s v="O105885"/>
    <x v="258"/>
    <x v="8"/>
    <x v="6"/>
    <x v="3"/>
    <x v="1"/>
    <n v="2"/>
    <n v="57278"/>
    <d v="2025-12-24T00:00:00"/>
    <n v="12"/>
    <n v="24"/>
    <n v="2025"/>
    <x v="7"/>
    <m/>
    <x v="3"/>
  </r>
  <r>
    <s v="O105476"/>
    <x v="437"/>
    <x v="5"/>
    <x v="7"/>
    <x v="1"/>
    <x v="3"/>
    <n v="5"/>
    <n v="57090"/>
    <d v="2025-11-29T00:00:00"/>
    <n v="11"/>
    <n v="29"/>
    <n v="2025"/>
    <x v="0"/>
    <s v="Q4"/>
    <x v="1"/>
  </r>
  <r>
    <s v="O104840"/>
    <x v="256"/>
    <x v="5"/>
    <x v="7"/>
    <x v="2"/>
    <x v="3"/>
    <n v="4"/>
    <n v="57081"/>
    <d v="2025-10-21T00:00:00"/>
    <n v="10"/>
    <n v="21"/>
    <n v="2025"/>
    <x v="9"/>
    <s v="Q4"/>
    <x v="2"/>
  </r>
  <r>
    <s v="O109207"/>
    <x v="706"/>
    <x v="3"/>
    <x v="6"/>
    <x v="3"/>
    <x v="1"/>
    <n v="2"/>
    <n v="57075"/>
    <d v="2026-07-14T00:00:00"/>
    <n v="7"/>
    <n v="14"/>
    <n v="2026"/>
    <x v="10"/>
    <s v="Q3"/>
    <x v="3"/>
  </r>
  <r>
    <s v="O100097"/>
    <x v="614"/>
    <x v="6"/>
    <x v="6"/>
    <x v="3"/>
    <x v="3"/>
    <n v="2"/>
    <n v="56998"/>
    <d v="2025-06-01T00:00:00"/>
    <n v="6"/>
    <n v="1"/>
    <n v="2025"/>
    <x v="2"/>
    <s v="Q2"/>
    <x v="3"/>
  </r>
  <r>
    <s v="O111800"/>
    <x v="301"/>
    <x v="8"/>
    <x v="7"/>
    <x v="2"/>
    <x v="2"/>
    <n v="5"/>
    <n v="56998"/>
    <d v="2026-12-18T00:00:00"/>
    <n v="12"/>
    <n v="18"/>
    <n v="2026"/>
    <x v="7"/>
    <s v="Q4"/>
    <x v="2"/>
  </r>
  <r>
    <s v="O101851"/>
    <x v="167"/>
    <x v="8"/>
    <x v="7"/>
    <x v="1"/>
    <x v="0"/>
    <n v="5"/>
    <n v="56993"/>
    <d v="2025-04-23T00:00:00"/>
    <n v="4"/>
    <n v="23"/>
    <n v="2025"/>
    <x v="11"/>
    <s v="Q2"/>
    <x v="1"/>
  </r>
  <r>
    <s v="O108783"/>
    <x v="141"/>
    <x v="8"/>
    <x v="7"/>
    <x v="2"/>
    <x v="1"/>
    <n v="5"/>
    <n v="56894"/>
    <d v="2026-06-18T00:00:00"/>
    <n v="6"/>
    <n v="18"/>
    <n v="2026"/>
    <x v="2"/>
    <s v="Q2"/>
    <x v="2"/>
  </r>
  <r>
    <s v="O108515"/>
    <x v="74"/>
    <x v="4"/>
    <x v="7"/>
    <x v="0"/>
    <x v="1"/>
    <n v="4"/>
    <n v="56822"/>
    <d v="2026-02-06T00:00:00"/>
    <n v="2"/>
    <n v="6"/>
    <n v="2026"/>
    <x v="4"/>
    <s v="Q1"/>
    <x v="0"/>
  </r>
  <r>
    <s v="O108735"/>
    <x v="412"/>
    <x v="10"/>
    <x v="7"/>
    <x v="0"/>
    <x v="2"/>
    <n v="4"/>
    <n v="56797"/>
    <d v="2026-06-15T00:00:00"/>
    <n v="6"/>
    <n v="15"/>
    <n v="2026"/>
    <x v="2"/>
    <s v="Q2"/>
    <x v="0"/>
  </r>
  <r>
    <s v="O103105"/>
    <x v="692"/>
    <x v="6"/>
    <x v="7"/>
    <x v="4"/>
    <x v="0"/>
    <n v="4"/>
    <n v="56777"/>
    <d v="2025-08-07T00:00:00"/>
    <n v="8"/>
    <n v="7"/>
    <n v="2025"/>
    <x v="8"/>
    <s v="Q3"/>
    <x v="4"/>
  </r>
  <r>
    <s v="O107453"/>
    <x v="78"/>
    <x v="5"/>
    <x v="7"/>
    <x v="0"/>
    <x v="0"/>
    <n v="5"/>
    <n v="56740"/>
    <d v="2026-03-29T00:00:00"/>
    <n v="3"/>
    <n v="29"/>
    <n v="2026"/>
    <x v="5"/>
    <s v="Q1"/>
    <x v="0"/>
  </r>
  <r>
    <s v="O106920"/>
    <x v="665"/>
    <x v="2"/>
    <x v="7"/>
    <x v="4"/>
    <x v="3"/>
    <n v="4"/>
    <n v="56629"/>
    <d v="2026-02-25T00:00:00"/>
    <n v="2"/>
    <n v="25"/>
    <n v="2026"/>
    <x v="4"/>
    <s v="Q1"/>
    <x v="4"/>
  </r>
  <r>
    <s v="O104077"/>
    <x v="241"/>
    <x v="9"/>
    <x v="6"/>
    <x v="1"/>
    <x v="0"/>
    <n v="2"/>
    <n v="56597"/>
    <d v="2025-05-09T00:00:00"/>
    <n v="5"/>
    <n v="9"/>
    <n v="2025"/>
    <x v="3"/>
    <s v="Q2"/>
    <x v="1"/>
  </r>
  <r>
    <s v="O101374"/>
    <x v="189"/>
    <x v="5"/>
    <x v="6"/>
    <x v="3"/>
    <x v="1"/>
    <n v="3"/>
    <n v="56587"/>
    <d v="2025-03-25T00:00:00"/>
    <n v="3"/>
    <n v="25"/>
    <n v="2025"/>
    <x v="5"/>
    <s v="Q1"/>
    <x v="3"/>
  </r>
  <r>
    <s v="O102117"/>
    <x v="505"/>
    <x v="5"/>
    <x v="6"/>
    <x v="2"/>
    <x v="3"/>
    <n v="3"/>
    <n v="56535"/>
    <d v="2025-09-05T00:00:00"/>
    <n v="9"/>
    <n v="5"/>
    <n v="2025"/>
    <x v="1"/>
    <s v="Q3"/>
    <x v="2"/>
  </r>
  <r>
    <s v="O100596"/>
    <x v="677"/>
    <x v="5"/>
    <x v="6"/>
    <x v="2"/>
    <x v="1"/>
    <n v="2"/>
    <n v="56534"/>
    <d v="2025-06-02T00:00:00"/>
    <n v="6"/>
    <n v="2"/>
    <n v="2025"/>
    <x v="2"/>
    <s v="Q2"/>
    <x v="2"/>
  </r>
  <r>
    <s v="O102436"/>
    <x v="371"/>
    <x v="8"/>
    <x v="7"/>
    <x v="4"/>
    <x v="2"/>
    <n v="4"/>
    <n v="56522"/>
    <d v="2025-05-28T00:00:00"/>
    <n v="5"/>
    <n v="28"/>
    <n v="2025"/>
    <x v="3"/>
    <s v="Q2"/>
    <x v="4"/>
  </r>
  <r>
    <s v="O106837"/>
    <x v="313"/>
    <x v="6"/>
    <x v="7"/>
    <x v="1"/>
    <x v="1"/>
    <n v="5"/>
    <n v="56490"/>
    <d v="2026-02-20T00:00:00"/>
    <n v="2"/>
    <n v="20"/>
    <n v="2026"/>
    <x v="4"/>
    <s v="Q1"/>
    <x v="1"/>
  </r>
  <r>
    <s v="O105259"/>
    <x v="10"/>
    <x v="3"/>
    <x v="7"/>
    <x v="4"/>
    <x v="1"/>
    <n v="5"/>
    <n v="56488"/>
    <d v="2025-11-16T00:00:00"/>
    <n v="11"/>
    <n v="16"/>
    <n v="2025"/>
    <x v="0"/>
    <s v="Q4"/>
    <x v="4"/>
  </r>
  <r>
    <s v="O100339"/>
    <x v="170"/>
    <x v="5"/>
    <x v="6"/>
    <x v="8"/>
    <x v="3"/>
    <n v="2"/>
    <n v="56470"/>
    <d v="2025-01-21T00:00:00"/>
    <n v="1"/>
    <n v="21"/>
    <n v="2025"/>
    <x v="6"/>
    <s v="Q1"/>
    <x v="2"/>
  </r>
  <r>
    <s v="O104296"/>
    <x v="396"/>
    <x v="3"/>
    <x v="7"/>
    <x v="0"/>
    <x v="1"/>
    <n v="4"/>
    <n v="56370"/>
    <d v="2025-09-18T00:00:00"/>
    <n v="9"/>
    <n v="18"/>
    <n v="2025"/>
    <x v="1"/>
    <s v="Q3"/>
    <x v="0"/>
  </r>
  <r>
    <s v="O111742"/>
    <x v="694"/>
    <x v="5"/>
    <x v="6"/>
    <x v="2"/>
    <x v="2"/>
    <n v="3"/>
    <n v="56339"/>
    <d v="2026-12-15T00:00:00"/>
    <n v="12"/>
    <n v="15"/>
    <n v="2026"/>
    <x v="7"/>
    <s v="Q4"/>
    <x v="2"/>
  </r>
  <r>
    <s v="O101286"/>
    <x v="706"/>
    <x v="5"/>
    <x v="6"/>
    <x v="1"/>
    <x v="1"/>
    <n v="2"/>
    <n v="56321"/>
    <d v="2025-03-20T00:00:00"/>
    <n v="3"/>
    <n v="20"/>
    <n v="2025"/>
    <x v="5"/>
    <s v="Q1"/>
    <x v="1"/>
  </r>
  <r>
    <s v="O107492"/>
    <x v="369"/>
    <x v="4"/>
    <x v="7"/>
    <x v="1"/>
    <x v="2"/>
    <n v="4"/>
    <n v="56292"/>
    <d v="2026-01-04T00:00:00"/>
    <n v="1"/>
    <n v="4"/>
    <n v="2026"/>
    <x v="6"/>
    <m/>
    <x v="1"/>
  </r>
  <r>
    <s v="O110424"/>
    <x v="270"/>
    <x v="9"/>
    <x v="7"/>
    <x v="0"/>
    <x v="3"/>
    <n v="5"/>
    <n v="56285"/>
    <d v="2026-09-26T00:00:00"/>
    <n v="9"/>
    <n v="26"/>
    <n v="2026"/>
    <x v="1"/>
    <s v="Q3"/>
    <x v="0"/>
  </r>
  <r>
    <s v="O106619"/>
    <x v="195"/>
    <x v="3"/>
    <x v="6"/>
    <x v="3"/>
    <x v="1"/>
    <n v="2"/>
    <n v="56249"/>
    <d v="2026-07-02T00:00:00"/>
    <n v="7"/>
    <n v="2"/>
    <n v="2026"/>
    <x v="10"/>
    <s v="Q3"/>
    <x v="3"/>
  </r>
  <r>
    <s v="O100989"/>
    <x v="210"/>
    <x v="2"/>
    <x v="7"/>
    <x v="2"/>
    <x v="2"/>
    <n v="4"/>
    <n v="56186"/>
    <d v="2025-02-03T00:00:00"/>
    <n v="2"/>
    <n v="3"/>
    <n v="2025"/>
    <x v="4"/>
    <s v="Q1"/>
    <x v="2"/>
  </r>
  <r>
    <s v="O104724"/>
    <x v="797"/>
    <x v="10"/>
    <x v="7"/>
    <x v="4"/>
    <x v="1"/>
    <n v="3"/>
    <n v="56146"/>
    <d v="2025-10-14T00:00:00"/>
    <n v="10"/>
    <n v="14"/>
    <n v="2025"/>
    <x v="9"/>
    <s v="Q4"/>
    <x v="4"/>
  </r>
  <r>
    <s v="O104796"/>
    <x v="105"/>
    <x v="1"/>
    <x v="7"/>
    <x v="4"/>
    <x v="1"/>
    <n v="3"/>
    <n v="56117"/>
    <d v="2025-10-19T00:00:00"/>
    <n v="10"/>
    <n v="19"/>
    <n v="2025"/>
    <x v="9"/>
    <s v="Q4"/>
    <x v="4"/>
  </r>
  <r>
    <s v="O109006"/>
    <x v="421"/>
    <x v="4"/>
    <x v="7"/>
    <x v="3"/>
    <x v="3"/>
    <n v="3"/>
    <n v="56077"/>
    <d v="2026-02-07T00:00:00"/>
    <n v="2"/>
    <n v="7"/>
    <n v="2026"/>
    <x v="4"/>
    <s v="Q1"/>
    <x v="3"/>
  </r>
  <r>
    <s v="O107208"/>
    <x v="490"/>
    <x v="1"/>
    <x v="7"/>
    <x v="4"/>
    <x v="1"/>
    <n v="3"/>
    <n v="56048"/>
    <d v="2026-03-14T00:00:00"/>
    <n v="3"/>
    <n v="14"/>
    <n v="2026"/>
    <x v="5"/>
    <s v="Q1"/>
    <x v="4"/>
  </r>
  <r>
    <s v="O110971"/>
    <x v="53"/>
    <x v="9"/>
    <x v="7"/>
    <x v="1"/>
    <x v="2"/>
    <n v="4"/>
    <n v="56003"/>
    <d v="2026-10-29T00:00:00"/>
    <n v="10"/>
    <n v="29"/>
    <n v="2026"/>
    <x v="9"/>
    <s v="Q4"/>
    <x v="1"/>
  </r>
  <r>
    <s v="O108820"/>
    <x v="500"/>
    <x v="6"/>
    <x v="7"/>
    <x v="0"/>
    <x v="3"/>
    <n v="3"/>
    <n v="55929"/>
    <d v="2026-06-20T00:00:00"/>
    <n v="6"/>
    <n v="20"/>
    <n v="2026"/>
    <x v="2"/>
    <s v="Q2"/>
    <x v="0"/>
  </r>
  <r>
    <s v="O102181"/>
    <x v="3"/>
    <x v="3"/>
    <x v="7"/>
    <x v="0"/>
    <x v="3"/>
    <n v="4"/>
    <n v="55926"/>
    <d v="2025-05-13T00:00:00"/>
    <n v="5"/>
    <n v="13"/>
    <n v="2025"/>
    <x v="3"/>
    <s v="Q2"/>
    <x v="0"/>
  </r>
  <r>
    <s v="O110407"/>
    <x v="38"/>
    <x v="0"/>
    <x v="7"/>
    <x v="2"/>
    <x v="0"/>
    <n v="4"/>
    <n v="55912"/>
    <d v="2026-09-25T00:00:00"/>
    <n v="9"/>
    <n v="25"/>
    <n v="2026"/>
    <x v="1"/>
    <s v="Q3"/>
    <x v="2"/>
  </r>
  <r>
    <s v="O100228"/>
    <x v="385"/>
    <x v="10"/>
    <x v="7"/>
    <x v="0"/>
    <x v="3"/>
    <n v="3"/>
    <n v="55908"/>
    <d v="2025-01-14T00:00:00"/>
    <n v="1"/>
    <n v="14"/>
    <n v="2025"/>
    <x v="6"/>
    <s v="Q1"/>
    <x v="0"/>
  </r>
  <r>
    <s v="O102874"/>
    <x v="137"/>
    <x v="3"/>
    <x v="7"/>
    <x v="1"/>
    <x v="1"/>
    <n v="3"/>
    <n v="55902"/>
    <d v="2025-06-24T00:00:00"/>
    <n v="6"/>
    <n v="24"/>
    <n v="2025"/>
    <x v="2"/>
    <s v="Q2"/>
    <x v="1"/>
  </r>
  <r>
    <s v="O110268"/>
    <x v="796"/>
    <x v="6"/>
    <x v="7"/>
    <x v="1"/>
    <x v="2"/>
    <n v="3"/>
    <n v="55863"/>
    <d v="2026-09-16T00:00:00"/>
    <n v="9"/>
    <n v="16"/>
    <n v="2026"/>
    <x v="1"/>
    <s v="Q3"/>
    <x v="1"/>
  </r>
  <r>
    <s v="O103924"/>
    <x v="579"/>
    <x v="8"/>
    <x v="7"/>
    <x v="0"/>
    <x v="3"/>
    <n v="3"/>
    <n v="55853"/>
    <d v="2025-08-27T00:00:00"/>
    <n v="8"/>
    <n v="27"/>
    <n v="2025"/>
    <x v="8"/>
    <s v="Q3"/>
    <x v="0"/>
  </r>
  <r>
    <s v="O111487"/>
    <x v="205"/>
    <x v="10"/>
    <x v="7"/>
    <x v="3"/>
    <x v="3"/>
    <n v="4"/>
    <n v="55748"/>
    <d v="2026-11-29T00:00:00"/>
    <n v="11"/>
    <n v="29"/>
    <n v="2026"/>
    <x v="0"/>
    <s v="Q4"/>
    <x v="3"/>
  </r>
  <r>
    <s v="O100871"/>
    <x v="171"/>
    <x v="0"/>
    <x v="7"/>
    <x v="2"/>
    <x v="2"/>
    <n v="4"/>
    <n v="55725"/>
    <d v="2025-02-22T00:00:00"/>
    <n v="2"/>
    <n v="22"/>
    <n v="2025"/>
    <x v="4"/>
    <s v="Q1"/>
    <x v="2"/>
  </r>
  <r>
    <s v="O108373"/>
    <x v="482"/>
    <x v="8"/>
    <x v="7"/>
    <x v="3"/>
    <x v="3"/>
    <n v="3"/>
    <n v="55714"/>
    <d v="2026-05-24T00:00:00"/>
    <n v="5"/>
    <n v="24"/>
    <n v="2026"/>
    <x v="3"/>
    <s v="Q2"/>
    <x v="3"/>
  </r>
  <r>
    <s v="O109867"/>
    <x v="607"/>
    <x v="4"/>
    <x v="6"/>
    <x v="0"/>
    <x v="3"/>
    <n v="2"/>
    <n v="55668"/>
    <d v="2026-08-23T00:00:00"/>
    <n v="8"/>
    <n v="23"/>
    <n v="2026"/>
    <x v="8"/>
    <s v="Q3"/>
    <x v="0"/>
  </r>
  <r>
    <s v="O102925"/>
    <x v="557"/>
    <x v="10"/>
    <x v="7"/>
    <x v="2"/>
    <x v="2"/>
    <n v="3"/>
    <n v="55624"/>
    <d v="2025-06-27T00:00:00"/>
    <n v="6"/>
    <n v="27"/>
    <n v="2025"/>
    <x v="2"/>
    <s v="Q2"/>
    <x v="2"/>
  </r>
  <r>
    <s v="O103716"/>
    <x v="252"/>
    <x v="2"/>
    <x v="7"/>
    <x v="1"/>
    <x v="3"/>
    <n v="4"/>
    <n v="55567"/>
    <d v="2025-08-14T00:00:00"/>
    <n v="8"/>
    <n v="14"/>
    <n v="2025"/>
    <x v="8"/>
    <s v="Q3"/>
    <x v="1"/>
  </r>
  <r>
    <s v="O102496"/>
    <x v="430"/>
    <x v="9"/>
    <x v="6"/>
    <x v="0"/>
    <x v="2"/>
    <n v="2"/>
    <n v="55500"/>
    <d v="2025-01-06T00:00:00"/>
    <n v="1"/>
    <n v="6"/>
    <n v="2025"/>
    <x v="6"/>
    <s v="Q1"/>
    <x v="0"/>
  </r>
  <r>
    <s v="O111086"/>
    <x v="286"/>
    <x v="5"/>
    <x v="7"/>
    <x v="2"/>
    <x v="0"/>
    <n v="4"/>
    <n v="55481"/>
    <d v="2026-05-11T00:00:00"/>
    <n v="5"/>
    <n v="11"/>
    <n v="2026"/>
    <x v="3"/>
    <s v="Q2"/>
    <x v="2"/>
  </r>
  <r>
    <s v="O111872"/>
    <x v="583"/>
    <x v="8"/>
    <x v="7"/>
    <x v="4"/>
    <x v="3"/>
    <n v="3"/>
    <n v="55374"/>
    <d v="2026-12-23T00:00:00"/>
    <n v="12"/>
    <n v="23"/>
    <n v="2026"/>
    <x v="7"/>
    <s v="Q4"/>
    <x v="4"/>
  </r>
  <r>
    <s v="O101519"/>
    <x v="553"/>
    <x v="3"/>
    <x v="7"/>
    <x v="3"/>
    <x v="2"/>
    <n v="3"/>
    <n v="55341"/>
    <d v="2025-03-04T00:00:00"/>
    <n v="3"/>
    <n v="4"/>
    <n v="2025"/>
    <x v="5"/>
    <s v="Q1"/>
    <x v="3"/>
  </r>
  <r>
    <s v="O106678"/>
    <x v="781"/>
    <x v="9"/>
    <x v="7"/>
    <x v="4"/>
    <x v="0"/>
    <n v="3"/>
    <n v="55278"/>
    <d v="2026-10-02T00:00:00"/>
    <n v="10"/>
    <n v="2"/>
    <n v="2026"/>
    <x v="9"/>
    <s v="Q4"/>
    <x v="4"/>
  </r>
  <r>
    <s v="O105914"/>
    <x v="33"/>
    <x v="4"/>
    <x v="7"/>
    <x v="2"/>
    <x v="3"/>
    <n v="3"/>
    <n v="55239"/>
    <d v="2025-12-26T00:00:00"/>
    <n v="12"/>
    <n v="26"/>
    <n v="2025"/>
    <x v="7"/>
    <s v="Q4"/>
    <x v="2"/>
  </r>
  <r>
    <s v="O109718"/>
    <x v="310"/>
    <x v="6"/>
    <x v="7"/>
    <x v="0"/>
    <x v="3"/>
    <n v="4"/>
    <n v="55214"/>
    <d v="2026-08-14T00:00:00"/>
    <n v="8"/>
    <n v="14"/>
    <n v="2026"/>
    <x v="8"/>
    <s v="Q3"/>
    <x v="0"/>
  </r>
  <r>
    <s v="O100064"/>
    <x v="424"/>
    <x v="8"/>
    <x v="7"/>
    <x v="4"/>
    <x v="2"/>
    <n v="3"/>
    <n v="55173"/>
    <d v="2025-04-01T00:00:00"/>
    <n v="4"/>
    <n v="1"/>
    <n v="2025"/>
    <x v="11"/>
    <s v="Q2"/>
    <x v="4"/>
  </r>
  <r>
    <s v="O111495"/>
    <x v="380"/>
    <x v="2"/>
    <x v="6"/>
    <x v="1"/>
    <x v="1"/>
    <n v="2"/>
    <n v="55128"/>
    <d v="2026-11-30T00:00:00"/>
    <n v="11"/>
    <n v="30"/>
    <n v="2026"/>
    <x v="0"/>
    <s v="Q4"/>
    <x v="1"/>
  </r>
  <r>
    <s v="O104713"/>
    <x v="476"/>
    <x v="2"/>
    <x v="7"/>
    <x v="2"/>
    <x v="2"/>
    <n v="4"/>
    <n v="55071"/>
    <d v="2025-10-14T00:00:00"/>
    <n v="10"/>
    <n v="14"/>
    <n v="2025"/>
    <x v="9"/>
    <s v="Q4"/>
    <x v="2"/>
  </r>
  <r>
    <s v="O106340"/>
    <x v="67"/>
    <x v="0"/>
    <x v="7"/>
    <x v="0"/>
    <x v="0"/>
    <n v="3"/>
    <n v="55018"/>
    <d v="2026-01-21T00:00:00"/>
    <n v="1"/>
    <n v="21"/>
    <n v="2026"/>
    <x v="6"/>
    <s v="Q1"/>
    <x v="0"/>
  </r>
  <r>
    <s v="O102904"/>
    <x v="727"/>
    <x v="10"/>
    <x v="7"/>
    <x v="4"/>
    <x v="0"/>
    <n v="3"/>
    <n v="54981"/>
    <d v="2025-06-26T00:00:00"/>
    <n v="6"/>
    <n v="26"/>
    <n v="2025"/>
    <x v="2"/>
    <s v="Q2"/>
    <x v="4"/>
  </r>
  <r>
    <s v="O100189"/>
    <x v="604"/>
    <x v="0"/>
    <x v="6"/>
    <x v="0"/>
    <x v="1"/>
    <n v="2"/>
    <n v="54752"/>
    <d v="2025-12-01T00:00:00"/>
    <n v="12"/>
    <n v="1"/>
    <n v="2025"/>
    <x v="7"/>
    <s v="Q4"/>
    <x v="0"/>
  </r>
  <r>
    <s v="O109315"/>
    <x v="122"/>
    <x v="7"/>
    <x v="6"/>
    <x v="0"/>
    <x v="2"/>
    <n v="2"/>
    <n v="54602"/>
    <d v="2026-07-20T00:00:00"/>
    <n v="7"/>
    <n v="20"/>
    <n v="2026"/>
    <x v="10"/>
    <s v="Q3"/>
    <x v="0"/>
  </r>
  <r>
    <s v="O105317"/>
    <x v="394"/>
    <x v="9"/>
    <x v="7"/>
    <x v="1"/>
    <x v="1"/>
    <n v="3"/>
    <n v="54591"/>
    <d v="2025-11-19T00:00:00"/>
    <n v="11"/>
    <n v="19"/>
    <n v="2025"/>
    <x v="0"/>
    <s v="Q4"/>
    <x v="1"/>
  </r>
  <r>
    <s v="O100586"/>
    <x v="525"/>
    <x v="0"/>
    <x v="7"/>
    <x v="2"/>
    <x v="1"/>
    <n v="4"/>
    <n v="54531"/>
    <d v="2025-05-02T00:00:00"/>
    <n v="5"/>
    <n v="2"/>
    <n v="2025"/>
    <x v="3"/>
    <s v="Q2"/>
    <x v="2"/>
  </r>
  <r>
    <s v="O105396"/>
    <x v="223"/>
    <x v="10"/>
    <x v="7"/>
    <x v="2"/>
    <x v="0"/>
    <n v="4"/>
    <n v="54307"/>
    <d v="2025-11-24T00:00:00"/>
    <n v="11"/>
    <n v="24"/>
    <n v="2025"/>
    <x v="0"/>
    <s v="Q4"/>
    <x v="2"/>
  </r>
  <r>
    <s v="O103922"/>
    <x v="745"/>
    <x v="6"/>
    <x v="7"/>
    <x v="4"/>
    <x v="0"/>
    <n v="3"/>
    <n v="54251"/>
    <d v="2025-08-27T00:00:00"/>
    <n v="8"/>
    <n v="27"/>
    <n v="2025"/>
    <x v="8"/>
    <s v="Q3"/>
    <x v="4"/>
  </r>
  <r>
    <s v="O106700"/>
    <x v="365"/>
    <x v="10"/>
    <x v="7"/>
    <x v="2"/>
    <x v="2"/>
    <n v="3"/>
    <n v="54196"/>
    <d v="2026-11-02T00:00:00"/>
    <n v="11"/>
    <n v="2"/>
    <n v="2026"/>
    <x v="0"/>
    <s v="Q4"/>
    <x v="2"/>
  </r>
  <r>
    <s v="O111222"/>
    <x v="429"/>
    <x v="8"/>
    <x v="7"/>
    <x v="0"/>
    <x v="1"/>
    <n v="3"/>
    <n v="54171"/>
    <d v="2026-11-13T00:00:00"/>
    <n v="11"/>
    <n v="13"/>
    <n v="2026"/>
    <x v="0"/>
    <s v="Q4"/>
    <x v="0"/>
  </r>
  <r>
    <s v="O106425"/>
    <x v="719"/>
    <x v="10"/>
    <x v="6"/>
    <x v="1"/>
    <x v="0"/>
    <n v="2"/>
    <n v="54137"/>
    <d v="2026-01-26T00:00:00"/>
    <n v="1"/>
    <n v="26"/>
    <n v="2026"/>
    <x v="6"/>
    <s v="Q1"/>
    <x v="1"/>
  </r>
  <r>
    <s v="O107072"/>
    <x v="291"/>
    <x v="9"/>
    <x v="6"/>
    <x v="4"/>
    <x v="2"/>
    <n v="2"/>
    <n v="54095"/>
    <d v="2026-06-03T00:00:00"/>
    <n v="6"/>
    <n v="3"/>
    <n v="2026"/>
    <x v="2"/>
    <s v="Q2"/>
    <x v="4"/>
  </r>
  <r>
    <s v="O104615"/>
    <x v="413"/>
    <x v="0"/>
    <x v="7"/>
    <x v="1"/>
    <x v="2"/>
    <n v="4"/>
    <n v="53995"/>
    <d v="2025-08-10T00:00:00"/>
    <n v="8"/>
    <n v="10"/>
    <n v="2025"/>
    <x v="8"/>
    <s v="Q3"/>
    <x v="1"/>
  </r>
  <r>
    <s v="O102487"/>
    <x v="229"/>
    <x v="3"/>
    <x v="6"/>
    <x v="0"/>
    <x v="1"/>
    <n v="2"/>
    <n v="53987"/>
    <d v="2025-01-06T00:00:00"/>
    <n v="1"/>
    <n v="6"/>
    <n v="2025"/>
    <x v="6"/>
    <s v="Q1"/>
    <x v="0"/>
  </r>
  <r>
    <s v="O106213"/>
    <x v="96"/>
    <x v="2"/>
    <x v="7"/>
    <x v="3"/>
    <x v="2"/>
    <n v="3"/>
    <n v="53984"/>
    <d v="2026-01-13T00:00:00"/>
    <n v="1"/>
    <n v="13"/>
    <n v="2026"/>
    <x v="6"/>
    <s v="Q1"/>
    <x v="3"/>
  </r>
  <r>
    <s v="O100823"/>
    <x v="530"/>
    <x v="0"/>
    <x v="7"/>
    <x v="0"/>
    <x v="1"/>
    <n v="4"/>
    <n v="53933"/>
    <d v="2025-02-19T00:00:00"/>
    <n v="2"/>
    <n v="19"/>
    <n v="2025"/>
    <x v="4"/>
    <s v="Q1"/>
    <x v="0"/>
  </r>
  <r>
    <s v="O101977"/>
    <x v="377"/>
    <x v="2"/>
    <x v="7"/>
    <x v="4"/>
    <x v="2"/>
    <n v="4"/>
    <n v="53925"/>
    <d v="2025-01-05T00:00:00"/>
    <n v="1"/>
    <n v="5"/>
    <n v="2025"/>
    <x v="6"/>
    <s v="Q1"/>
    <x v="4"/>
  </r>
  <r>
    <s v="O109991"/>
    <x v="520"/>
    <x v="0"/>
    <x v="6"/>
    <x v="4"/>
    <x v="2"/>
    <n v="2"/>
    <n v="53923"/>
    <d v="2026-08-30T00:00:00"/>
    <n v="8"/>
    <n v="30"/>
    <n v="2026"/>
    <x v="8"/>
    <s v="Q3"/>
    <x v="4"/>
  </r>
  <r>
    <s v="O109988"/>
    <x v="164"/>
    <x v="8"/>
    <x v="7"/>
    <x v="4"/>
    <x v="1"/>
    <n v="3"/>
    <n v="53808"/>
    <d v="2026-08-30T00:00:00"/>
    <n v="8"/>
    <n v="30"/>
    <n v="2026"/>
    <x v="8"/>
    <s v="Q3"/>
    <x v="4"/>
  </r>
  <r>
    <s v="O100930"/>
    <x v="670"/>
    <x v="8"/>
    <x v="7"/>
    <x v="1"/>
    <x v="3"/>
    <n v="3"/>
    <n v="53777"/>
    <d v="2025-02-26T00:00:00"/>
    <n v="2"/>
    <n v="26"/>
    <n v="2025"/>
    <x v="4"/>
    <s v="Q1"/>
    <x v="1"/>
  </r>
  <r>
    <s v="O108302"/>
    <x v="432"/>
    <x v="9"/>
    <x v="7"/>
    <x v="4"/>
    <x v="0"/>
    <n v="3"/>
    <n v="53768"/>
    <d v="2026-05-20T00:00:00"/>
    <n v="5"/>
    <n v="20"/>
    <n v="2026"/>
    <x v="3"/>
    <s v="Q2"/>
    <x v="4"/>
  </r>
  <r>
    <s v="O110305"/>
    <x v="11"/>
    <x v="9"/>
    <x v="7"/>
    <x v="2"/>
    <x v="3"/>
    <n v="3"/>
    <n v="53751"/>
    <d v="2026-09-19T00:00:00"/>
    <n v="9"/>
    <n v="19"/>
    <n v="2026"/>
    <x v="1"/>
    <s v="Q3"/>
    <x v="2"/>
  </r>
  <r>
    <s v="O102010"/>
    <x v="419"/>
    <x v="10"/>
    <x v="6"/>
    <x v="1"/>
    <x v="2"/>
    <n v="2"/>
    <n v="53736"/>
    <d v="2025-03-05T00:00:00"/>
    <n v="3"/>
    <n v="5"/>
    <n v="2025"/>
    <x v="5"/>
    <s v="Q1"/>
    <x v="1"/>
  </r>
  <r>
    <s v="O102730"/>
    <x v="227"/>
    <x v="2"/>
    <x v="6"/>
    <x v="0"/>
    <x v="2"/>
    <n v="2"/>
    <n v="53683"/>
    <d v="2025-06-15T00:00:00"/>
    <n v="6"/>
    <n v="15"/>
    <n v="2025"/>
    <x v="2"/>
    <s v="Q2"/>
    <x v="0"/>
  </r>
  <r>
    <s v="O102494"/>
    <x v="599"/>
    <x v="8"/>
    <x v="7"/>
    <x v="3"/>
    <x v="3"/>
    <n v="4"/>
    <n v="53675"/>
    <d v="2025-01-06T00:00:00"/>
    <n v="1"/>
    <n v="6"/>
    <n v="2025"/>
    <x v="6"/>
    <s v="Q1"/>
    <x v="3"/>
  </r>
  <r>
    <s v="O101779"/>
    <x v="307"/>
    <x v="10"/>
    <x v="7"/>
    <x v="0"/>
    <x v="4"/>
    <n v="3"/>
    <n v="53664"/>
    <d v="2025-04-19T00:00:00"/>
    <n v="4"/>
    <n v="19"/>
    <n v="2025"/>
    <x v="11"/>
    <s v="Q2"/>
    <x v="0"/>
  </r>
  <r>
    <s v="O103036"/>
    <x v="579"/>
    <x v="3"/>
    <x v="7"/>
    <x v="0"/>
    <x v="2"/>
    <n v="3"/>
    <n v="53612"/>
    <d v="2025-04-07T00:00:00"/>
    <n v="4"/>
    <n v="7"/>
    <n v="2025"/>
    <x v="11"/>
    <s v="Q2"/>
    <x v="0"/>
  </r>
  <r>
    <s v="O110414"/>
    <x v="215"/>
    <x v="2"/>
    <x v="7"/>
    <x v="2"/>
    <x v="2"/>
    <n v="3"/>
    <n v="53572"/>
    <d v="2026-09-25T00:00:00"/>
    <n v="9"/>
    <n v="25"/>
    <n v="2026"/>
    <x v="1"/>
    <s v="Q3"/>
    <x v="2"/>
  </r>
  <r>
    <s v="O109234"/>
    <x v="511"/>
    <x v="8"/>
    <x v="6"/>
    <x v="2"/>
    <x v="1"/>
    <n v="2"/>
    <n v="53455"/>
    <d v="2026-07-15T00:00:00"/>
    <n v="7"/>
    <n v="15"/>
    <n v="2026"/>
    <x v="10"/>
    <s v="Q3"/>
    <x v="2"/>
  </r>
  <r>
    <s v="O108037"/>
    <x v="609"/>
    <x v="5"/>
    <x v="7"/>
    <x v="0"/>
    <x v="1"/>
    <n v="4"/>
    <n v="53453"/>
    <d v="2026-04-05T00:00:00"/>
    <n v="4"/>
    <n v="5"/>
    <n v="2026"/>
    <x v="11"/>
    <s v="Q2"/>
    <x v="0"/>
  </r>
  <r>
    <s v="O111341"/>
    <x v="314"/>
    <x v="10"/>
    <x v="7"/>
    <x v="3"/>
    <x v="2"/>
    <n v="3"/>
    <n v="53453"/>
    <d v="2026-11-20T00:00:00"/>
    <n v="11"/>
    <n v="20"/>
    <n v="2026"/>
    <x v="0"/>
    <s v="Q4"/>
    <x v="3"/>
  </r>
  <r>
    <s v="O110661"/>
    <x v="334"/>
    <x v="4"/>
    <x v="6"/>
    <x v="2"/>
    <x v="3"/>
    <n v="2"/>
    <n v="53255"/>
    <d v="2026-10-10T00:00:00"/>
    <n v="10"/>
    <n v="10"/>
    <n v="2026"/>
    <x v="9"/>
    <s v="Q4"/>
    <x v="2"/>
  </r>
  <r>
    <s v="O101817"/>
    <x v="90"/>
    <x v="4"/>
    <x v="7"/>
    <x v="1"/>
    <x v="2"/>
    <n v="4"/>
    <n v="53255"/>
    <d v="2025-04-21T00:00:00"/>
    <n v="4"/>
    <n v="21"/>
    <n v="2025"/>
    <x v="11"/>
    <s v="Q2"/>
    <x v="1"/>
  </r>
  <r>
    <s v="O101946"/>
    <x v="620"/>
    <x v="8"/>
    <x v="6"/>
    <x v="2"/>
    <x v="0"/>
    <n v="2"/>
    <n v="53250"/>
    <d v="2025-04-29T00:00:00"/>
    <n v="4"/>
    <n v="29"/>
    <n v="2025"/>
    <x v="11"/>
    <s v="Q2"/>
    <x v="2"/>
  </r>
  <r>
    <s v="O104770"/>
    <x v="742"/>
    <x v="5"/>
    <x v="7"/>
    <x v="0"/>
    <x v="2"/>
    <n v="3"/>
    <n v="53244"/>
    <d v="2025-10-17T00:00:00"/>
    <n v="10"/>
    <n v="17"/>
    <n v="2025"/>
    <x v="9"/>
    <s v="Q4"/>
    <x v="0"/>
  </r>
  <r>
    <s v="O103104"/>
    <x v="445"/>
    <x v="2"/>
    <x v="6"/>
    <x v="4"/>
    <x v="3"/>
    <n v="2"/>
    <n v="53241"/>
    <d v="2025-08-07T00:00:00"/>
    <n v="8"/>
    <n v="7"/>
    <n v="2025"/>
    <x v="8"/>
    <s v="Q3"/>
    <x v="4"/>
  </r>
  <r>
    <s v="O104692"/>
    <x v="525"/>
    <x v="2"/>
    <x v="7"/>
    <x v="3"/>
    <x v="3"/>
    <n v="4"/>
    <n v="53187"/>
    <d v="2025-10-13T00:00:00"/>
    <n v="10"/>
    <n v="13"/>
    <n v="2025"/>
    <x v="9"/>
    <s v="Q4"/>
    <x v="3"/>
  </r>
  <r>
    <s v="O106345"/>
    <x v="207"/>
    <x v="6"/>
    <x v="7"/>
    <x v="0"/>
    <x v="3"/>
    <n v="3"/>
    <n v="53170"/>
    <d v="2026-01-21T00:00:00"/>
    <n v="1"/>
    <n v="21"/>
    <n v="2026"/>
    <x v="6"/>
    <s v="Q1"/>
    <x v="0"/>
  </r>
  <r>
    <s v="O107019"/>
    <x v="265"/>
    <x v="10"/>
    <x v="7"/>
    <x v="0"/>
    <x v="3"/>
    <n v="3"/>
    <n v="53161"/>
    <d v="2026-03-03T00:00:00"/>
    <n v="3"/>
    <n v="3"/>
    <n v="2026"/>
    <x v="5"/>
    <s v="Q1"/>
    <x v="0"/>
  </r>
  <r>
    <s v="O104537"/>
    <x v="214"/>
    <x v="6"/>
    <x v="6"/>
    <x v="2"/>
    <x v="2"/>
    <n v="2"/>
    <n v="53137"/>
    <d v="2025-03-10T00:00:00"/>
    <n v="3"/>
    <n v="10"/>
    <n v="2025"/>
    <x v="5"/>
    <s v="Q1"/>
    <x v="2"/>
  </r>
  <r>
    <s v="O109651"/>
    <x v="359"/>
    <x v="9"/>
    <x v="7"/>
    <x v="0"/>
    <x v="1"/>
    <n v="3"/>
    <n v="53080"/>
    <d v="2026-10-08T00:00:00"/>
    <n v="10"/>
    <n v="8"/>
    <n v="2026"/>
    <x v="9"/>
    <s v="Q4"/>
    <x v="0"/>
  </r>
  <r>
    <s v="O100849"/>
    <x v="154"/>
    <x v="10"/>
    <x v="6"/>
    <x v="1"/>
    <x v="0"/>
    <n v="2"/>
    <n v="53079"/>
    <d v="2025-02-21T00:00:00"/>
    <n v="2"/>
    <n v="21"/>
    <n v="2025"/>
    <x v="4"/>
    <s v="Q1"/>
    <x v="1"/>
  </r>
  <r>
    <s v="O104942"/>
    <x v="209"/>
    <x v="1"/>
    <x v="6"/>
    <x v="1"/>
    <x v="0"/>
    <n v="2"/>
    <n v="53068"/>
    <d v="2025-10-28T00:00:00"/>
    <n v="10"/>
    <n v="28"/>
    <n v="2025"/>
    <x v="9"/>
    <s v="Q4"/>
    <x v="1"/>
  </r>
  <r>
    <s v="O104138"/>
    <x v="682"/>
    <x v="4"/>
    <x v="7"/>
    <x v="0"/>
    <x v="2"/>
    <n v="4"/>
    <n v="52989"/>
    <d v="2025-09-09T00:00:00"/>
    <n v="9"/>
    <n v="9"/>
    <n v="2025"/>
    <x v="1"/>
    <s v="Q3"/>
    <x v="0"/>
  </r>
  <r>
    <s v="O108829"/>
    <x v="711"/>
    <x v="5"/>
    <x v="7"/>
    <x v="3"/>
    <x v="0"/>
    <n v="4"/>
    <n v="52956"/>
    <d v="2026-06-21T00:00:00"/>
    <n v="6"/>
    <n v="21"/>
    <n v="2026"/>
    <x v="2"/>
    <s v="Q2"/>
    <x v="3"/>
  </r>
  <r>
    <s v="O104415"/>
    <x v="154"/>
    <x v="6"/>
    <x v="7"/>
    <x v="0"/>
    <x v="0"/>
    <n v="4"/>
    <n v="52918"/>
    <d v="2025-09-26T00:00:00"/>
    <n v="9"/>
    <n v="26"/>
    <n v="2025"/>
    <x v="1"/>
    <s v="Q3"/>
    <x v="0"/>
  </r>
  <r>
    <s v="O100103"/>
    <x v="250"/>
    <x v="2"/>
    <x v="7"/>
    <x v="0"/>
    <x v="2"/>
    <n v="3"/>
    <n v="52769"/>
    <d v="2025-07-01T00:00:00"/>
    <n v="7"/>
    <n v="1"/>
    <n v="2025"/>
    <x v="10"/>
    <s v="Q3"/>
    <x v="0"/>
  </r>
  <r>
    <s v="O102495"/>
    <x v="387"/>
    <x v="8"/>
    <x v="6"/>
    <x v="4"/>
    <x v="3"/>
    <n v="2"/>
    <n v="52662"/>
    <d v="2025-01-06T00:00:00"/>
    <n v="1"/>
    <n v="6"/>
    <n v="2025"/>
    <x v="6"/>
    <s v="Q1"/>
    <x v="4"/>
  </r>
  <r>
    <s v="O108975"/>
    <x v="640"/>
    <x v="10"/>
    <x v="6"/>
    <x v="2"/>
    <x v="2"/>
    <n v="2"/>
    <n v="52614"/>
    <d v="2026-06-30T00:00:00"/>
    <n v="6"/>
    <n v="30"/>
    <n v="2026"/>
    <x v="2"/>
    <s v="Q2"/>
    <x v="2"/>
  </r>
  <r>
    <s v="O103054"/>
    <x v="395"/>
    <x v="0"/>
    <x v="7"/>
    <x v="4"/>
    <x v="3"/>
    <n v="3"/>
    <n v="52609"/>
    <d v="2025-05-07T00:00:00"/>
    <n v="5"/>
    <n v="7"/>
    <n v="2025"/>
    <x v="3"/>
    <s v="Q2"/>
    <x v="4"/>
  </r>
  <r>
    <s v="O105251"/>
    <x v="339"/>
    <x v="4"/>
    <x v="7"/>
    <x v="3"/>
    <x v="2"/>
    <n v="3"/>
    <n v="52557"/>
    <d v="2025-11-15T00:00:00"/>
    <n v="11"/>
    <n v="15"/>
    <n v="2025"/>
    <x v="0"/>
    <s v="Q4"/>
    <x v="3"/>
  </r>
  <r>
    <s v="O109289"/>
    <x v="767"/>
    <x v="10"/>
    <x v="7"/>
    <x v="3"/>
    <x v="2"/>
    <n v="3"/>
    <n v="52541"/>
    <d v="2026-07-19T00:00:00"/>
    <n v="7"/>
    <n v="19"/>
    <n v="2026"/>
    <x v="10"/>
    <s v="Q3"/>
    <x v="3"/>
  </r>
  <r>
    <s v="O109493"/>
    <x v="533"/>
    <x v="0"/>
    <x v="7"/>
    <x v="2"/>
    <x v="0"/>
    <n v="3"/>
    <n v="52504"/>
    <d v="2026-07-31T00:00:00"/>
    <n v="7"/>
    <n v="31"/>
    <n v="2026"/>
    <x v="10"/>
    <s v="Q3"/>
    <x v="2"/>
  </r>
  <r>
    <s v="O107173"/>
    <x v="209"/>
    <x v="5"/>
    <x v="7"/>
    <x v="0"/>
    <x v="1"/>
    <n v="4"/>
    <n v="52475"/>
    <d v="2026-12-03T00:00:00"/>
    <n v="12"/>
    <n v="3"/>
    <n v="2026"/>
    <x v="7"/>
    <s v="Q4"/>
    <x v="0"/>
  </r>
  <r>
    <s v="O111277"/>
    <x v="686"/>
    <x v="5"/>
    <x v="7"/>
    <x v="4"/>
    <x v="3"/>
    <n v="3"/>
    <n v="52442"/>
    <d v="2026-11-17T00:00:00"/>
    <n v="11"/>
    <n v="17"/>
    <n v="2026"/>
    <x v="0"/>
    <s v="Q4"/>
    <x v="4"/>
  </r>
  <r>
    <s v="O109363"/>
    <x v="661"/>
    <x v="1"/>
    <x v="7"/>
    <x v="0"/>
    <x v="3"/>
    <n v="3"/>
    <n v="52424"/>
    <d v="2026-07-23T00:00:00"/>
    <n v="7"/>
    <n v="23"/>
    <n v="2026"/>
    <x v="10"/>
    <s v="Q3"/>
    <x v="0"/>
  </r>
  <r>
    <s v="O102680"/>
    <x v="66"/>
    <x v="4"/>
    <x v="6"/>
    <x v="1"/>
    <x v="0"/>
    <n v="2"/>
    <n v="52296"/>
    <d v="2025-12-06T00:00:00"/>
    <n v="12"/>
    <n v="6"/>
    <n v="2025"/>
    <x v="7"/>
    <s v="Q4"/>
    <x v="1"/>
  </r>
  <r>
    <s v="O106127"/>
    <x v="321"/>
    <x v="1"/>
    <x v="6"/>
    <x v="3"/>
    <x v="2"/>
    <n v="2"/>
    <n v="52148"/>
    <d v="2026-08-01T00:00:00"/>
    <n v="8"/>
    <n v="1"/>
    <n v="2026"/>
    <x v="8"/>
    <s v="Q3"/>
    <x v="3"/>
  </r>
  <r>
    <s v="O103758"/>
    <x v="15"/>
    <x v="1"/>
    <x v="7"/>
    <x v="1"/>
    <x v="3"/>
    <n v="4"/>
    <n v="52026"/>
    <d v="2025-08-17T00:00:00"/>
    <n v="8"/>
    <n v="17"/>
    <n v="2025"/>
    <x v="8"/>
    <s v="Q3"/>
    <x v="1"/>
  </r>
  <r>
    <s v="O100747"/>
    <x v="573"/>
    <x v="1"/>
    <x v="7"/>
    <x v="2"/>
    <x v="3"/>
    <n v="3"/>
    <n v="51985"/>
    <d v="2025-02-15T00:00:00"/>
    <n v="2"/>
    <n v="15"/>
    <n v="2025"/>
    <x v="4"/>
    <s v="Q1"/>
    <x v="2"/>
  </r>
  <r>
    <s v="O101805"/>
    <x v="463"/>
    <x v="5"/>
    <x v="7"/>
    <x v="2"/>
    <x v="3"/>
    <n v="4"/>
    <n v="51952"/>
    <d v="2025-04-20T00:00:00"/>
    <n v="4"/>
    <n v="20"/>
    <n v="2025"/>
    <x v="11"/>
    <s v="Q2"/>
    <x v="2"/>
  </r>
  <r>
    <s v="O109517"/>
    <x v="702"/>
    <x v="2"/>
    <x v="6"/>
    <x v="3"/>
    <x v="0"/>
    <n v="2"/>
    <n v="51919"/>
    <d v="2026-02-08T00:00:00"/>
    <n v="2"/>
    <n v="8"/>
    <n v="2026"/>
    <x v="4"/>
    <s v="Q1"/>
    <x v="3"/>
  </r>
  <r>
    <s v="O106079"/>
    <x v="628"/>
    <x v="9"/>
    <x v="6"/>
    <x v="1"/>
    <x v="2"/>
    <n v="2"/>
    <n v="51911"/>
    <d v="2026-05-01T00:00:00"/>
    <n v="5"/>
    <n v="1"/>
    <n v="2026"/>
    <x v="3"/>
    <s v="Q2"/>
    <x v="1"/>
  </r>
  <r>
    <s v="O105465"/>
    <x v="407"/>
    <x v="2"/>
    <x v="7"/>
    <x v="4"/>
    <x v="2"/>
    <n v="3"/>
    <n v="51894"/>
    <d v="2025-11-28T00:00:00"/>
    <n v="11"/>
    <n v="28"/>
    <n v="2025"/>
    <x v="0"/>
    <s v="Q4"/>
    <x v="4"/>
  </r>
  <r>
    <s v="O100816"/>
    <x v="524"/>
    <x v="5"/>
    <x v="6"/>
    <x v="0"/>
    <x v="3"/>
    <n v="2"/>
    <n v="51879"/>
    <d v="2025-02-19T00:00:00"/>
    <n v="2"/>
    <n v="19"/>
    <n v="2025"/>
    <x v="4"/>
    <s v="Q1"/>
    <x v="0"/>
  </r>
  <r>
    <s v="O110170"/>
    <x v="793"/>
    <x v="6"/>
    <x v="6"/>
    <x v="0"/>
    <x v="2"/>
    <n v="2"/>
    <n v="51849"/>
    <d v="2026-10-09T00:00:00"/>
    <n v="10"/>
    <n v="9"/>
    <n v="2026"/>
    <x v="9"/>
    <s v="Q4"/>
    <x v="0"/>
  </r>
  <r>
    <s v="O102260"/>
    <x v="112"/>
    <x v="1"/>
    <x v="6"/>
    <x v="2"/>
    <x v="1"/>
    <n v="2"/>
    <n v="51776"/>
    <d v="2025-05-18T00:00:00"/>
    <n v="5"/>
    <n v="18"/>
    <n v="2025"/>
    <x v="3"/>
    <s v="Q2"/>
    <x v="2"/>
  </r>
  <r>
    <s v="O106662"/>
    <x v="161"/>
    <x v="8"/>
    <x v="6"/>
    <x v="1"/>
    <x v="3"/>
    <n v="2"/>
    <n v="51754"/>
    <d v="2026-09-02T00:00:00"/>
    <n v="9"/>
    <n v="2"/>
    <n v="2026"/>
    <x v="1"/>
    <s v="Q3"/>
    <x v="1"/>
  </r>
  <r>
    <s v="O107571"/>
    <x v="281"/>
    <x v="9"/>
    <x v="7"/>
    <x v="0"/>
    <x v="0"/>
    <n v="4"/>
    <n v="51693"/>
    <d v="2026-05-04T00:00:00"/>
    <n v="5"/>
    <n v="4"/>
    <n v="2026"/>
    <x v="3"/>
    <s v="Q2"/>
    <x v="0"/>
  </r>
  <r>
    <s v="O107787"/>
    <x v="221"/>
    <x v="0"/>
    <x v="7"/>
    <x v="2"/>
    <x v="3"/>
    <n v="4"/>
    <n v="51648"/>
    <d v="2026-04-19T00:00:00"/>
    <n v="4"/>
    <n v="19"/>
    <n v="2026"/>
    <x v="11"/>
    <s v="Q2"/>
    <x v="2"/>
  </r>
  <r>
    <s v="O102820"/>
    <x v="720"/>
    <x v="2"/>
    <x v="7"/>
    <x v="4"/>
    <x v="2"/>
    <n v="3"/>
    <n v="51616"/>
    <d v="2025-06-21T00:00:00"/>
    <n v="6"/>
    <n v="21"/>
    <n v="2025"/>
    <x v="2"/>
    <s v="Q2"/>
    <x v="4"/>
  </r>
  <r>
    <s v="O110203"/>
    <x v="599"/>
    <x v="10"/>
    <x v="7"/>
    <x v="1"/>
    <x v="1"/>
    <n v="4"/>
    <n v="51588"/>
    <d v="2026-12-09T00:00:00"/>
    <n v="12"/>
    <n v="9"/>
    <n v="2026"/>
    <x v="7"/>
    <s v="Q4"/>
    <x v="1"/>
  </r>
  <r>
    <s v="O107470"/>
    <x v="583"/>
    <x v="1"/>
    <x v="7"/>
    <x v="0"/>
    <x v="0"/>
    <n v="4"/>
    <n v="51506"/>
    <d v="2026-03-30T00:00:00"/>
    <n v="3"/>
    <n v="30"/>
    <n v="2026"/>
    <x v="5"/>
    <s v="Q1"/>
    <x v="0"/>
  </r>
  <r>
    <s v="O102429"/>
    <x v="378"/>
    <x v="3"/>
    <x v="7"/>
    <x v="2"/>
    <x v="0"/>
    <n v="3"/>
    <n v="51476"/>
    <d v="2025-05-28T00:00:00"/>
    <n v="5"/>
    <n v="28"/>
    <n v="2025"/>
    <x v="3"/>
    <m/>
    <x v="2"/>
  </r>
  <r>
    <s v="O101390"/>
    <x v="395"/>
    <x v="5"/>
    <x v="6"/>
    <x v="3"/>
    <x v="0"/>
    <n v="2"/>
    <n v="51359"/>
    <d v="2025-03-26T00:00:00"/>
    <n v="3"/>
    <n v="26"/>
    <n v="2025"/>
    <x v="5"/>
    <s v="Q1"/>
    <x v="3"/>
  </r>
  <r>
    <s v="O103639"/>
    <x v="281"/>
    <x v="3"/>
    <x v="7"/>
    <x v="4"/>
    <x v="1"/>
    <n v="4"/>
    <n v="51317"/>
    <d v="2025-10-08T00:00:00"/>
    <n v="10"/>
    <n v="8"/>
    <n v="2025"/>
    <x v="9"/>
    <s v="Q4"/>
    <x v="4"/>
  </r>
  <r>
    <s v="O106307"/>
    <x v="385"/>
    <x v="6"/>
    <x v="7"/>
    <x v="4"/>
    <x v="0"/>
    <n v="3"/>
    <n v="51237"/>
    <d v="2026-01-19T00:00:00"/>
    <n v="1"/>
    <n v="19"/>
    <n v="2026"/>
    <x v="6"/>
    <s v="Q1"/>
    <x v="4"/>
  </r>
  <r>
    <s v="O106461"/>
    <x v="68"/>
    <x v="9"/>
    <x v="7"/>
    <x v="1"/>
    <x v="0"/>
    <n v="3"/>
    <n v="51209"/>
    <d v="2026-01-28T00:00:00"/>
    <n v="1"/>
    <n v="28"/>
    <n v="2026"/>
    <x v="6"/>
    <s v="Q1"/>
    <x v="1"/>
  </r>
  <r>
    <s v="O107006"/>
    <x v="770"/>
    <x v="0"/>
    <x v="7"/>
    <x v="3"/>
    <x v="1"/>
    <n v="4"/>
    <n v="51209"/>
    <d v="2026-02-03T00:00:00"/>
    <n v="2"/>
    <n v="3"/>
    <n v="2026"/>
    <x v="4"/>
    <s v="Q1"/>
    <x v="3"/>
  </r>
  <r>
    <s v="O106657"/>
    <x v="794"/>
    <x v="6"/>
    <x v="7"/>
    <x v="3"/>
    <x v="2"/>
    <n v="3"/>
    <n v="51090"/>
    <d v="2026-09-02T00:00:00"/>
    <n v="9"/>
    <n v="2"/>
    <n v="2026"/>
    <x v="1"/>
    <s v="Q3"/>
    <x v="3"/>
  </r>
  <r>
    <s v="O103634"/>
    <x v="592"/>
    <x v="1"/>
    <x v="7"/>
    <x v="3"/>
    <x v="0"/>
    <n v="3"/>
    <n v="51048"/>
    <d v="2025-09-08T00:00:00"/>
    <n v="9"/>
    <n v="8"/>
    <n v="2025"/>
    <x v="1"/>
    <s v="Q3"/>
    <x v="3"/>
  </r>
  <r>
    <s v="O102133"/>
    <x v="544"/>
    <x v="5"/>
    <x v="6"/>
    <x v="1"/>
    <x v="3"/>
    <n v="2"/>
    <n v="51032"/>
    <d v="2025-10-05T00:00:00"/>
    <n v="10"/>
    <n v="5"/>
    <n v="2025"/>
    <x v="9"/>
    <s v="Q4"/>
    <x v="1"/>
  </r>
  <r>
    <s v="O111114"/>
    <x v="406"/>
    <x v="3"/>
    <x v="6"/>
    <x v="1"/>
    <x v="2"/>
    <n v="2"/>
    <n v="51003"/>
    <d v="2026-07-11T00:00:00"/>
    <n v="7"/>
    <n v="11"/>
    <n v="2026"/>
    <x v="10"/>
    <s v="Q3"/>
    <x v="1"/>
  </r>
  <r>
    <s v="O106982"/>
    <x v="659"/>
    <x v="10"/>
    <x v="6"/>
    <x v="3"/>
    <x v="3"/>
    <n v="2"/>
    <n v="50981"/>
    <d v="2026-01-03T00:00:00"/>
    <n v="1"/>
    <n v="3"/>
    <n v="2026"/>
    <x v="6"/>
    <s v="Q1"/>
    <x v="3"/>
  </r>
  <r>
    <s v="O102363"/>
    <x v="72"/>
    <x v="8"/>
    <x v="7"/>
    <x v="2"/>
    <x v="2"/>
    <n v="3"/>
    <n v="50979"/>
    <d v="2025-05-24T00:00:00"/>
    <n v="5"/>
    <n v="24"/>
    <n v="2025"/>
    <x v="3"/>
    <s v="Q2"/>
    <x v="2"/>
  </r>
  <r>
    <s v="O107338"/>
    <x v="127"/>
    <x v="9"/>
    <x v="7"/>
    <x v="2"/>
    <x v="2"/>
    <n v="3"/>
    <n v="50941"/>
    <d v="2026-03-22T00:00:00"/>
    <n v="3"/>
    <n v="22"/>
    <n v="2026"/>
    <x v="5"/>
    <s v="Q1"/>
    <x v="2"/>
  </r>
  <r>
    <s v="O107182"/>
    <x v="549"/>
    <x v="5"/>
    <x v="7"/>
    <x v="2"/>
    <x v="2"/>
    <n v="4"/>
    <n v="50930"/>
    <d v="2026-03-13T00:00:00"/>
    <n v="3"/>
    <n v="13"/>
    <n v="2026"/>
    <x v="5"/>
    <s v="Q1"/>
    <x v="2"/>
  </r>
  <r>
    <s v="O108444"/>
    <x v="787"/>
    <x v="10"/>
    <x v="7"/>
    <x v="1"/>
    <x v="2"/>
    <n v="4"/>
    <n v="50883"/>
    <d v="2026-05-28T00:00:00"/>
    <n v="5"/>
    <n v="28"/>
    <n v="2026"/>
    <x v="3"/>
    <s v="Q2"/>
    <x v="1"/>
  </r>
  <r>
    <s v="O104879"/>
    <x v="79"/>
    <x v="0"/>
    <x v="7"/>
    <x v="3"/>
    <x v="1"/>
    <n v="4"/>
    <n v="50828"/>
    <d v="2025-10-24T00:00:00"/>
    <n v="10"/>
    <n v="24"/>
    <n v="2025"/>
    <x v="9"/>
    <s v="Q4"/>
    <x v="3"/>
  </r>
  <r>
    <s v="O108466"/>
    <x v="30"/>
    <x v="2"/>
    <x v="7"/>
    <x v="2"/>
    <x v="2"/>
    <n v="3"/>
    <n v="50773"/>
    <d v="2026-05-30T00:00:00"/>
    <n v="5"/>
    <n v="30"/>
    <n v="2026"/>
    <x v="3"/>
    <s v="Q2"/>
    <x v="2"/>
  </r>
  <r>
    <s v="O100623"/>
    <x v="130"/>
    <x v="1"/>
    <x v="7"/>
    <x v="0"/>
    <x v="0"/>
    <n v="4"/>
    <n v="50769"/>
    <d v="2025-07-02T00:00:00"/>
    <n v="7"/>
    <n v="2"/>
    <n v="2025"/>
    <x v="10"/>
    <s v="Q3"/>
    <x v="0"/>
  </r>
  <r>
    <s v="O108579"/>
    <x v="698"/>
    <x v="2"/>
    <x v="7"/>
    <x v="3"/>
    <x v="1"/>
    <n v="4"/>
    <n v="50688"/>
    <d v="2026-06-06T00:00:00"/>
    <n v="6"/>
    <n v="6"/>
    <n v="2026"/>
    <x v="2"/>
    <s v="Q2"/>
    <x v="3"/>
  </r>
  <r>
    <s v="O105201"/>
    <x v="533"/>
    <x v="5"/>
    <x v="7"/>
    <x v="4"/>
    <x v="3"/>
    <n v="3"/>
    <n v="50641"/>
    <d v="2025-12-11T00:00:00"/>
    <n v="12"/>
    <n v="11"/>
    <n v="2025"/>
    <x v="7"/>
    <s v="Q4"/>
    <x v="4"/>
  </r>
  <r>
    <s v="O105221"/>
    <x v="418"/>
    <x v="5"/>
    <x v="7"/>
    <x v="3"/>
    <x v="0"/>
    <n v="3"/>
    <n v="50630"/>
    <d v="2025-11-14T00:00:00"/>
    <n v="11"/>
    <n v="14"/>
    <n v="2025"/>
    <x v="0"/>
    <s v="Q4"/>
    <x v="3"/>
  </r>
  <r>
    <s v="O106347"/>
    <x v="501"/>
    <x v="0"/>
    <x v="7"/>
    <x v="1"/>
    <x v="2"/>
    <n v="4"/>
    <n v="50581"/>
    <d v="2026-01-21T00:00:00"/>
    <n v="1"/>
    <n v="21"/>
    <n v="2026"/>
    <x v="6"/>
    <s v="Q1"/>
    <x v="1"/>
  </r>
  <r>
    <s v="O108812"/>
    <x v="352"/>
    <x v="0"/>
    <x v="7"/>
    <x v="0"/>
    <x v="2"/>
    <n v="4"/>
    <n v="50557"/>
    <d v="2026-06-20T00:00:00"/>
    <n v="6"/>
    <n v="20"/>
    <n v="2026"/>
    <x v="2"/>
    <s v="Q2"/>
    <x v="0"/>
  </r>
  <r>
    <s v="O105321"/>
    <x v="714"/>
    <x v="4"/>
    <x v="7"/>
    <x v="2"/>
    <x v="0"/>
    <n v="3"/>
    <n v="50423"/>
    <d v="2025-11-20T00:00:00"/>
    <n v="11"/>
    <n v="20"/>
    <n v="2025"/>
    <x v="0"/>
    <s v="Q4"/>
    <x v="2"/>
  </r>
  <r>
    <s v="O105472"/>
    <x v="548"/>
    <x v="2"/>
    <x v="7"/>
    <x v="2"/>
    <x v="0"/>
    <n v="4"/>
    <n v="50415"/>
    <d v="2025-11-29T00:00:00"/>
    <n v="11"/>
    <n v="29"/>
    <n v="2025"/>
    <x v="0"/>
    <s v="Q4"/>
    <x v="2"/>
  </r>
  <r>
    <s v="O106794"/>
    <x v="299"/>
    <x v="9"/>
    <x v="7"/>
    <x v="2"/>
    <x v="1"/>
    <n v="3"/>
    <n v="50396"/>
    <d v="2026-02-17T00:00:00"/>
    <n v="2"/>
    <n v="17"/>
    <n v="2026"/>
    <x v="4"/>
    <s v="Q1"/>
    <x v="2"/>
  </r>
  <r>
    <s v="O108426"/>
    <x v="71"/>
    <x v="4"/>
    <x v="7"/>
    <x v="1"/>
    <x v="3"/>
    <n v="3"/>
    <n v="50374"/>
    <d v="2026-05-27T00:00:00"/>
    <n v="5"/>
    <n v="27"/>
    <n v="2026"/>
    <x v="3"/>
    <s v="Q2"/>
    <x v="1"/>
  </r>
  <r>
    <s v="O110312"/>
    <x v="489"/>
    <x v="9"/>
    <x v="7"/>
    <x v="3"/>
    <x v="2"/>
    <n v="3"/>
    <n v="50368"/>
    <d v="2026-09-19T00:00:00"/>
    <n v="9"/>
    <n v="19"/>
    <n v="2026"/>
    <x v="1"/>
    <s v="Q3"/>
    <x v="3"/>
  </r>
  <r>
    <s v="O110374"/>
    <x v="764"/>
    <x v="0"/>
    <x v="6"/>
    <x v="2"/>
    <x v="1"/>
    <n v="2"/>
    <n v="50360"/>
    <d v="2026-09-23T00:00:00"/>
    <n v="9"/>
    <n v="23"/>
    <n v="2026"/>
    <x v="1"/>
    <s v="Q3"/>
    <x v="2"/>
  </r>
  <r>
    <s v="O101876"/>
    <x v="496"/>
    <x v="8"/>
    <x v="6"/>
    <x v="2"/>
    <x v="2"/>
    <n v="2"/>
    <n v="50357"/>
    <d v="2025-04-24T00:00:00"/>
    <n v="4"/>
    <n v="24"/>
    <n v="2025"/>
    <x v="11"/>
    <s v="Q2"/>
    <x v="2"/>
  </r>
  <r>
    <s v="O105129"/>
    <x v="246"/>
    <x v="4"/>
    <x v="7"/>
    <x v="0"/>
    <x v="0"/>
    <n v="4"/>
    <n v="50294"/>
    <d v="2025-08-11T00:00:00"/>
    <n v="8"/>
    <n v="11"/>
    <n v="2025"/>
    <x v="8"/>
    <s v="Q3"/>
    <x v="0"/>
  </r>
  <r>
    <s v="O111369"/>
    <x v="120"/>
    <x v="9"/>
    <x v="7"/>
    <x v="1"/>
    <x v="0"/>
    <n v="4"/>
    <n v="50285"/>
    <d v="2026-11-22T00:00:00"/>
    <n v="11"/>
    <n v="22"/>
    <n v="2026"/>
    <x v="0"/>
    <s v="Q4"/>
    <x v="1"/>
  </r>
  <r>
    <s v="O106412"/>
    <x v="621"/>
    <x v="1"/>
    <x v="7"/>
    <x v="3"/>
    <x v="1"/>
    <n v="4"/>
    <n v="50263"/>
    <d v="2026-01-25T00:00:00"/>
    <n v="1"/>
    <n v="25"/>
    <n v="2026"/>
    <x v="6"/>
    <s v="Q1"/>
    <x v="3"/>
  </r>
  <r>
    <s v="O106764"/>
    <x v="123"/>
    <x v="3"/>
    <x v="7"/>
    <x v="4"/>
    <x v="0"/>
    <n v="3"/>
    <n v="50260"/>
    <d v="2026-02-15T00:00:00"/>
    <n v="2"/>
    <n v="15"/>
    <n v="2026"/>
    <x v="4"/>
    <s v="Q1"/>
    <x v="4"/>
  </r>
  <r>
    <s v="O100443"/>
    <x v="620"/>
    <x v="9"/>
    <x v="7"/>
    <x v="3"/>
    <x v="2"/>
    <n v="4"/>
    <n v="50051"/>
    <d v="2025-01-27T00:00:00"/>
    <n v="1"/>
    <n v="27"/>
    <n v="2025"/>
    <x v="6"/>
    <s v="Q1"/>
    <x v="3"/>
  </r>
  <r>
    <s v="O110082"/>
    <x v="647"/>
    <x v="4"/>
    <x v="6"/>
    <x v="3"/>
    <x v="3"/>
    <n v="2"/>
    <n v="50004"/>
    <d v="2026-05-09T00:00:00"/>
    <n v="5"/>
    <n v="9"/>
    <n v="2026"/>
    <x v="3"/>
    <s v="Q2"/>
    <x v="3"/>
  </r>
  <r>
    <s v="O108206"/>
    <x v="214"/>
    <x v="1"/>
    <x v="7"/>
    <x v="0"/>
    <x v="0"/>
    <n v="4"/>
    <n v="49994"/>
    <d v="2026-05-14T00:00:00"/>
    <n v="5"/>
    <n v="14"/>
    <n v="2026"/>
    <x v="3"/>
    <s v="Q2"/>
    <x v="0"/>
  </r>
  <r>
    <s v="O102834"/>
    <x v="251"/>
    <x v="2"/>
    <x v="7"/>
    <x v="1"/>
    <x v="0"/>
    <n v="4"/>
    <n v="49975"/>
    <d v="2025-06-22T00:00:00"/>
    <n v="6"/>
    <n v="22"/>
    <n v="2025"/>
    <x v="2"/>
    <s v="Q2"/>
    <x v="1"/>
  </r>
  <r>
    <s v="O101070"/>
    <x v="240"/>
    <x v="0"/>
    <x v="7"/>
    <x v="0"/>
    <x v="1"/>
    <n v="4"/>
    <n v="49974"/>
    <d v="2025-06-03T00:00:00"/>
    <n v="6"/>
    <n v="3"/>
    <n v="2025"/>
    <x v="2"/>
    <s v="Q2"/>
    <x v="0"/>
  </r>
  <r>
    <s v="O104364"/>
    <x v="323"/>
    <x v="1"/>
    <x v="6"/>
    <x v="2"/>
    <x v="2"/>
    <n v="2"/>
    <n v="49924"/>
    <d v="2025-09-23T00:00:00"/>
    <n v="9"/>
    <n v="23"/>
    <n v="2025"/>
    <x v="1"/>
    <s v="Q3"/>
    <x v="2"/>
  </r>
  <r>
    <s v="O103035"/>
    <x v="696"/>
    <x v="1"/>
    <x v="7"/>
    <x v="1"/>
    <x v="1"/>
    <n v="3"/>
    <n v="49860"/>
    <d v="2025-04-07T00:00:00"/>
    <n v="4"/>
    <n v="7"/>
    <n v="2025"/>
    <x v="11"/>
    <s v="Q2"/>
    <x v="1"/>
  </r>
  <r>
    <s v="O109491"/>
    <x v="793"/>
    <x v="5"/>
    <x v="6"/>
    <x v="2"/>
    <x v="0"/>
    <n v="2"/>
    <n v="49807"/>
    <d v="2026-07-31T00:00:00"/>
    <n v="7"/>
    <n v="31"/>
    <n v="2026"/>
    <x v="10"/>
    <s v="Q3"/>
    <x v="2"/>
  </r>
  <r>
    <s v="O100805"/>
    <x v="100"/>
    <x v="1"/>
    <x v="6"/>
    <x v="3"/>
    <x v="1"/>
    <n v="2"/>
    <n v="49778"/>
    <d v="2025-02-18T00:00:00"/>
    <n v="2"/>
    <n v="18"/>
    <n v="2025"/>
    <x v="4"/>
    <s v="Q1"/>
    <x v="3"/>
  </r>
  <r>
    <s v="O107071"/>
    <x v="12"/>
    <x v="10"/>
    <x v="7"/>
    <x v="3"/>
    <x v="0"/>
    <n v="4"/>
    <n v="49637"/>
    <d v="2026-06-03T00:00:00"/>
    <n v="6"/>
    <n v="3"/>
    <n v="2026"/>
    <x v="2"/>
    <s v="Q2"/>
    <x v="3"/>
  </r>
  <r>
    <s v="O101485"/>
    <x v="595"/>
    <x v="5"/>
    <x v="7"/>
    <x v="4"/>
    <x v="3"/>
    <n v="4"/>
    <n v="49565"/>
    <d v="2025-01-04T00:00:00"/>
    <n v="1"/>
    <n v="4"/>
    <n v="2025"/>
    <x v="6"/>
    <s v="Q1"/>
    <x v="4"/>
  </r>
  <r>
    <s v="O102571"/>
    <x v="220"/>
    <x v="0"/>
    <x v="7"/>
    <x v="0"/>
    <x v="1"/>
    <n v="4"/>
    <n v="49351"/>
    <d v="2025-06-06T00:00:00"/>
    <n v="6"/>
    <n v="6"/>
    <n v="2025"/>
    <x v="2"/>
    <s v="Q2"/>
    <x v="0"/>
  </r>
  <r>
    <s v="O107823"/>
    <x v="75"/>
    <x v="9"/>
    <x v="7"/>
    <x v="3"/>
    <x v="3"/>
    <n v="4"/>
    <n v="49334"/>
    <d v="2026-04-21T00:00:00"/>
    <n v="4"/>
    <n v="21"/>
    <n v="2026"/>
    <x v="11"/>
    <m/>
    <x v="3"/>
  </r>
  <r>
    <s v="O111895"/>
    <x v="315"/>
    <x v="1"/>
    <x v="7"/>
    <x v="0"/>
    <x v="3"/>
    <n v="3"/>
    <n v="49237"/>
    <d v="2026-12-24T00:00:00"/>
    <n v="12"/>
    <n v="24"/>
    <n v="2026"/>
    <x v="7"/>
    <s v="Q4"/>
    <x v="0"/>
  </r>
  <r>
    <s v="O102876"/>
    <x v="260"/>
    <x v="9"/>
    <x v="6"/>
    <x v="1"/>
    <x v="3"/>
    <n v="2"/>
    <n v="49198"/>
    <d v="2025-06-24T00:00:00"/>
    <n v="6"/>
    <n v="24"/>
    <n v="2025"/>
    <x v="2"/>
    <s v="Q2"/>
    <x v="1"/>
  </r>
  <r>
    <s v="O108059"/>
    <x v="174"/>
    <x v="6"/>
    <x v="6"/>
    <x v="1"/>
    <x v="1"/>
    <n v="2"/>
    <n v="49164"/>
    <d v="2026-05-05T00:00:00"/>
    <n v="5"/>
    <n v="5"/>
    <n v="2026"/>
    <x v="3"/>
    <s v="Q2"/>
    <x v="1"/>
  </r>
  <r>
    <s v="O106968"/>
    <x v="627"/>
    <x v="2"/>
    <x v="7"/>
    <x v="3"/>
    <x v="0"/>
    <n v="3"/>
    <n v="49150"/>
    <d v="2026-02-28T00:00:00"/>
    <n v="2"/>
    <n v="28"/>
    <n v="2026"/>
    <x v="4"/>
    <s v="Q1"/>
    <x v="3"/>
  </r>
  <r>
    <s v="O106131"/>
    <x v="95"/>
    <x v="8"/>
    <x v="7"/>
    <x v="1"/>
    <x v="2"/>
    <n v="4"/>
    <n v="48949"/>
    <d v="2026-08-01T00:00:00"/>
    <n v="8"/>
    <n v="1"/>
    <n v="2026"/>
    <x v="8"/>
    <s v="Q3"/>
    <x v="1"/>
  </r>
  <r>
    <s v="O101766"/>
    <x v="445"/>
    <x v="6"/>
    <x v="7"/>
    <x v="1"/>
    <x v="0"/>
    <n v="3"/>
    <n v="48905"/>
    <d v="2025-04-18T00:00:00"/>
    <n v="4"/>
    <n v="18"/>
    <n v="2025"/>
    <x v="11"/>
    <s v="Q2"/>
    <x v="1"/>
  </r>
  <r>
    <s v="O108548"/>
    <x v="541"/>
    <x v="5"/>
    <x v="7"/>
    <x v="2"/>
    <x v="2"/>
    <n v="4"/>
    <n v="48842"/>
    <d v="2026-04-06T00:00:00"/>
    <n v="4"/>
    <n v="6"/>
    <n v="2026"/>
    <x v="11"/>
    <s v="Q2"/>
    <x v="2"/>
  </r>
  <r>
    <s v="O111677"/>
    <x v="276"/>
    <x v="1"/>
    <x v="7"/>
    <x v="2"/>
    <x v="1"/>
    <n v="4"/>
    <n v="48815"/>
    <d v="2026-11-12T00:00:00"/>
    <n v="11"/>
    <n v="12"/>
    <n v="2026"/>
    <x v="0"/>
    <s v="Q4"/>
    <x v="2"/>
  </r>
  <r>
    <s v="O102404"/>
    <x v="146"/>
    <x v="9"/>
    <x v="7"/>
    <x v="3"/>
    <x v="1"/>
    <n v="3"/>
    <n v="48701"/>
    <d v="2025-05-26T00:00:00"/>
    <n v="5"/>
    <n v="26"/>
    <n v="2025"/>
    <x v="3"/>
    <s v="Q2"/>
    <x v="3"/>
  </r>
  <r>
    <s v="O105360"/>
    <x v="311"/>
    <x v="8"/>
    <x v="6"/>
    <x v="3"/>
    <x v="2"/>
    <n v="2"/>
    <n v="48680"/>
    <d v="2025-11-22T00:00:00"/>
    <n v="11"/>
    <n v="22"/>
    <n v="2025"/>
    <x v="0"/>
    <s v="Q4"/>
    <x v="3"/>
  </r>
  <r>
    <s v="O105805"/>
    <x v="220"/>
    <x v="1"/>
    <x v="7"/>
    <x v="1"/>
    <x v="0"/>
    <n v="4"/>
    <n v="48632"/>
    <d v="2025-12-19T00:00:00"/>
    <n v="12"/>
    <n v="19"/>
    <n v="2025"/>
    <x v="7"/>
    <s v="Q4"/>
    <x v="1"/>
  </r>
  <r>
    <s v="O106593"/>
    <x v="503"/>
    <x v="10"/>
    <x v="7"/>
    <x v="4"/>
    <x v="4"/>
    <n v="3"/>
    <n v="48629"/>
    <d v="2026-05-02T00:00:00"/>
    <n v="5"/>
    <n v="2"/>
    <n v="2026"/>
    <x v="3"/>
    <s v="Q2"/>
    <x v="4"/>
  </r>
  <r>
    <s v="O105814"/>
    <x v="178"/>
    <x v="0"/>
    <x v="7"/>
    <x v="1"/>
    <x v="3"/>
    <n v="4"/>
    <n v="48609"/>
    <d v="2025-12-20T00:00:00"/>
    <n v="12"/>
    <n v="20"/>
    <n v="2025"/>
    <x v="7"/>
    <s v="Q4"/>
    <x v="1"/>
  </r>
  <r>
    <s v="O106253"/>
    <x v="352"/>
    <x v="6"/>
    <x v="7"/>
    <x v="0"/>
    <x v="3"/>
    <n v="3"/>
    <n v="48608"/>
    <d v="2026-01-15T00:00:00"/>
    <n v="1"/>
    <n v="15"/>
    <n v="2026"/>
    <x v="6"/>
    <s v="Q1"/>
    <x v="0"/>
  </r>
  <r>
    <s v="O111493"/>
    <x v="379"/>
    <x v="4"/>
    <x v="7"/>
    <x v="0"/>
    <x v="2"/>
    <n v="3"/>
    <n v="48544"/>
    <d v="2026-11-30T00:00:00"/>
    <n v="11"/>
    <n v="30"/>
    <n v="2026"/>
    <x v="0"/>
    <s v="Q4"/>
    <x v="0"/>
  </r>
  <r>
    <s v="O100838"/>
    <x v="497"/>
    <x v="3"/>
    <x v="7"/>
    <x v="2"/>
    <x v="1"/>
    <n v="4"/>
    <n v="48511"/>
    <d v="2025-02-20T00:00:00"/>
    <n v="2"/>
    <n v="20"/>
    <n v="2025"/>
    <x v="4"/>
    <s v="Q1"/>
    <x v="2"/>
  </r>
  <r>
    <s v="O101886"/>
    <x v="760"/>
    <x v="5"/>
    <x v="6"/>
    <x v="1"/>
    <x v="1"/>
    <n v="2"/>
    <n v="48468"/>
    <d v="2025-04-25T00:00:00"/>
    <n v="4"/>
    <n v="25"/>
    <n v="2025"/>
    <x v="11"/>
    <s v="Q2"/>
    <x v="1"/>
  </r>
  <r>
    <s v="O107413"/>
    <x v="573"/>
    <x v="1"/>
    <x v="7"/>
    <x v="3"/>
    <x v="0"/>
    <n v="3"/>
    <n v="48435"/>
    <d v="2026-03-27T00:00:00"/>
    <n v="3"/>
    <n v="27"/>
    <n v="2026"/>
    <x v="5"/>
    <s v="Q1"/>
    <x v="3"/>
  </r>
  <r>
    <s v="O107054"/>
    <x v="581"/>
    <x v="1"/>
    <x v="6"/>
    <x v="0"/>
    <x v="1"/>
    <n v="2"/>
    <n v="48334"/>
    <d v="2026-05-03T00:00:00"/>
    <n v="5"/>
    <n v="3"/>
    <n v="2026"/>
    <x v="3"/>
    <s v="Q2"/>
    <x v="0"/>
  </r>
  <r>
    <s v="O109236"/>
    <x v="100"/>
    <x v="6"/>
    <x v="7"/>
    <x v="4"/>
    <x v="0"/>
    <n v="3"/>
    <n v="48314"/>
    <d v="2026-07-16T00:00:00"/>
    <n v="7"/>
    <n v="16"/>
    <n v="2026"/>
    <x v="10"/>
    <s v="Q3"/>
    <x v="4"/>
  </r>
  <r>
    <s v="O107240"/>
    <x v="789"/>
    <x v="5"/>
    <x v="6"/>
    <x v="2"/>
    <x v="2"/>
    <n v="2"/>
    <n v="48313"/>
    <d v="2026-03-16T00:00:00"/>
    <n v="3"/>
    <n v="16"/>
    <n v="2026"/>
    <x v="5"/>
    <s v="Q1"/>
    <x v="2"/>
  </r>
  <r>
    <s v="O107749"/>
    <x v="332"/>
    <x v="8"/>
    <x v="7"/>
    <x v="3"/>
    <x v="1"/>
    <n v="3"/>
    <n v="48245"/>
    <d v="2026-04-16T00:00:00"/>
    <n v="4"/>
    <n v="16"/>
    <n v="2026"/>
    <x v="11"/>
    <s v="Q2"/>
    <x v="3"/>
  </r>
  <r>
    <s v="O105409"/>
    <x v="125"/>
    <x v="9"/>
    <x v="7"/>
    <x v="0"/>
    <x v="1"/>
    <n v="3"/>
    <n v="48243"/>
    <d v="2025-11-25T00:00:00"/>
    <n v="11"/>
    <n v="25"/>
    <n v="2025"/>
    <x v="0"/>
    <s v="Q4"/>
    <x v="0"/>
  </r>
  <r>
    <s v="O109329"/>
    <x v="578"/>
    <x v="3"/>
    <x v="7"/>
    <x v="0"/>
    <x v="2"/>
    <n v="4"/>
    <n v="48237"/>
    <d v="2026-07-21T00:00:00"/>
    <n v="7"/>
    <n v="21"/>
    <n v="2026"/>
    <x v="10"/>
    <s v="Q3"/>
    <x v="0"/>
  </r>
  <r>
    <s v="O108099"/>
    <x v="455"/>
    <x v="4"/>
    <x v="6"/>
    <x v="0"/>
    <x v="1"/>
    <n v="2"/>
    <n v="48136"/>
    <d v="2026-07-05T00:00:00"/>
    <n v="7"/>
    <n v="5"/>
    <n v="2026"/>
    <x v="10"/>
    <s v="Q3"/>
    <x v="0"/>
  </r>
  <r>
    <s v="O102698"/>
    <x v="347"/>
    <x v="2"/>
    <x v="7"/>
    <x v="4"/>
    <x v="0"/>
    <n v="3"/>
    <n v="48120"/>
    <d v="2025-06-13T00:00:00"/>
    <n v="6"/>
    <n v="13"/>
    <n v="2025"/>
    <x v="2"/>
    <s v="Q2"/>
    <x v="4"/>
  </r>
  <r>
    <s v="O101326"/>
    <x v="131"/>
    <x v="3"/>
    <x v="7"/>
    <x v="0"/>
    <x v="0"/>
    <n v="4"/>
    <n v="48107"/>
    <d v="2025-03-22T00:00:00"/>
    <n v="3"/>
    <n v="22"/>
    <n v="2025"/>
    <x v="5"/>
    <s v="Q1"/>
    <x v="0"/>
  </r>
  <r>
    <s v="O105855"/>
    <x v="254"/>
    <x v="1"/>
    <x v="7"/>
    <x v="0"/>
    <x v="2"/>
    <n v="3"/>
    <n v="48083"/>
    <d v="2025-12-22T00:00:00"/>
    <n v="12"/>
    <n v="22"/>
    <n v="2025"/>
    <x v="7"/>
    <s v="Q4"/>
    <x v="0"/>
  </r>
  <r>
    <s v="O107967"/>
    <x v="357"/>
    <x v="3"/>
    <x v="7"/>
    <x v="3"/>
    <x v="1"/>
    <n v="3"/>
    <n v="48081"/>
    <d v="2026-04-29T00:00:00"/>
    <n v="4"/>
    <n v="29"/>
    <n v="2026"/>
    <x v="11"/>
    <s v="Q2"/>
    <x v="3"/>
  </r>
  <r>
    <s v="O107777"/>
    <x v="303"/>
    <x v="10"/>
    <x v="7"/>
    <x v="1"/>
    <x v="2"/>
    <n v="4"/>
    <n v="48054"/>
    <d v="2026-04-18T00:00:00"/>
    <n v="4"/>
    <n v="18"/>
    <n v="2026"/>
    <x v="11"/>
    <s v="Q2"/>
    <x v="1"/>
  </r>
  <r>
    <s v="O105826"/>
    <x v="255"/>
    <x v="8"/>
    <x v="7"/>
    <x v="2"/>
    <x v="1"/>
    <n v="4"/>
    <n v="48040"/>
    <d v="2025-12-20T00:00:00"/>
    <n v="12"/>
    <n v="20"/>
    <n v="2025"/>
    <x v="7"/>
    <s v="Q4"/>
    <x v="2"/>
  </r>
  <r>
    <s v="O108598"/>
    <x v="96"/>
    <x v="6"/>
    <x v="7"/>
    <x v="2"/>
    <x v="0"/>
    <n v="3"/>
    <n v="48014"/>
    <d v="2026-07-06T00:00:00"/>
    <n v="7"/>
    <n v="6"/>
    <n v="2026"/>
    <x v="10"/>
    <s v="Q3"/>
    <x v="2"/>
  </r>
  <r>
    <s v="O101384"/>
    <x v="208"/>
    <x v="0"/>
    <x v="7"/>
    <x v="3"/>
    <x v="1"/>
    <n v="3"/>
    <n v="47997"/>
    <d v="2025-03-26T00:00:00"/>
    <n v="3"/>
    <n v="26"/>
    <n v="2025"/>
    <x v="5"/>
    <s v="Q1"/>
    <x v="3"/>
  </r>
  <r>
    <s v="O102457"/>
    <x v="159"/>
    <x v="1"/>
    <x v="6"/>
    <x v="3"/>
    <x v="2"/>
    <n v="2"/>
    <n v="47974"/>
    <d v="2025-05-30T00:00:00"/>
    <n v="5"/>
    <n v="30"/>
    <n v="2025"/>
    <x v="3"/>
    <s v="Q2"/>
    <x v="3"/>
  </r>
  <r>
    <s v="O100894"/>
    <x v="214"/>
    <x v="0"/>
    <x v="7"/>
    <x v="0"/>
    <x v="3"/>
    <n v="4"/>
    <n v="47950"/>
    <d v="2025-02-24T00:00:00"/>
    <n v="2"/>
    <n v="24"/>
    <n v="2025"/>
    <x v="4"/>
    <s v="Q1"/>
    <x v="0"/>
  </r>
  <r>
    <s v="O100866"/>
    <x v="743"/>
    <x v="0"/>
    <x v="6"/>
    <x v="3"/>
    <x v="2"/>
    <n v="2"/>
    <n v="47937"/>
    <d v="2025-02-22T00:00:00"/>
    <n v="2"/>
    <n v="22"/>
    <n v="2025"/>
    <x v="4"/>
    <s v="Q1"/>
    <x v="3"/>
  </r>
  <r>
    <s v="O101043"/>
    <x v="619"/>
    <x v="4"/>
    <x v="7"/>
    <x v="2"/>
    <x v="2"/>
    <n v="4"/>
    <n v="47936"/>
    <d v="2025-05-03T00:00:00"/>
    <n v="5"/>
    <n v="3"/>
    <n v="2025"/>
    <x v="3"/>
    <s v="Q2"/>
    <x v="2"/>
  </r>
  <r>
    <s v="O105050"/>
    <x v="447"/>
    <x v="8"/>
    <x v="6"/>
    <x v="1"/>
    <x v="0"/>
    <n v="2"/>
    <n v="47933"/>
    <d v="2025-03-11T00:00:00"/>
    <n v="3"/>
    <n v="11"/>
    <n v="2025"/>
    <x v="5"/>
    <s v="Q1"/>
    <x v="1"/>
  </r>
  <r>
    <s v="O106077"/>
    <x v="678"/>
    <x v="2"/>
    <x v="7"/>
    <x v="0"/>
    <x v="0"/>
    <n v="3"/>
    <n v="47932"/>
    <d v="2026-05-01T00:00:00"/>
    <n v="5"/>
    <n v="1"/>
    <n v="2026"/>
    <x v="3"/>
    <s v="Q2"/>
    <x v="0"/>
  </r>
  <r>
    <s v="O105372"/>
    <x v="557"/>
    <x v="2"/>
    <x v="7"/>
    <x v="3"/>
    <x v="1"/>
    <n v="4"/>
    <n v="47929"/>
    <d v="2025-11-23T00:00:00"/>
    <n v="11"/>
    <n v="23"/>
    <n v="2025"/>
    <x v="0"/>
    <s v="Q4"/>
    <x v="3"/>
  </r>
  <r>
    <s v="O102805"/>
    <x v="244"/>
    <x v="8"/>
    <x v="6"/>
    <x v="3"/>
    <x v="0"/>
    <n v="2"/>
    <n v="47915"/>
    <d v="2025-06-20T00:00:00"/>
    <n v="6"/>
    <n v="20"/>
    <n v="2025"/>
    <x v="2"/>
    <s v="Q2"/>
    <x v="3"/>
  </r>
  <r>
    <s v="O108092"/>
    <x v="524"/>
    <x v="6"/>
    <x v="6"/>
    <x v="1"/>
    <x v="0"/>
    <n v="2"/>
    <n v="47904"/>
    <d v="2026-07-05T00:00:00"/>
    <n v="7"/>
    <n v="5"/>
    <n v="2026"/>
    <x v="10"/>
    <s v="Q3"/>
    <x v="1"/>
  </r>
  <r>
    <s v="O109314"/>
    <x v="513"/>
    <x v="0"/>
    <x v="7"/>
    <x v="3"/>
    <x v="3"/>
    <n v="4"/>
    <n v="47883"/>
    <d v="2026-07-20T00:00:00"/>
    <n v="7"/>
    <n v="20"/>
    <n v="2026"/>
    <x v="10"/>
    <s v="Q3"/>
    <x v="3"/>
  </r>
  <r>
    <s v="O105280"/>
    <x v="286"/>
    <x v="2"/>
    <x v="7"/>
    <x v="0"/>
    <x v="3"/>
    <n v="4"/>
    <n v="47875"/>
    <d v="2025-11-17T00:00:00"/>
    <n v="11"/>
    <n v="17"/>
    <n v="2025"/>
    <x v="0"/>
    <s v="Q4"/>
    <x v="0"/>
  </r>
  <r>
    <s v="O109575"/>
    <x v="325"/>
    <x v="8"/>
    <x v="7"/>
    <x v="3"/>
    <x v="1"/>
    <n v="4"/>
    <n v="47873"/>
    <d v="2026-05-08T00:00:00"/>
    <n v="5"/>
    <n v="8"/>
    <n v="2026"/>
    <x v="3"/>
    <s v="Q2"/>
    <x v="3"/>
  </r>
  <r>
    <s v="O109214"/>
    <x v="541"/>
    <x v="5"/>
    <x v="7"/>
    <x v="2"/>
    <x v="1"/>
    <n v="3"/>
    <n v="47842"/>
    <d v="2026-07-14T00:00:00"/>
    <n v="7"/>
    <n v="14"/>
    <n v="2026"/>
    <x v="10"/>
    <s v="Q3"/>
    <x v="2"/>
  </r>
  <r>
    <s v="O106727"/>
    <x v="357"/>
    <x v="5"/>
    <x v="7"/>
    <x v="1"/>
    <x v="0"/>
    <n v="4"/>
    <n v="47841"/>
    <d v="2026-02-13T00:00:00"/>
    <n v="2"/>
    <n v="13"/>
    <n v="2026"/>
    <x v="4"/>
    <s v="Q1"/>
    <x v="1"/>
  </r>
  <r>
    <s v="O105368"/>
    <x v="272"/>
    <x v="2"/>
    <x v="7"/>
    <x v="0"/>
    <x v="1"/>
    <n v="3"/>
    <n v="47840"/>
    <d v="2025-11-23T00:00:00"/>
    <n v="11"/>
    <n v="23"/>
    <n v="2025"/>
    <x v="0"/>
    <s v="Q4"/>
    <x v="0"/>
  </r>
  <r>
    <s v="O107245"/>
    <x v="68"/>
    <x v="5"/>
    <x v="7"/>
    <x v="4"/>
    <x v="2"/>
    <n v="3"/>
    <n v="47757"/>
    <d v="2026-03-17T00:00:00"/>
    <n v="3"/>
    <n v="17"/>
    <n v="2026"/>
    <x v="5"/>
    <s v="Q1"/>
    <x v="4"/>
  </r>
  <r>
    <s v="O100675"/>
    <x v="280"/>
    <x v="9"/>
    <x v="7"/>
    <x v="0"/>
    <x v="2"/>
    <n v="3"/>
    <n v="47704"/>
    <d v="2025-10-02T00:00:00"/>
    <n v="10"/>
    <n v="2"/>
    <n v="2025"/>
    <x v="9"/>
    <s v="Q4"/>
    <x v="0"/>
  </r>
  <r>
    <s v="O108951"/>
    <x v="521"/>
    <x v="6"/>
    <x v="7"/>
    <x v="0"/>
    <x v="1"/>
    <n v="4"/>
    <n v="47681"/>
    <d v="2026-06-28T00:00:00"/>
    <n v="6"/>
    <n v="28"/>
    <n v="2026"/>
    <x v="2"/>
    <s v="Q2"/>
    <x v="0"/>
  </r>
  <r>
    <s v="O106303"/>
    <x v="598"/>
    <x v="8"/>
    <x v="6"/>
    <x v="0"/>
    <x v="3"/>
    <n v="2"/>
    <n v="47578"/>
    <d v="2026-01-18T00:00:00"/>
    <n v="1"/>
    <n v="18"/>
    <n v="2026"/>
    <x v="6"/>
    <s v="Q1"/>
    <x v="0"/>
  </r>
  <r>
    <s v="O105267"/>
    <x v="725"/>
    <x v="1"/>
    <x v="7"/>
    <x v="4"/>
    <x v="2"/>
    <n v="4"/>
    <n v="47547"/>
    <d v="2025-11-16T00:00:00"/>
    <n v="11"/>
    <n v="16"/>
    <n v="2025"/>
    <x v="0"/>
    <m/>
    <x v="4"/>
  </r>
  <r>
    <s v="O101421"/>
    <x v="169"/>
    <x v="3"/>
    <x v="7"/>
    <x v="1"/>
    <x v="0"/>
    <n v="3"/>
    <n v="47521"/>
    <d v="2025-03-28T00:00:00"/>
    <n v="3"/>
    <n v="28"/>
    <n v="2025"/>
    <x v="5"/>
    <m/>
    <x v="1"/>
  </r>
  <r>
    <s v="O103613"/>
    <x v="325"/>
    <x v="1"/>
    <x v="7"/>
    <x v="2"/>
    <x v="1"/>
    <n v="3"/>
    <n v="47510"/>
    <d v="2025-08-08T00:00:00"/>
    <n v="8"/>
    <n v="8"/>
    <n v="2025"/>
    <x v="8"/>
    <s v="Q3"/>
    <x v="2"/>
  </r>
  <r>
    <s v="O108290"/>
    <x v="279"/>
    <x v="10"/>
    <x v="6"/>
    <x v="4"/>
    <x v="3"/>
    <n v="2"/>
    <n v="47451"/>
    <d v="2026-05-19T00:00:00"/>
    <n v="5"/>
    <n v="19"/>
    <n v="2026"/>
    <x v="3"/>
    <s v="Q2"/>
    <x v="4"/>
  </r>
  <r>
    <s v="O104599"/>
    <x v="154"/>
    <x v="2"/>
    <x v="7"/>
    <x v="0"/>
    <x v="3"/>
    <n v="3"/>
    <n v="47428"/>
    <d v="2025-07-10T00:00:00"/>
    <n v="7"/>
    <n v="10"/>
    <n v="2025"/>
    <x v="10"/>
    <s v="Q3"/>
    <x v="0"/>
  </r>
  <r>
    <s v="O108503"/>
    <x v="178"/>
    <x v="0"/>
    <x v="7"/>
    <x v="0"/>
    <x v="1"/>
    <n v="4"/>
    <n v="47403"/>
    <d v="2026-01-06T00:00:00"/>
    <n v="1"/>
    <n v="6"/>
    <n v="2026"/>
    <x v="6"/>
    <s v="Q1"/>
    <x v="0"/>
  </r>
  <r>
    <s v="O108708"/>
    <x v="498"/>
    <x v="0"/>
    <x v="6"/>
    <x v="1"/>
    <x v="3"/>
    <n v="2"/>
    <n v="47346"/>
    <d v="2026-06-13T00:00:00"/>
    <n v="6"/>
    <n v="13"/>
    <n v="2026"/>
    <x v="2"/>
    <s v="Q2"/>
    <x v="1"/>
  </r>
  <r>
    <s v="O111318"/>
    <x v="244"/>
    <x v="10"/>
    <x v="6"/>
    <x v="1"/>
    <x v="2"/>
    <n v="2"/>
    <n v="47310"/>
    <d v="2026-11-19T00:00:00"/>
    <n v="11"/>
    <n v="19"/>
    <n v="2026"/>
    <x v="0"/>
    <s v="Q4"/>
    <x v="1"/>
  </r>
  <r>
    <s v="O101377"/>
    <x v="450"/>
    <x v="8"/>
    <x v="6"/>
    <x v="3"/>
    <x v="1"/>
    <n v="2"/>
    <n v="47310"/>
    <d v="2025-03-25T00:00:00"/>
    <n v="3"/>
    <n v="25"/>
    <n v="2025"/>
    <x v="5"/>
    <s v="Q1"/>
    <x v="3"/>
  </r>
  <r>
    <s v="O108176"/>
    <x v="351"/>
    <x v="2"/>
    <x v="7"/>
    <x v="1"/>
    <x v="1"/>
    <n v="3"/>
    <n v="47250"/>
    <d v="2026-12-05T00:00:00"/>
    <n v="12"/>
    <n v="5"/>
    <n v="2026"/>
    <x v="7"/>
    <s v="Q4"/>
    <x v="1"/>
  </r>
  <r>
    <s v="O102199"/>
    <x v="443"/>
    <x v="8"/>
    <x v="6"/>
    <x v="2"/>
    <x v="1"/>
    <n v="2"/>
    <n v="47092"/>
    <d v="2025-05-14T00:00:00"/>
    <n v="5"/>
    <n v="14"/>
    <n v="2025"/>
    <x v="3"/>
    <m/>
    <x v="2"/>
  </r>
  <r>
    <s v="O110521"/>
    <x v="89"/>
    <x v="6"/>
    <x v="6"/>
    <x v="1"/>
    <x v="2"/>
    <n v="2"/>
    <n v="47079"/>
    <d v="2026-02-10T00:00:00"/>
    <n v="2"/>
    <n v="10"/>
    <n v="2026"/>
    <x v="4"/>
    <s v="Q1"/>
    <x v="1"/>
  </r>
  <r>
    <s v="O102558"/>
    <x v="595"/>
    <x v="2"/>
    <x v="7"/>
    <x v="1"/>
    <x v="3"/>
    <n v="4"/>
    <n v="46963"/>
    <d v="2025-05-06T00:00:00"/>
    <n v="5"/>
    <n v="6"/>
    <n v="2025"/>
    <x v="3"/>
    <s v="Q2"/>
    <x v="1"/>
  </r>
  <r>
    <s v="O105270"/>
    <x v="677"/>
    <x v="5"/>
    <x v="7"/>
    <x v="3"/>
    <x v="2"/>
    <n v="4"/>
    <n v="46931"/>
    <d v="2025-11-17T00:00:00"/>
    <n v="11"/>
    <n v="17"/>
    <n v="2025"/>
    <x v="0"/>
    <s v="Q4"/>
    <x v="3"/>
  </r>
  <r>
    <s v="O104515"/>
    <x v="460"/>
    <x v="0"/>
    <x v="6"/>
    <x v="4"/>
    <x v="1"/>
    <n v="2"/>
    <n v="46884"/>
    <d v="2025-02-10T00:00:00"/>
    <n v="2"/>
    <n v="10"/>
    <n v="2025"/>
    <x v="4"/>
    <s v="Q1"/>
    <x v="4"/>
  </r>
  <r>
    <s v="O102888"/>
    <x v="442"/>
    <x v="4"/>
    <x v="7"/>
    <x v="4"/>
    <x v="0"/>
    <n v="3"/>
    <n v="46803"/>
    <d v="2025-06-25T00:00:00"/>
    <n v="6"/>
    <n v="25"/>
    <n v="2025"/>
    <x v="2"/>
    <s v="Q2"/>
    <x v="4"/>
  </r>
  <r>
    <s v="O109335"/>
    <x v="686"/>
    <x v="3"/>
    <x v="7"/>
    <x v="2"/>
    <x v="1"/>
    <n v="3"/>
    <n v="46787"/>
    <d v="2026-07-22T00:00:00"/>
    <n v="7"/>
    <n v="22"/>
    <n v="2026"/>
    <x v="10"/>
    <s v="Q3"/>
    <x v="2"/>
  </r>
  <r>
    <s v="O108961"/>
    <x v="498"/>
    <x v="4"/>
    <x v="7"/>
    <x v="1"/>
    <x v="1"/>
    <n v="3"/>
    <n v="46746"/>
    <d v="2026-06-29T00:00:00"/>
    <n v="6"/>
    <n v="29"/>
    <n v="2026"/>
    <x v="2"/>
    <s v="Q2"/>
    <x v="1"/>
  </r>
  <r>
    <s v="O108410"/>
    <x v="654"/>
    <x v="6"/>
    <x v="7"/>
    <x v="4"/>
    <x v="1"/>
    <n v="4"/>
    <n v="46694"/>
    <d v="2026-05-26T00:00:00"/>
    <n v="5"/>
    <n v="26"/>
    <n v="2026"/>
    <x v="3"/>
    <s v="Q2"/>
    <x v="4"/>
  </r>
  <r>
    <s v="O109277"/>
    <x v="523"/>
    <x v="3"/>
    <x v="7"/>
    <x v="3"/>
    <x v="2"/>
    <n v="4"/>
    <n v="46683"/>
    <d v="2026-07-18T00:00:00"/>
    <n v="7"/>
    <n v="18"/>
    <n v="2026"/>
    <x v="10"/>
    <s v="Q3"/>
    <x v="3"/>
  </r>
  <r>
    <s v="O100185"/>
    <x v="72"/>
    <x v="9"/>
    <x v="7"/>
    <x v="0"/>
    <x v="3"/>
    <n v="3"/>
    <n v="46625"/>
    <d v="2025-12-01T00:00:00"/>
    <n v="12"/>
    <n v="1"/>
    <n v="2025"/>
    <x v="7"/>
    <s v="Q4"/>
    <x v="0"/>
  </r>
  <r>
    <s v="O107213"/>
    <x v="181"/>
    <x v="3"/>
    <x v="7"/>
    <x v="1"/>
    <x v="1"/>
    <n v="4"/>
    <n v="46512"/>
    <d v="2026-03-15T00:00:00"/>
    <n v="3"/>
    <n v="15"/>
    <n v="2026"/>
    <x v="5"/>
    <s v="Q1"/>
    <x v="1"/>
  </r>
  <r>
    <s v="O103044"/>
    <x v="438"/>
    <x v="3"/>
    <x v="7"/>
    <x v="3"/>
    <x v="0"/>
    <n v="4"/>
    <n v="46479"/>
    <d v="2025-04-07T00:00:00"/>
    <n v="4"/>
    <n v="7"/>
    <n v="2025"/>
    <x v="11"/>
    <s v="Q2"/>
    <x v="3"/>
  </r>
  <r>
    <s v="O109739"/>
    <x v="319"/>
    <x v="8"/>
    <x v="7"/>
    <x v="3"/>
    <x v="2"/>
    <n v="4"/>
    <n v="46424"/>
    <d v="2026-08-15T00:00:00"/>
    <n v="8"/>
    <n v="15"/>
    <n v="2026"/>
    <x v="8"/>
    <s v="Q3"/>
    <x v="3"/>
  </r>
  <r>
    <s v="O106891"/>
    <x v="120"/>
    <x v="1"/>
    <x v="6"/>
    <x v="4"/>
    <x v="2"/>
    <n v="2"/>
    <n v="46411"/>
    <d v="2026-02-23T00:00:00"/>
    <n v="2"/>
    <n v="23"/>
    <n v="2026"/>
    <x v="4"/>
    <s v="Q1"/>
    <x v="4"/>
  </r>
  <r>
    <s v="O109756"/>
    <x v="340"/>
    <x v="5"/>
    <x v="7"/>
    <x v="0"/>
    <x v="0"/>
    <n v="4"/>
    <n v="46386"/>
    <d v="2026-08-16T00:00:00"/>
    <n v="8"/>
    <n v="16"/>
    <n v="2026"/>
    <x v="8"/>
    <s v="Q3"/>
    <x v="0"/>
  </r>
  <r>
    <s v="O110717"/>
    <x v="655"/>
    <x v="8"/>
    <x v="7"/>
    <x v="1"/>
    <x v="2"/>
    <n v="3"/>
    <n v="46279"/>
    <d v="2026-10-14T00:00:00"/>
    <n v="10"/>
    <n v="14"/>
    <n v="2026"/>
    <x v="9"/>
    <s v="Q4"/>
    <x v="1"/>
  </r>
  <r>
    <s v="O102348"/>
    <x v="496"/>
    <x v="3"/>
    <x v="7"/>
    <x v="3"/>
    <x v="2"/>
    <n v="3"/>
    <n v="46137"/>
    <d v="2025-05-23T00:00:00"/>
    <n v="5"/>
    <n v="23"/>
    <n v="2025"/>
    <x v="3"/>
    <s v="Q2"/>
    <x v="3"/>
  </r>
  <r>
    <s v="O104751"/>
    <x v="206"/>
    <x v="9"/>
    <x v="7"/>
    <x v="1"/>
    <x v="2"/>
    <n v="4"/>
    <n v="46118"/>
    <d v="2025-10-16T00:00:00"/>
    <n v="10"/>
    <n v="16"/>
    <n v="2025"/>
    <x v="9"/>
    <s v="Q4"/>
    <x v="1"/>
  </r>
  <r>
    <s v="O108356"/>
    <x v="641"/>
    <x v="6"/>
    <x v="7"/>
    <x v="0"/>
    <x v="0"/>
    <n v="3"/>
    <n v="45985"/>
    <d v="2026-05-23T00:00:00"/>
    <n v="5"/>
    <n v="23"/>
    <n v="2026"/>
    <x v="3"/>
    <s v="Q2"/>
    <x v="0"/>
  </r>
  <r>
    <s v="O108473"/>
    <x v="402"/>
    <x v="4"/>
    <x v="6"/>
    <x v="3"/>
    <x v="1"/>
    <n v="2"/>
    <n v="45974"/>
    <d v="2026-05-30T00:00:00"/>
    <n v="5"/>
    <n v="30"/>
    <n v="2026"/>
    <x v="3"/>
    <s v="Q2"/>
    <x v="3"/>
  </r>
  <r>
    <s v="O104129"/>
    <x v="456"/>
    <x v="10"/>
    <x v="7"/>
    <x v="1"/>
    <x v="0"/>
    <n v="3"/>
    <n v="45937"/>
    <d v="2025-08-09T00:00:00"/>
    <n v="8"/>
    <n v="9"/>
    <n v="2025"/>
    <x v="8"/>
    <s v="Q3"/>
    <x v="1"/>
  </r>
  <r>
    <s v="O110107"/>
    <x v="272"/>
    <x v="5"/>
    <x v="7"/>
    <x v="4"/>
    <x v="2"/>
    <n v="4"/>
    <n v="45927"/>
    <d v="2026-06-09T00:00:00"/>
    <n v="6"/>
    <n v="9"/>
    <n v="2026"/>
    <x v="2"/>
    <s v="Q2"/>
    <x v="4"/>
  </r>
  <r>
    <s v="O108174"/>
    <x v="127"/>
    <x v="6"/>
    <x v="7"/>
    <x v="4"/>
    <x v="3"/>
    <n v="4"/>
    <n v="45915"/>
    <d v="2026-12-05T00:00:00"/>
    <n v="12"/>
    <n v="5"/>
    <n v="2026"/>
    <x v="7"/>
    <s v="Q4"/>
    <x v="4"/>
  </r>
  <r>
    <s v="O109479"/>
    <x v="740"/>
    <x v="6"/>
    <x v="7"/>
    <x v="1"/>
    <x v="0"/>
    <n v="3"/>
    <n v="45906"/>
    <d v="2026-07-30T00:00:00"/>
    <n v="7"/>
    <n v="30"/>
    <n v="2026"/>
    <x v="10"/>
    <s v="Q3"/>
    <x v="1"/>
  </r>
  <r>
    <s v="O110234"/>
    <x v="216"/>
    <x v="10"/>
    <x v="6"/>
    <x v="0"/>
    <x v="3"/>
    <n v="2"/>
    <n v="45850"/>
    <d v="2026-09-14T00:00:00"/>
    <n v="9"/>
    <n v="14"/>
    <n v="2026"/>
    <x v="1"/>
    <s v="Q3"/>
    <x v="0"/>
  </r>
  <r>
    <s v="O103501"/>
    <x v="228"/>
    <x v="6"/>
    <x v="7"/>
    <x v="0"/>
    <x v="3"/>
    <n v="3"/>
    <n v="45824"/>
    <d v="2025-01-08T00:00:00"/>
    <n v="1"/>
    <n v="8"/>
    <n v="2025"/>
    <x v="6"/>
    <s v="Q1"/>
    <x v="0"/>
  </r>
  <r>
    <s v="O110963"/>
    <x v="348"/>
    <x v="1"/>
    <x v="6"/>
    <x v="2"/>
    <x v="2"/>
    <n v="2"/>
    <n v="45776"/>
    <d v="2026-10-28T00:00:00"/>
    <n v="10"/>
    <n v="28"/>
    <n v="2026"/>
    <x v="9"/>
    <s v="Q4"/>
    <x v="2"/>
  </r>
  <r>
    <s v="O110504"/>
    <x v="327"/>
    <x v="5"/>
    <x v="7"/>
    <x v="1"/>
    <x v="3"/>
    <n v="4"/>
    <n v="45768"/>
    <d v="2026-01-10T00:00:00"/>
    <n v="1"/>
    <n v="10"/>
    <n v="2026"/>
    <x v="6"/>
    <s v="Q1"/>
    <x v="1"/>
  </r>
  <r>
    <s v="O104477"/>
    <x v="563"/>
    <x v="7"/>
    <x v="7"/>
    <x v="1"/>
    <x v="3"/>
    <n v="4"/>
    <n v="45739"/>
    <d v="2025-09-29T00:00:00"/>
    <n v="9"/>
    <n v="29"/>
    <n v="2025"/>
    <x v="1"/>
    <s v="Q3"/>
    <x v="1"/>
  </r>
  <r>
    <s v="O108879"/>
    <x v="655"/>
    <x v="0"/>
    <x v="7"/>
    <x v="3"/>
    <x v="1"/>
    <n v="4"/>
    <n v="45737"/>
    <d v="2026-06-24T00:00:00"/>
    <n v="6"/>
    <n v="24"/>
    <n v="2026"/>
    <x v="2"/>
    <s v="Q2"/>
    <x v="3"/>
  </r>
  <r>
    <s v="O102058"/>
    <x v="142"/>
    <x v="8"/>
    <x v="7"/>
    <x v="2"/>
    <x v="2"/>
    <n v="3"/>
    <n v="45601"/>
    <d v="2025-05-05T00:00:00"/>
    <n v="5"/>
    <n v="5"/>
    <n v="2025"/>
    <x v="3"/>
    <s v="Q2"/>
    <x v="2"/>
  </r>
  <r>
    <s v="O109687"/>
    <x v="367"/>
    <x v="0"/>
    <x v="7"/>
    <x v="1"/>
    <x v="1"/>
    <n v="4"/>
    <n v="45520"/>
    <d v="2026-12-08T00:00:00"/>
    <n v="12"/>
    <n v="8"/>
    <n v="2026"/>
    <x v="7"/>
    <s v="Q4"/>
    <x v="1"/>
  </r>
  <r>
    <s v="O100047"/>
    <x v="333"/>
    <x v="6"/>
    <x v="7"/>
    <x v="3"/>
    <x v="0"/>
    <n v="3"/>
    <n v="45473"/>
    <d v="2025-03-01T00:00:00"/>
    <n v="3"/>
    <n v="1"/>
    <n v="2025"/>
    <x v="5"/>
    <s v="Q1"/>
    <x v="3"/>
  </r>
  <r>
    <s v="O108647"/>
    <x v="104"/>
    <x v="9"/>
    <x v="6"/>
    <x v="3"/>
    <x v="2"/>
    <n v="2"/>
    <n v="45394"/>
    <d v="2026-10-06T00:00:00"/>
    <n v="10"/>
    <n v="6"/>
    <n v="2026"/>
    <x v="9"/>
    <s v="Q4"/>
    <x v="3"/>
  </r>
  <r>
    <s v="O105151"/>
    <x v="89"/>
    <x v="10"/>
    <x v="7"/>
    <x v="4"/>
    <x v="1"/>
    <n v="3"/>
    <n v="45369"/>
    <d v="2025-09-11T00:00:00"/>
    <n v="9"/>
    <n v="11"/>
    <n v="2025"/>
    <x v="1"/>
    <s v="Q3"/>
    <x v="4"/>
  </r>
  <r>
    <s v="O108699"/>
    <x v="113"/>
    <x v="5"/>
    <x v="6"/>
    <x v="3"/>
    <x v="0"/>
    <n v="2"/>
    <n v="45358"/>
    <d v="2026-06-13T00:00:00"/>
    <n v="6"/>
    <n v="13"/>
    <n v="2026"/>
    <x v="2"/>
    <s v="Q2"/>
    <x v="3"/>
  </r>
  <r>
    <s v="O102224"/>
    <x v="775"/>
    <x v="2"/>
    <x v="7"/>
    <x v="3"/>
    <x v="2"/>
    <n v="3"/>
    <n v="45342"/>
    <d v="2025-05-16T00:00:00"/>
    <n v="5"/>
    <n v="16"/>
    <n v="2025"/>
    <x v="3"/>
    <s v="Q2"/>
    <x v="3"/>
  </r>
  <r>
    <s v="O111340"/>
    <x v="247"/>
    <x v="4"/>
    <x v="7"/>
    <x v="2"/>
    <x v="0"/>
    <n v="4"/>
    <n v="45329"/>
    <d v="2026-11-20T00:00:00"/>
    <n v="11"/>
    <n v="20"/>
    <n v="2026"/>
    <x v="0"/>
    <s v="Q4"/>
    <x v="2"/>
  </r>
  <r>
    <s v="O103972"/>
    <x v="719"/>
    <x v="3"/>
    <x v="6"/>
    <x v="3"/>
    <x v="2"/>
    <n v="2"/>
    <n v="45318"/>
    <d v="2025-08-30T00:00:00"/>
    <n v="8"/>
    <n v="30"/>
    <n v="2025"/>
    <x v="8"/>
    <s v="Q3"/>
    <x v="3"/>
  </r>
  <r>
    <s v="O103442"/>
    <x v="311"/>
    <x v="8"/>
    <x v="6"/>
    <x v="2"/>
    <x v="1"/>
    <n v="2"/>
    <n v="45256"/>
    <d v="2025-07-29T00:00:00"/>
    <n v="7"/>
    <n v="29"/>
    <n v="2025"/>
    <x v="10"/>
    <s v="Q3"/>
    <x v="2"/>
  </r>
  <r>
    <s v="O110055"/>
    <x v="50"/>
    <x v="3"/>
    <x v="6"/>
    <x v="4"/>
    <x v="2"/>
    <n v="2"/>
    <n v="45248"/>
    <d v="2026-03-09T00:00:00"/>
    <n v="3"/>
    <n v="9"/>
    <n v="2026"/>
    <x v="5"/>
    <s v="Q1"/>
    <x v="4"/>
  </r>
  <r>
    <s v="O103154"/>
    <x v="707"/>
    <x v="0"/>
    <x v="6"/>
    <x v="2"/>
    <x v="2"/>
    <n v="2"/>
    <n v="45202"/>
    <d v="2025-11-07T00:00:00"/>
    <n v="11"/>
    <n v="7"/>
    <n v="2025"/>
    <x v="0"/>
    <s v="Q4"/>
    <x v="2"/>
  </r>
  <r>
    <s v="O102716"/>
    <x v="273"/>
    <x v="0"/>
    <x v="7"/>
    <x v="2"/>
    <x v="0"/>
    <n v="3"/>
    <n v="45197"/>
    <d v="2025-06-14T00:00:00"/>
    <n v="6"/>
    <n v="14"/>
    <n v="2025"/>
    <x v="2"/>
    <s v="Q2"/>
    <x v="2"/>
  </r>
  <r>
    <s v="O110122"/>
    <x v="260"/>
    <x v="10"/>
    <x v="7"/>
    <x v="2"/>
    <x v="0"/>
    <n v="3"/>
    <n v="45195"/>
    <d v="2026-07-09T00:00:00"/>
    <n v="7"/>
    <n v="9"/>
    <n v="2026"/>
    <x v="10"/>
    <s v="Q3"/>
    <x v="2"/>
  </r>
  <r>
    <s v="O102004"/>
    <x v="651"/>
    <x v="6"/>
    <x v="7"/>
    <x v="0"/>
    <x v="1"/>
    <n v="3"/>
    <n v="45093"/>
    <d v="2025-02-05T00:00:00"/>
    <n v="2"/>
    <n v="5"/>
    <n v="2025"/>
    <x v="4"/>
    <s v="Q1"/>
    <x v="0"/>
  </r>
  <r>
    <s v="O108163"/>
    <x v="224"/>
    <x v="1"/>
    <x v="6"/>
    <x v="2"/>
    <x v="2"/>
    <n v="2"/>
    <n v="45075"/>
    <d v="2026-11-05T00:00:00"/>
    <n v="11"/>
    <n v="5"/>
    <n v="2026"/>
    <x v="0"/>
    <s v="Q4"/>
    <x v="2"/>
  </r>
  <r>
    <s v="O101139"/>
    <x v="36"/>
    <x v="8"/>
    <x v="6"/>
    <x v="2"/>
    <x v="2"/>
    <n v="2"/>
    <n v="45028"/>
    <d v="2025-11-03T00:00:00"/>
    <n v="11"/>
    <n v="3"/>
    <n v="2025"/>
    <x v="0"/>
    <s v="Q4"/>
    <x v="2"/>
  </r>
  <r>
    <s v="O106274"/>
    <x v="138"/>
    <x v="1"/>
    <x v="6"/>
    <x v="4"/>
    <x v="2"/>
    <n v="2"/>
    <n v="45010"/>
    <d v="2026-01-17T00:00:00"/>
    <n v="1"/>
    <n v="17"/>
    <n v="2026"/>
    <x v="6"/>
    <s v="Q1"/>
    <x v="4"/>
  </r>
  <r>
    <s v="O101264"/>
    <x v="122"/>
    <x v="10"/>
    <x v="6"/>
    <x v="1"/>
    <x v="3"/>
    <n v="2"/>
    <n v="44998"/>
    <d v="2025-03-18T00:00:00"/>
    <n v="3"/>
    <n v="18"/>
    <n v="2025"/>
    <x v="5"/>
    <s v="Q1"/>
    <x v="1"/>
  </r>
  <r>
    <s v="O104689"/>
    <x v="213"/>
    <x v="3"/>
    <x v="6"/>
    <x v="3"/>
    <x v="3"/>
    <n v="2"/>
    <n v="44883"/>
    <d v="2025-12-10T00:00:00"/>
    <n v="12"/>
    <n v="10"/>
    <n v="2025"/>
    <x v="7"/>
    <m/>
    <x v="3"/>
  </r>
  <r>
    <s v="O109545"/>
    <x v="285"/>
    <x v="10"/>
    <x v="7"/>
    <x v="4"/>
    <x v="2"/>
    <n v="3"/>
    <n v="44814"/>
    <d v="2026-03-08T00:00:00"/>
    <n v="3"/>
    <n v="8"/>
    <n v="2026"/>
    <x v="5"/>
    <s v="Q1"/>
    <x v="4"/>
  </r>
  <r>
    <s v="O106927"/>
    <x v="704"/>
    <x v="10"/>
    <x v="7"/>
    <x v="3"/>
    <x v="0"/>
    <n v="3"/>
    <n v="44674"/>
    <d v="2026-02-25T00:00:00"/>
    <n v="2"/>
    <n v="25"/>
    <n v="2026"/>
    <x v="4"/>
    <s v="Q1"/>
    <x v="3"/>
  </r>
  <r>
    <s v="O104675"/>
    <x v="787"/>
    <x v="10"/>
    <x v="7"/>
    <x v="2"/>
    <x v="0"/>
    <n v="3"/>
    <n v="44663"/>
    <d v="2025-11-10T00:00:00"/>
    <n v="11"/>
    <n v="10"/>
    <n v="2025"/>
    <x v="0"/>
    <s v="Q4"/>
    <x v="2"/>
  </r>
  <r>
    <s v="O105256"/>
    <x v="189"/>
    <x v="10"/>
    <x v="6"/>
    <x v="4"/>
    <x v="2"/>
    <n v="2"/>
    <n v="44646"/>
    <d v="2025-11-16T00:00:00"/>
    <n v="11"/>
    <n v="16"/>
    <n v="2025"/>
    <x v="0"/>
    <s v="Q4"/>
    <x v="4"/>
  </r>
  <r>
    <s v="O111396"/>
    <x v="314"/>
    <x v="5"/>
    <x v="7"/>
    <x v="3"/>
    <x v="0"/>
    <n v="3"/>
    <n v="44516"/>
    <d v="2026-11-24T00:00:00"/>
    <n v="11"/>
    <n v="24"/>
    <n v="2026"/>
    <x v="0"/>
    <s v="Q4"/>
    <x v="3"/>
  </r>
  <r>
    <s v="O108566"/>
    <x v="475"/>
    <x v="5"/>
    <x v="6"/>
    <x v="3"/>
    <x v="2"/>
    <n v="2"/>
    <n v="44392"/>
    <d v="2026-05-06T00:00:00"/>
    <n v="5"/>
    <n v="6"/>
    <n v="2026"/>
    <x v="3"/>
    <s v="Q2"/>
    <x v="3"/>
  </r>
  <r>
    <s v="O102865"/>
    <x v="115"/>
    <x v="9"/>
    <x v="6"/>
    <x v="2"/>
    <x v="1"/>
    <n v="2"/>
    <n v="44366"/>
    <d v="2025-06-24T00:00:00"/>
    <n v="6"/>
    <n v="24"/>
    <n v="2025"/>
    <x v="2"/>
    <s v="Q2"/>
    <x v="2"/>
  </r>
  <r>
    <s v="O110378"/>
    <x v="759"/>
    <x v="4"/>
    <x v="6"/>
    <x v="3"/>
    <x v="3"/>
    <n v="2"/>
    <n v="44299"/>
    <d v="2026-09-23T00:00:00"/>
    <n v="9"/>
    <n v="23"/>
    <n v="2026"/>
    <x v="1"/>
    <s v="Q3"/>
    <x v="3"/>
  </r>
  <r>
    <s v="O108695"/>
    <x v="778"/>
    <x v="9"/>
    <x v="6"/>
    <x v="0"/>
    <x v="2"/>
    <n v="2"/>
    <n v="44185"/>
    <d v="2026-06-13T00:00:00"/>
    <n v="6"/>
    <n v="13"/>
    <n v="2026"/>
    <x v="2"/>
    <s v="Q2"/>
    <x v="0"/>
  </r>
  <r>
    <s v="O109449"/>
    <x v="564"/>
    <x v="2"/>
    <x v="7"/>
    <x v="0"/>
    <x v="2"/>
    <n v="3"/>
    <n v="44126"/>
    <d v="2026-07-29T00:00:00"/>
    <n v="7"/>
    <n v="29"/>
    <n v="2026"/>
    <x v="10"/>
    <s v="Q3"/>
    <x v="0"/>
  </r>
  <r>
    <s v="O107731"/>
    <x v="217"/>
    <x v="2"/>
    <x v="6"/>
    <x v="1"/>
    <x v="0"/>
    <n v="2"/>
    <n v="44000"/>
    <d v="2026-04-15T00:00:00"/>
    <n v="4"/>
    <n v="15"/>
    <n v="2026"/>
    <x v="11"/>
    <s v="Q2"/>
    <x v="1"/>
  </r>
  <r>
    <s v="O111251"/>
    <x v="770"/>
    <x v="9"/>
    <x v="6"/>
    <x v="0"/>
    <x v="3"/>
    <n v="2"/>
    <n v="43986"/>
    <d v="2026-11-15T00:00:00"/>
    <n v="11"/>
    <n v="15"/>
    <n v="2026"/>
    <x v="0"/>
    <s v="Q4"/>
    <x v="0"/>
  </r>
  <r>
    <s v="O105531"/>
    <x v="388"/>
    <x v="9"/>
    <x v="6"/>
    <x v="3"/>
    <x v="0"/>
    <n v="2"/>
    <n v="43985"/>
    <d v="2025-02-12T00:00:00"/>
    <n v="2"/>
    <n v="12"/>
    <n v="2025"/>
    <x v="4"/>
    <s v="Q1"/>
    <x v="3"/>
  </r>
  <r>
    <s v="O102617"/>
    <x v="792"/>
    <x v="10"/>
    <x v="7"/>
    <x v="3"/>
    <x v="2"/>
    <n v="3"/>
    <n v="43887"/>
    <d v="2025-08-06T00:00:00"/>
    <n v="8"/>
    <n v="6"/>
    <n v="2025"/>
    <x v="8"/>
    <s v="Q3"/>
    <x v="3"/>
  </r>
  <r>
    <s v="O106618"/>
    <x v="509"/>
    <x v="5"/>
    <x v="7"/>
    <x v="0"/>
    <x v="2"/>
    <n v="3"/>
    <n v="43868"/>
    <d v="2026-07-02T00:00:00"/>
    <n v="7"/>
    <n v="2"/>
    <n v="2026"/>
    <x v="10"/>
    <s v="Q3"/>
    <x v="0"/>
  </r>
  <r>
    <s v="O111629"/>
    <x v="730"/>
    <x v="1"/>
    <x v="7"/>
    <x v="1"/>
    <x v="2"/>
    <n v="3"/>
    <n v="43862"/>
    <d v="2026-08-12T00:00:00"/>
    <n v="8"/>
    <n v="12"/>
    <n v="2026"/>
    <x v="8"/>
    <s v="Q3"/>
    <x v="1"/>
  </r>
  <r>
    <s v="O106256"/>
    <x v="564"/>
    <x v="5"/>
    <x v="6"/>
    <x v="0"/>
    <x v="0"/>
    <n v="2"/>
    <n v="43848"/>
    <d v="2026-01-16T00:00:00"/>
    <n v="1"/>
    <n v="16"/>
    <n v="2026"/>
    <x v="6"/>
    <s v="Q1"/>
    <x v="0"/>
  </r>
  <r>
    <s v="O103695"/>
    <x v="0"/>
    <x v="2"/>
    <x v="7"/>
    <x v="0"/>
    <x v="1"/>
    <n v="3"/>
    <n v="43806"/>
    <d v="2025-08-13T00:00:00"/>
    <n v="8"/>
    <n v="13"/>
    <n v="2025"/>
    <x v="8"/>
    <s v="Q3"/>
    <x v="0"/>
  </r>
  <r>
    <s v="O107817"/>
    <x v="445"/>
    <x v="6"/>
    <x v="7"/>
    <x v="2"/>
    <x v="0"/>
    <n v="3"/>
    <n v="43782"/>
    <d v="2026-04-20T00:00:00"/>
    <n v="4"/>
    <n v="20"/>
    <n v="2026"/>
    <x v="11"/>
    <s v="Q2"/>
    <x v="2"/>
  </r>
  <r>
    <s v="O104824"/>
    <x v="185"/>
    <x v="5"/>
    <x v="7"/>
    <x v="1"/>
    <x v="0"/>
    <n v="3"/>
    <n v="43720"/>
    <d v="2025-10-21T00:00:00"/>
    <n v="10"/>
    <n v="21"/>
    <n v="2025"/>
    <x v="9"/>
    <s v="Q4"/>
    <x v="1"/>
  </r>
  <r>
    <s v="O108940"/>
    <x v="116"/>
    <x v="4"/>
    <x v="7"/>
    <x v="0"/>
    <x v="0"/>
    <n v="3"/>
    <n v="43652"/>
    <d v="2026-06-28T00:00:00"/>
    <n v="6"/>
    <n v="28"/>
    <n v="2026"/>
    <x v="2"/>
    <s v="Q2"/>
    <x v="0"/>
  </r>
  <r>
    <s v="O111894"/>
    <x v="228"/>
    <x v="6"/>
    <x v="6"/>
    <x v="0"/>
    <x v="1"/>
    <n v="2"/>
    <n v="43628"/>
    <d v="2026-12-24T00:00:00"/>
    <n v="12"/>
    <n v="24"/>
    <n v="2026"/>
    <x v="7"/>
    <s v="Q4"/>
    <x v="0"/>
  </r>
  <r>
    <s v="O106167"/>
    <x v="634"/>
    <x v="0"/>
    <x v="7"/>
    <x v="1"/>
    <x v="3"/>
    <n v="3"/>
    <n v="43621"/>
    <d v="2026-10-01T00:00:00"/>
    <n v="10"/>
    <n v="1"/>
    <n v="2026"/>
    <x v="9"/>
    <s v="Q4"/>
    <x v="1"/>
  </r>
  <r>
    <s v="O110462"/>
    <x v="111"/>
    <x v="10"/>
    <x v="6"/>
    <x v="3"/>
    <x v="1"/>
    <n v="2"/>
    <n v="43536"/>
    <d v="2026-09-28T00:00:00"/>
    <n v="9"/>
    <n v="28"/>
    <n v="2026"/>
    <x v="1"/>
    <s v="Q3"/>
    <x v="3"/>
  </r>
  <r>
    <s v="O110792"/>
    <x v="767"/>
    <x v="5"/>
    <x v="7"/>
    <x v="1"/>
    <x v="0"/>
    <n v="3"/>
    <n v="43491"/>
    <d v="2026-10-18T00:00:00"/>
    <n v="10"/>
    <n v="18"/>
    <n v="2026"/>
    <x v="9"/>
    <s v="Q4"/>
    <x v="1"/>
  </r>
  <r>
    <s v="O101830"/>
    <x v="272"/>
    <x v="9"/>
    <x v="7"/>
    <x v="1"/>
    <x v="3"/>
    <n v="3"/>
    <n v="43188"/>
    <d v="2025-04-22T00:00:00"/>
    <n v="4"/>
    <n v="22"/>
    <n v="2025"/>
    <x v="11"/>
    <s v="Q2"/>
    <x v="1"/>
  </r>
  <r>
    <s v="O105375"/>
    <x v="190"/>
    <x v="5"/>
    <x v="6"/>
    <x v="4"/>
    <x v="2"/>
    <n v="2"/>
    <n v="43181"/>
    <d v="2025-11-23T00:00:00"/>
    <n v="11"/>
    <n v="23"/>
    <n v="2025"/>
    <x v="0"/>
    <s v="Q4"/>
    <x v="4"/>
  </r>
  <r>
    <s v="O105801"/>
    <x v="399"/>
    <x v="5"/>
    <x v="7"/>
    <x v="3"/>
    <x v="1"/>
    <n v="3"/>
    <n v="43077"/>
    <d v="2025-12-19T00:00:00"/>
    <n v="12"/>
    <n v="19"/>
    <n v="2025"/>
    <x v="7"/>
    <s v="Q4"/>
    <x v="3"/>
  </r>
  <r>
    <s v="O110979"/>
    <x v="450"/>
    <x v="3"/>
    <x v="6"/>
    <x v="4"/>
    <x v="0"/>
    <n v="2"/>
    <n v="42894"/>
    <d v="2026-10-29T00:00:00"/>
    <n v="10"/>
    <n v="29"/>
    <n v="2026"/>
    <x v="9"/>
    <s v="Q4"/>
    <x v="4"/>
  </r>
  <r>
    <s v="O102891"/>
    <x v="327"/>
    <x v="4"/>
    <x v="7"/>
    <x v="2"/>
    <x v="3"/>
    <n v="3"/>
    <n v="42832"/>
    <d v="2025-06-25T00:00:00"/>
    <n v="6"/>
    <n v="25"/>
    <n v="2025"/>
    <x v="2"/>
    <s v="Q2"/>
    <x v="2"/>
  </r>
  <r>
    <s v="O107038"/>
    <x v="596"/>
    <x v="10"/>
    <x v="6"/>
    <x v="4"/>
    <x v="2"/>
    <n v="2"/>
    <n v="42777"/>
    <d v="2026-04-03T00:00:00"/>
    <n v="4"/>
    <n v="3"/>
    <n v="2026"/>
    <x v="11"/>
    <m/>
    <x v="4"/>
  </r>
  <r>
    <s v="O111998"/>
    <x v="532"/>
    <x v="1"/>
    <x v="7"/>
    <x v="3"/>
    <x v="2"/>
    <n v="3"/>
    <n v="42749"/>
    <d v="2026-12-30T00:00:00"/>
    <n v="12"/>
    <n v="30"/>
    <n v="2026"/>
    <x v="7"/>
    <s v="Q4"/>
    <x v="3"/>
  </r>
  <r>
    <s v="O101086"/>
    <x v="724"/>
    <x v="1"/>
    <x v="6"/>
    <x v="4"/>
    <x v="2"/>
    <n v="2"/>
    <n v="42651"/>
    <d v="2025-07-03T00:00:00"/>
    <n v="7"/>
    <n v="3"/>
    <n v="2025"/>
    <x v="10"/>
    <s v="Q3"/>
    <x v="4"/>
  </r>
  <r>
    <s v="O105961"/>
    <x v="184"/>
    <x v="0"/>
    <x v="7"/>
    <x v="3"/>
    <x v="3"/>
    <n v="3"/>
    <n v="42638"/>
    <d v="2025-12-29T00:00:00"/>
    <n v="12"/>
    <n v="29"/>
    <n v="2025"/>
    <x v="7"/>
    <s v="Q4"/>
    <x v="3"/>
  </r>
  <r>
    <s v="O104716"/>
    <x v="483"/>
    <x v="4"/>
    <x v="7"/>
    <x v="0"/>
    <x v="1"/>
    <n v="3"/>
    <n v="42631"/>
    <d v="2025-10-14T00:00:00"/>
    <n v="10"/>
    <n v="14"/>
    <n v="2025"/>
    <x v="9"/>
    <s v="Q4"/>
    <x v="0"/>
  </r>
  <r>
    <s v="O106148"/>
    <x v="261"/>
    <x v="2"/>
    <x v="6"/>
    <x v="2"/>
    <x v="3"/>
    <n v="2"/>
    <n v="42515"/>
    <d v="2026-09-01T00:00:00"/>
    <n v="9"/>
    <n v="1"/>
    <n v="2026"/>
    <x v="1"/>
    <s v="Q3"/>
    <x v="2"/>
  </r>
  <r>
    <s v="O105810"/>
    <x v="288"/>
    <x v="1"/>
    <x v="7"/>
    <x v="4"/>
    <x v="3"/>
    <n v="3"/>
    <n v="42438"/>
    <d v="2025-12-19T00:00:00"/>
    <n v="12"/>
    <n v="19"/>
    <n v="2025"/>
    <x v="7"/>
    <s v="Q4"/>
    <x v="4"/>
  </r>
  <r>
    <s v="O108605"/>
    <x v="60"/>
    <x v="5"/>
    <x v="6"/>
    <x v="0"/>
    <x v="1"/>
    <n v="2"/>
    <n v="42329"/>
    <d v="2026-07-06T00:00:00"/>
    <n v="7"/>
    <n v="6"/>
    <n v="2026"/>
    <x v="10"/>
    <s v="Q3"/>
    <x v="0"/>
  </r>
  <r>
    <s v="O101342"/>
    <x v="226"/>
    <x v="2"/>
    <x v="6"/>
    <x v="1"/>
    <x v="0"/>
    <n v="2"/>
    <n v="42301"/>
    <d v="2025-03-23T00:00:00"/>
    <n v="3"/>
    <n v="23"/>
    <n v="2025"/>
    <x v="5"/>
    <s v="Q1"/>
    <x v="1"/>
  </r>
  <r>
    <s v="O105791"/>
    <x v="110"/>
    <x v="2"/>
    <x v="7"/>
    <x v="3"/>
    <x v="0"/>
    <n v="3"/>
    <n v="42265"/>
    <d v="2025-12-18T00:00:00"/>
    <n v="12"/>
    <n v="18"/>
    <n v="2025"/>
    <x v="7"/>
    <s v="Q4"/>
    <x v="3"/>
  </r>
  <r>
    <s v="O106018"/>
    <x v="397"/>
    <x v="5"/>
    <x v="6"/>
    <x v="3"/>
    <x v="3"/>
    <n v="2"/>
    <n v="42222"/>
    <d v="2026-01-01T00:00:00"/>
    <n v="1"/>
    <n v="1"/>
    <n v="2026"/>
    <x v="6"/>
    <s v="Q1"/>
    <x v="3"/>
  </r>
  <r>
    <s v="O109795"/>
    <x v="550"/>
    <x v="8"/>
    <x v="6"/>
    <x v="0"/>
    <x v="3"/>
    <n v="2"/>
    <n v="42212"/>
    <d v="2026-08-19T00:00:00"/>
    <n v="8"/>
    <n v="19"/>
    <n v="2026"/>
    <x v="8"/>
    <s v="Q3"/>
    <x v="0"/>
  </r>
  <r>
    <s v="O103391"/>
    <x v="598"/>
    <x v="5"/>
    <x v="7"/>
    <x v="4"/>
    <x v="1"/>
    <n v="3"/>
    <n v="42210"/>
    <d v="2025-07-25T00:00:00"/>
    <n v="7"/>
    <n v="25"/>
    <n v="2025"/>
    <x v="10"/>
    <s v="Q3"/>
    <x v="4"/>
  </r>
  <r>
    <s v="O101937"/>
    <x v="15"/>
    <x v="8"/>
    <x v="7"/>
    <x v="4"/>
    <x v="4"/>
    <n v="3"/>
    <n v="42194"/>
    <d v="2025-04-28T00:00:00"/>
    <n v="4"/>
    <n v="28"/>
    <n v="2025"/>
    <x v="11"/>
    <s v="Q2"/>
    <x v="4"/>
  </r>
  <r>
    <s v="O108315"/>
    <x v="430"/>
    <x v="0"/>
    <x v="7"/>
    <x v="2"/>
    <x v="1"/>
    <n v="3"/>
    <n v="42015"/>
    <d v="2026-05-21T00:00:00"/>
    <n v="5"/>
    <n v="21"/>
    <n v="2026"/>
    <x v="3"/>
    <s v="Q2"/>
    <x v="2"/>
  </r>
  <r>
    <s v="O103411"/>
    <x v="623"/>
    <x v="6"/>
    <x v="7"/>
    <x v="1"/>
    <x v="1"/>
    <n v="3"/>
    <n v="41982"/>
    <d v="2025-07-27T00:00:00"/>
    <n v="7"/>
    <n v="27"/>
    <n v="2025"/>
    <x v="10"/>
    <s v="Q3"/>
    <x v="1"/>
  </r>
  <r>
    <s v="O111068"/>
    <x v="359"/>
    <x v="6"/>
    <x v="7"/>
    <x v="0"/>
    <x v="3"/>
    <n v="3"/>
    <n v="41974"/>
    <d v="2026-04-11T00:00:00"/>
    <n v="4"/>
    <n v="11"/>
    <n v="2026"/>
    <x v="11"/>
    <s v="Q2"/>
    <x v="0"/>
  </r>
  <r>
    <s v="O105587"/>
    <x v="483"/>
    <x v="10"/>
    <x v="6"/>
    <x v="3"/>
    <x v="2"/>
    <n v="2"/>
    <n v="41955"/>
    <d v="2025-06-12T00:00:00"/>
    <n v="6"/>
    <n v="12"/>
    <n v="2025"/>
    <x v="2"/>
    <s v="Q2"/>
    <x v="3"/>
  </r>
  <r>
    <s v="O102670"/>
    <x v="169"/>
    <x v="2"/>
    <x v="7"/>
    <x v="4"/>
    <x v="0"/>
    <n v="3"/>
    <n v="41954"/>
    <d v="2025-12-06T00:00:00"/>
    <n v="12"/>
    <n v="6"/>
    <n v="2025"/>
    <x v="7"/>
    <m/>
    <x v="4"/>
  </r>
  <r>
    <s v="O108995"/>
    <x v="385"/>
    <x v="3"/>
    <x v="7"/>
    <x v="3"/>
    <x v="1"/>
    <n v="3"/>
    <n v="41812"/>
    <d v="2026-01-07T00:00:00"/>
    <n v="1"/>
    <n v="7"/>
    <n v="2026"/>
    <x v="6"/>
    <s v="Q1"/>
    <x v="3"/>
  </r>
  <r>
    <s v="O105509"/>
    <x v="485"/>
    <x v="9"/>
    <x v="7"/>
    <x v="0"/>
    <x v="0"/>
    <n v="3"/>
    <n v="41809"/>
    <d v="2025-01-12T00:00:00"/>
    <n v="1"/>
    <n v="12"/>
    <n v="2025"/>
    <x v="6"/>
    <s v="Q1"/>
    <x v="0"/>
  </r>
  <r>
    <s v="O105592"/>
    <x v="163"/>
    <x v="10"/>
    <x v="6"/>
    <x v="1"/>
    <x v="3"/>
    <n v="2"/>
    <n v="41808"/>
    <d v="2025-06-12T00:00:00"/>
    <n v="6"/>
    <n v="12"/>
    <n v="2025"/>
    <x v="2"/>
    <s v="Q2"/>
    <x v="1"/>
  </r>
  <r>
    <s v="O111904"/>
    <x v="361"/>
    <x v="0"/>
    <x v="7"/>
    <x v="1"/>
    <x v="3"/>
    <n v="3"/>
    <n v="41801"/>
    <d v="2026-12-25T00:00:00"/>
    <n v="12"/>
    <n v="25"/>
    <n v="2026"/>
    <x v="7"/>
    <s v="Q4"/>
    <x v="1"/>
  </r>
  <r>
    <s v="O110084"/>
    <x v="652"/>
    <x v="4"/>
    <x v="6"/>
    <x v="0"/>
    <x v="3"/>
    <n v="2"/>
    <n v="41789"/>
    <d v="2026-05-09T00:00:00"/>
    <n v="5"/>
    <n v="9"/>
    <n v="2026"/>
    <x v="3"/>
    <s v="Q2"/>
    <x v="0"/>
  </r>
  <r>
    <s v="O104772"/>
    <x v="694"/>
    <x v="4"/>
    <x v="7"/>
    <x v="4"/>
    <x v="0"/>
    <n v="3"/>
    <n v="41746"/>
    <d v="2025-10-17T00:00:00"/>
    <n v="10"/>
    <n v="17"/>
    <n v="2025"/>
    <x v="9"/>
    <s v="Q4"/>
    <x v="4"/>
  </r>
  <r>
    <s v="O101652"/>
    <x v="357"/>
    <x v="8"/>
    <x v="7"/>
    <x v="1"/>
    <x v="0"/>
    <n v="3"/>
    <n v="41730"/>
    <d v="2025-11-04T00:00:00"/>
    <n v="11"/>
    <n v="4"/>
    <n v="2025"/>
    <x v="0"/>
    <s v="Q4"/>
    <x v="1"/>
  </r>
  <r>
    <s v="O110477"/>
    <x v="133"/>
    <x v="0"/>
    <x v="7"/>
    <x v="3"/>
    <x v="2"/>
    <n v="3"/>
    <n v="41723"/>
    <d v="2026-09-29T00:00:00"/>
    <n v="9"/>
    <n v="29"/>
    <n v="2026"/>
    <x v="1"/>
    <s v="Q3"/>
    <x v="3"/>
  </r>
  <r>
    <s v="O103281"/>
    <x v="168"/>
    <x v="0"/>
    <x v="6"/>
    <x v="0"/>
    <x v="2"/>
    <n v="2"/>
    <n v="41687"/>
    <d v="2025-07-19T00:00:00"/>
    <n v="7"/>
    <n v="19"/>
    <n v="2025"/>
    <x v="10"/>
    <s v="Q3"/>
    <x v="0"/>
  </r>
  <r>
    <s v="O107042"/>
    <x v="61"/>
    <x v="6"/>
    <x v="7"/>
    <x v="3"/>
    <x v="2"/>
    <n v="3"/>
    <n v="41686"/>
    <d v="2026-04-03T00:00:00"/>
    <n v="4"/>
    <n v="3"/>
    <n v="2026"/>
    <x v="11"/>
    <s v="Q2"/>
    <x v="3"/>
  </r>
  <r>
    <s v="O102191"/>
    <x v="55"/>
    <x v="9"/>
    <x v="7"/>
    <x v="1"/>
    <x v="2"/>
    <n v="3"/>
    <n v="41632"/>
    <d v="2025-05-14T00:00:00"/>
    <n v="5"/>
    <n v="14"/>
    <n v="2025"/>
    <x v="3"/>
    <s v="Q2"/>
    <x v="1"/>
  </r>
  <r>
    <s v="O100264"/>
    <x v="155"/>
    <x v="3"/>
    <x v="6"/>
    <x v="2"/>
    <x v="2"/>
    <n v="2"/>
    <n v="41570"/>
    <d v="2025-01-16T00:00:00"/>
    <n v="1"/>
    <n v="16"/>
    <n v="2025"/>
    <x v="6"/>
    <s v="Q1"/>
    <x v="2"/>
  </r>
  <r>
    <s v="O102754"/>
    <x v="160"/>
    <x v="1"/>
    <x v="7"/>
    <x v="0"/>
    <x v="2"/>
    <n v="3"/>
    <n v="41362"/>
    <d v="2025-06-17T00:00:00"/>
    <n v="6"/>
    <n v="17"/>
    <n v="2025"/>
    <x v="2"/>
    <s v="Q2"/>
    <x v="0"/>
  </r>
  <r>
    <s v="O105059"/>
    <x v="202"/>
    <x v="10"/>
    <x v="6"/>
    <x v="1"/>
    <x v="2"/>
    <n v="2"/>
    <n v="41361"/>
    <d v="2025-04-11T00:00:00"/>
    <n v="4"/>
    <n v="11"/>
    <n v="2025"/>
    <x v="11"/>
    <s v="Q2"/>
    <x v="1"/>
  </r>
  <r>
    <s v="O106084"/>
    <x v="651"/>
    <x v="2"/>
    <x v="7"/>
    <x v="2"/>
    <x v="1"/>
    <n v="3"/>
    <n v="41343"/>
    <d v="2026-05-01T00:00:00"/>
    <n v="5"/>
    <n v="1"/>
    <n v="2026"/>
    <x v="3"/>
    <s v="Q2"/>
    <x v="2"/>
  </r>
  <r>
    <s v="O110295"/>
    <x v="780"/>
    <x v="6"/>
    <x v="6"/>
    <x v="1"/>
    <x v="1"/>
    <n v="2"/>
    <n v="41331"/>
    <d v="2026-09-18T00:00:00"/>
    <n v="9"/>
    <n v="18"/>
    <n v="2026"/>
    <x v="1"/>
    <s v="Q3"/>
    <x v="1"/>
  </r>
  <r>
    <s v="O102971"/>
    <x v="350"/>
    <x v="8"/>
    <x v="7"/>
    <x v="4"/>
    <x v="2"/>
    <n v="3"/>
    <n v="41263"/>
    <d v="2025-06-30T00:00:00"/>
    <n v="6"/>
    <n v="30"/>
    <n v="2025"/>
    <x v="2"/>
    <s v="Q2"/>
    <x v="4"/>
  </r>
  <r>
    <s v="O109389"/>
    <x v="757"/>
    <x v="0"/>
    <x v="6"/>
    <x v="3"/>
    <x v="1"/>
    <n v="2"/>
    <n v="41168"/>
    <d v="2026-07-25T00:00:00"/>
    <n v="7"/>
    <n v="25"/>
    <n v="2026"/>
    <x v="10"/>
    <s v="Q3"/>
    <x v="3"/>
  </r>
  <r>
    <s v="O101268"/>
    <x v="483"/>
    <x v="9"/>
    <x v="6"/>
    <x v="1"/>
    <x v="3"/>
    <n v="2"/>
    <n v="41151"/>
    <d v="2025-03-18T00:00:00"/>
    <n v="3"/>
    <n v="18"/>
    <n v="2025"/>
    <x v="5"/>
    <s v="Q1"/>
    <x v="1"/>
  </r>
  <r>
    <s v="O105329"/>
    <x v="31"/>
    <x v="9"/>
    <x v="6"/>
    <x v="0"/>
    <x v="2"/>
    <n v="2"/>
    <n v="41112"/>
    <d v="2025-11-20T00:00:00"/>
    <n v="11"/>
    <n v="20"/>
    <n v="2025"/>
    <x v="0"/>
    <s v="Q4"/>
    <x v="0"/>
  </r>
  <r>
    <s v="O109642"/>
    <x v="290"/>
    <x v="5"/>
    <x v="6"/>
    <x v="0"/>
    <x v="1"/>
    <n v="2"/>
    <n v="41102"/>
    <d v="2026-09-08T00:00:00"/>
    <n v="9"/>
    <n v="8"/>
    <n v="2026"/>
    <x v="1"/>
    <s v="Q3"/>
    <x v="0"/>
  </r>
  <r>
    <s v="O103191"/>
    <x v="640"/>
    <x v="5"/>
    <x v="7"/>
    <x v="4"/>
    <x v="2"/>
    <n v="3"/>
    <n v="40990"/>
    <d v="2025-07-13T00:00:00"/>
    <n v="7"/>
    <n v="13"/>
    <n v="2025"/>
    <x v="10"/>
    <s v="Q3"/>
    <x v="4"/>
  </r>
  <r>
    <s v="O101413"/>
    <x v="763"/>
    <x v="8"/>
    <x v="7"/>
    <x v="1"/>
    <x v="0"/>
    <n v="3"/>
    <n v="40990"/>
    <d v="2025-03-27T00:00:00"/>
    <n v="3"/>
    <n v="27"/>
    <n v="2025"/>
    <x v="5"/>
    <s v="Q1"/>
    <x v="1"/>
  </r>
  <r>
    <s v="O103478"/>
    <x v="88"/>
    <x v="5"/>
    <x v="6"/>
    <x v="3"/>
    <x v="1"/>
    <n v="2"/>
    <n v="40988"/>
    <d v="2025-07-31T00:00:00"/>
    <n v="7"/>
    <n v="31"/>
    <n v="2025"/>
    <x v="10"/>
    <s v="Q3"/>
    <x v="3"/>
  </r>
  <r>
    <s v="O102425"/>
    <x v="73"/>
    <x v="3"/>
    <x v="7"/>
    <x v="4"/>
    <x v="3"/>
    <n v="3"/>
    <n v="40932"/>
    <d v="2025-05-28T00:00:00"/>
    <n v="5"/>
    <n v="28"/>
    <n v="2025"/>
    <x v="3"/>
    <s v="Q2"/>
    <x v="4"/>
  </r>
  <r>
    <s v="O101528"/>
    <x v="152"/>
    <x v="3"/>
    <x v="7"/>
    <x v="4"/>
    <x v="0"/>
    <n v="3"/>
    <n v="40506"/>
    <d v="2025-03-04T00:00:00"/>
    <n v="3"/>
    <n v="4"/>
    <n v="2025"/>
    <x v="5"/>
    <s v="Q1"/>
    <x v="4"/>
  </r>
  <r>
    <s v="O108796"/>
    <x v="574"/>
    <x v="10"/>
    <x v="7"/>
    <x v="4"/>
    <x v="0"/>
    <n v="3"/>
    <n v="40464"/>
    <d v="2026-06-19T00:00:00"/>
    <n v="6"/>
    <n v="19"/>
    <n v="2026"/>
    <x v="2"/>
    <s v="Q2"/>
    <x v="4"/>
  </r>
  <r>
    <s v="O104258"/>
    <x v="710"/>
    <x v="0"/>
    <x v="6"/>
    <x v="0"/>
    <x v="2"/>
    <n v="2"/>
    <n v="40431"/>
    <d v="2025-09-16T00:00:00"/>
    <n v="9"/>
    <n v="16"/>
    <n v="2025"/>
    <x v="1"/>
    <s v="Q3"/>
    <x v="0"/>
  </r>
  <r>
    <s v="O103580"/>
    <x v="41"/>
    <x v="2"/>
    <x v="6"/>
    <x v="0"/>
    <x v="2"/>
    <n v="2"/>
    <n v="40389"/>
    <d v="2025-06-08T00:00:00"/>
    <n v="6"/>
    <n v="8"/>
    <n v="2025"/>
    <x v="2"/>
    <s v="Q2"/>
    <x v="0"/>
  </r>
  <r>
    <s v="O109231"/>
    <x v="85"/>
    <x v="3"/>
    <x v="6"/>
    <x v="0"/>
    <x v="3"/>
    <n v="2"/>
    <n v="40125"/>
    <d v="2026-07-15T00:00:00"/>
    <n v="7"/>
    <n v="15"/>
    <n v="2026"/>
    <x v="10"/>
    <s v="Q3"/>
    <x v="0"/>
  </r>
  <r>
    <s v="O105994"/>
    <x v="682"/>
    <x v="2"/>
    <x v="6"/>
    <x v="3"/>
    <x v="2"/>
    <n v="2"/>
    <n v="40093"/>
    <d v="2025-12-31T00:00:00"/>
    <n v="12"/>
    <n v="31"/>
    <n v="2025"/>
    <x v="7"/>
    <s v="Q4"/>
    <x v="3"/>
  </r>
  <r>
    <s v="O105405"/>
    <x v="211"/>
    <x v="0"/>
    <x v="7"/>
    <x v="3"/>
    <x v="1"/>
    <n v="3"/>
    <n v="40028"/>
    <d v="2025-11-25T00:00:00"/>
    <n v="11"/>
    <n v="25"/>
    <n v="2025"/>
    <x v="0"/>
    <s v="Q4"/>
    <x v="3"/>
  </r>
  <r>
    <s v="O107253"/>
    <x v="323"/>
    <x v="10"/>
    <x v="7"/>
    <x v="3"/>
    <x v="0"/>
    <n v="3"/>
    <n v="39974"/>
    <d v="2026-03-17T00:00:00"/>
    <n v="3"/>
    <n v="17"/>
    <n v="2026"/>
    <x v="5"/>
    <s v="Q1"/>
    <x v="3"/>
  </r>
  <r>
    <s v="O102949"/>
    <x v="82"/>
    <x v="4"/>
    <x v="7"/>
    <x v="8"/>
    <x v="1"/>
    <n v="3"/>
    <n v="39932"/>
    <d v="2025-06-29T00:00:00"/>
    <n v="6"/>
    <n v="29"/>
    <n v="2025"/>
    <x v="2"/>
    <s v="Q2"/>
    <x v="2"/>
  </r>
  <r>
    <s v="O105619"/>
    <x v="279"/>
    <x v="9"/>
    <x v="6"/>
    <x v="3"/>
    <x v="3"/>
    <n v="2"/>
    <n v="39906"/>
    <d v="2025-08-12T00:00:00"/>
    <n v="8"/>
    <n v="12"/>
    <n v="2025"/>
    <x v="8"/>
    <s v="Q3"/>
    <x v="3"/>
  </r>
  <r>
    <s v="O109257"/>
    <x v="630"/>
    <x v="3"/>
    <x v="7"/>
    <x v="1"/>
    <x v="1"/>
    <n v="3"/>
    <n v="39886"/>
    <d v="2026-07-17T00:00:00"/>
    <n v="7"/>
    <n v="17"/>
    <n v="2026"/>
    <x v="10"/>
    <s v="Q3"/>
    <x v="1"/>
  </r>
  <r>
    <s v="O109791"/>
    <x v="204"/>
    <x v="4"/>
    <x v="7"/>
    <x v="0"/>
    <x v="3"/>
    <n v="3"/>
    <n v="39874"/>
    <d v="2026-08-18T00:00:00"/>
    <n v="8"/>
    <n v="18"/>
    <n v="2026"/>
    <x v="8"/>
    <s v="Q3"/>
    <x v="0"/>
  </r>
  <r>
    <s v="O107176"/>
    <x v="373"/>
    <x v="9"/>
    <x v="6"/>
    <x v="2"/>
    <x v="3"/>
    <n v="2"/>
    <n v="39859"/>
    <d v="2026-12-03T00:00:00"/>
    <n v="12"/>
    <n v="3"/>
    <n v="2026"/>
    <x v="7"/>
    <s v="Q4"/>
    <x v="2"/>
  </r>
  <r>
    <s v="O102300"/>
    <x v="64"/>
    <x v="6"/>
    <x v="7"/>
    <x v="2"/>
    <x v="1"/>
    <n v="3"/>
    <n v="39838"/>
    <d v="2025-05-20T00:00:00"/>
    <n v="5"/>
    <n v="20"/>
    <n v="2025"/>
    <x v="3"/>
    <s v="Q2"/>
    <x v="2"/>
  </r>
  <r>
    <s v="O102835"/>
    <x v="263"/>
    <x v="10"/>
    <x v="7"/>
    <x v="2"/>
    <x v="0"/>
    <n v="3"/>
    <n v="39629"/>
    <d v="2025-06-22T00:00:00"/>
    <n v="6"/>
    <n v="22"/>
    <n v="2025"/>
    <x v="2"/>
    <s v="Q2"/>
    <x v="2"/>
  </r>
  <r>
    <s v="O110686"/>
    <x v="480"/>
    <x v="2"/>
    <x v="7"/>
    <x v="1"/>
    <x v="0"/>
    <n v="3"/>
    <n v="39601"/>
    <d v="2026-12-10T00:00:00"/>
    <n v="12"/>
    <n v="10"/>
    <n v="2026"/>
    <x v="7"/>
    <s v="Q4"/>
    <x v="1"/>
  </r>
  <r>
    <s v="O106653"/>
    <x v="97"/>
    <x v="4"/>
    <x v="7"/>
    <x v="3"/>
    <x v="0"/>
    <n v="3"/>
    <n v="39537"/>
    <d v="2026-09-02T00:00:00"/>
    <n v="9"/>
    <n v="2"/>
    <n v="2026"/>
    <x v="1"/>
    <s v="Q3"/>
    <x v="3"/>
  </r>
  <r>
    <s v="O103161"/>
    <x v="498"/>
    <x v="2"/>
    <x v="6"/>
    <x v="3"/>
    <x v="2"/>
    <n v="2"/>
    <n v="39532"/>
    <d v="2025-11-07T00:00:00"/>
    <n v="11"/>
    <n v="7"/>
    <n v="2025"/>
    <x v="0"/>
    <s v="Q4"/>
    <x v="3"/>
  </r>
  <r>
    <s v="O101501"/>
    <x v="7"/>
    <x v="1"/>
    <x v="6"/>
    <x v="3"/>
    <x v="1"/>
    <n v="2"/>
    <n v="39511"/>
    <d v="2025-02-04T00:00:00"/>
    <n v="2"/>
    <n v="4"/>
    <n v="2025"/>
    <x v="4"/>
    <s v="Q1"/>
    <x v="3"/>
  </r>
  <r>
    <s v="O107461"/>
    <x v="593"/>
    <x v="0"/>
    <x v="6"/>
    <x v="2"/>
    <x v="0"/>
    <n v="2"/>
    <n v="39507"/>
    <d v="2026-03-30T00:00:00"/>
    <n v="3"/>
    <n v="30"/>
    <n v="2026"/>
    <x v="5"/>
    <s v="Q1"/>
    <x v="2"/>
  </r>
  <r>
    <s v="O102475"/>
    <x v="216"/>
    <x v="4"/>
    <x v="6"/>
    <x v="3"/>
    <x v="0"/>
    <n v="2"/>
    <n v="39377"/>
    <d v="2025-05-31T00:00:00"/>
    <n v="5"/>
    <n v="31"/>
    <n v="2025"/>
    <x v="3"/>
    <s v="Q2"/>
    <x v="3"/>
  </r>
  <r>
    <s v="O101973"/>
    <x v="419"/>
    <x v="3"/>
    <x v="7"/>
    <x v="2"/>
    <x v="2"/>
    <n v="3"/>
    <n v="39366"/>
    <d v="2025-04-30T00:00:00"/>
    <n v="4"/>
    <n v="30"/>
    <n v="2025"/>
    <x v="11"/>
    <s v="Q2"/>
    <x v="2"/>
  </r>
  <r>
    <s v="O111011"/>
    <x v="181"/>
    <x v="0"/>
    <x v="6"/>
    <x v="0"/>
    <x v="0"/>
    <n v="2"/>
    <n v="39320"/>
    <d v="2026-10-31T00:00:00"/>
    <n v="10"/>
    <n v="31"/>
    <n v="2026"/>
    <x v="9"/>
    <s v="Q4"/>
    <x v="0"/>
  </r>
  <r>
    <s v="O100393"/>
    <x v="52"/>
    <x v="9"/>
    <x v="7"/>
    <x v="1"/>
    <x v="3"/>
    <n v="3"/>
    <n v="39273"/>
    <d v="2025-01-24T00:00:00"/>
    <n v="1"/>
    <n v="24"/>
    <n v="2025"/>
    <x v="6"/>
    <s v="Q1"/>
    <x v="1"/>
  </r>
  <r>
    <s v="O100890"/>
    <x v="628"/>
    <x v="3"/>
    <x v="7"/>
    <x v="1"/>
    <x v="1"/>
    <n v="3"/>
    <n v="39232"/>
    <d v="2025-02-24T00:00:00"/>
    <n v="2"/>
    <n v="24"/>
    <n v="2025"/>
    <x v="4"/>
    <s v="Q1"/>
    <x v="1"/>
  </r>
  <r>
    <s v="O104433"/>
    <x v="673"/>
    <x v="9"/>
    <x v="6"/>
    <x v="3"/>
    <x v="1"/>
    <n v="2"/>
    <n v="39148"/>
    <d v="2025-09-27T00:00:00"/>
    <n v="9"/>
    <n v="27"/>
    <n v="2025"/>
    <x v="1"/>
    <s v="Q3"/>
    <x v="3"/>
  </r>
  <r>
    <s v="O102708"/>
    <x v="361"/>
    <x v="3"/>
    <x v="7"/>
    <x v="4"/>
    <x v="1"/>
    <n v="3"/>
    <n v="39136"/>
    <d v="2025-06-14T00:00:00"/>
    <n v="6"/>
    <n v="14"/>
    <n v="2025"/>
    <x v="2"/>
    <s v="Q2"/>
    <x v="4"/>
  </r>
  <r>
    <s v="O102026"/>
    <x v="645"/>
    <x v="10"/>
    <x v="7"/>
    <x v="1"/>
    <x v="1"/>
    <n v="3"/>
    <n v="39075"/>
    <d v="2025-04-05T00:00:00"/>
    <n v="4"/>
    <n v="5"/>
    <n v="2025"/>
    <x v="11"/>
    <s v="Q2"/>
    <x v="1"/>
  </r>
  <r>
    <s v="O106917"/>
    <x v="572"/>
    <x v="4"/>
    <x v="7"/>
    <x v="3"/>
    <x v="3"/>
    <n v="3"/>
    <n v="39042"/>
    <d v="2026-02-25T00:00:00"/>
    <n v="2"/>
    <n v="25"/>
    <n v="2026"/>
    <x v="4"/>
    <s v="Q1"/>
    <x v="3"/>
  </r>
  <r>
    <s v="O102318"/>
    <x v="35"/>
    <x v="1"/>
    <x v="7"/>
    <x v="2"/>
    <x v="1"/>
    <n v="3"/>
    <n v="38899"/>
    <d v="2025-05-21T00:00:00"/>
    <n v="5"/>
    <n v="21"/>
    <n v="2025"/>
    <x v="3"/>
    <s v="Q2"/>
    <x v="2"/>
  </r>
  <r>
    <s v="O105213"/>
    <x v="40"/>
    <x v="1"/>
    <x v="7"/>
    <x v="4"/>
    <x v="1"/>
    <n v="3"/>
    <n v="38787"/>
    <d v="2025-11-13T00:00:00"/>
    <n v="11"/>
    <n v="13"/>
    <n v="2025"/>
    <x v="0"/>
    <s v="Q4"/>
    <x v="4"/>
  </r>
  <r>
    <s v="O106014"/>
    <x v="718"/>
    <x v="4"/>
    <x v="6"/>
    <x v="2"/>
    <x v="3"/>
    <n v="2"/>
    <n v="38751"/>
    <d v="2026-01-01T00:00:00"/>
    <n v="1"/>
    <n v="1"/>
    <n v="2026"/>
    <x v="6"/>
    <s v="Q1"/>
    <x v="2"/>
  </r>
  <r>
    <s v="O108727"/>
    <x v="686"/>
    <x v="1"/>
    <x v="7"/>
    <x v="4"/>
    <x v="2"/>
    <n v="3"/>
    <n v="38737"/>
    <d v="2026-06-15T00:00:00"/>
    <n v="6"/>
    <n v="15"/>
    <n v="2026"/>
    <x v="2"/>
    <s v="Q2"/>
    <x v="4"/>
  </r>
  <r>
    <s v="O103560"/>
    <x v="420"/>
    <x v="4"/>
    <x v="6"/>
    <x v="1"/>
    <x v="3"/>
    <n v="2"/>
    <n v="38538"/>
    <d v="2025-05-08T00:00:00"/>
    <n v="5"/>
    <n v="8"/>
    <n v="2025"/>
    <x v="3"/>
    <s v="Q2"/>
    <x v="1"/>
  </r>
  <r>
    <s v="O102641"/>
    <x v="94"/>
    <x v="8"/>
    <x v="7"/>
    <x v="4"/>
    <x v="3"/>
    <n v="3"/>
    <n v="38409"/>
    <d v="2025-10-06T00:00:00"/>
    <n v="10"/>
    <n v="6"/>
    <n v="2025"/>
    <x v="9"/>
    <s v="Q4"/>
    <x v="4"/>
  </r>
  <r>
    <s v="O103134"/>
    <x v="381"/>
    <x v="6"/>
    <x v="6"/>
    <x v="0"/>
    <x v="2"/>
    <n v="2"/>
    <n v="38360"/>
    <d v="2025-10-07T00:00:00"/>
    <n v="10"/>
    <n v="7"/>
    <n v="2025"/>
    <x v="9"/>
    <s v="Q4"/>
    <x v="0"/>
  </r>
  <r>
    <s v="O109418"/>
    <x v="32"/>
    <x v="6"/>
    <x v="7"/>
    <x v="2"/>
    <x v="1"/>
    <n v="3"/>
    <n v="38259"/>
    <d v="2026-07-27T00:00:00"/>
    <n v="7"/>
    <n v="27"/>
    <n v="2026"/>
    <x v="10"/>
    <s v="Q3"/>
    <x v="2"/>
  </r>
  <r>
    <s v="O105098"/>
    <x v="664"/>
    <x v="8"/>
    <x v="7"/>
    <x v="0"/>
    <x v="2"/>
    <n v="3"/>
    <n v="38104"/>
    <d v="2025-06-11T00:00:00"/>
    <n v="6"/>
    <n v="11"/>
    <n v="2025"/>
    <x v="2"/>
    <s v="Q2"/>
    <x v="0"/>
  </r>
  <r>
    <s v="O102057"/>
    <x v="244"/>
    <x v="3"/>
    <x v="6"/>
    <x v="3"/>
    <x v="1"/>
    <n v="2"/>
    <n v="38087"/>
    <d v="2025-05-05T00:00:00"/>
    <n v="5"/>
    <n v="5"/>
    <n v="2025"/>
    <x v="3"/>
    <s v="Q2"/>
    <x v="3"/>
  </r>
  <r>
    <s v="O104982"/>
    <x v="730"/>
    <x v="8"/>
    <x v="7"/>
    <x v="2"/>
    <x v="3"/>
    <n v="3"/>
    <n v="38027"/>
    <d v="2025-10-30T00:00:00"/>
    <n v="10"/>
    <n v="30"/>
    <n v="2025"/>
    <x v="9"/>
    <s v="Q4"/>
    <x v="2"/>
  </r>
  <r>
    <s v="O105291"/>
    <x v="177"/>
    <x v="1"/>
    <x v="7"/>
    <x v="3"/>
    <x v="1"/>
    <n v="3"/>
    <n v="37982"/>
    <d v="2025-11-18T00:00:00"/>
    <n v="11"/>
    <n v="18"/>
    <n v="2025"/>
    <x v="0"/>
    <s v="Q4"/>
    <x v="3"/>
  </r>
  <r>
    <s v="O101505"/>
    <x v="530"/>
    <x v="4"/>
    <x v="7"/>
    <x v="2"/>
    <x v="2"/>
    <n v="3"/>
    <n v="37899"/>
    <d v="2025-02-04T00:00:00"/>
    <n v="2"/>
    <n v="4"/>
    <n v="2025"/>
    <x v="4"/>
    <s v="Q1"/>
    <x v="2"/>
  </r>
  <r>
    <s v="O103970"/>
    <x v="453"/>
    <x v="4"/>
    <x v="7"/>
    <x v="3"/>
    <x v="1"/>
    <n v="3"/>
    <n v="37764"/>
    <d v="2025-08-30T00:00:00"/>
    <n v="8"/>
    <n v="30"/>
    <n v="2025"/>
    <x v="8"/>
    <s v="Q3"/>
    <x v="3"/>
  </r>
  <r>
    <s v="O107558"/>
    <x v="383"/>
    <x v="3"/>
    <x v="6"/>
    <x v="4"/>
    <x v="1"/>
    <n v="2"/>
    <n v="37741"/>
    <d v="2026-05-04T00:00:00"/>
    <n v="5"/>
    <n v="4"/>
    <n v="2026"/>
    <x v="3"/>
    <s v="Q2"/>
    <x v="4"/>
  </r>
  <r>
    <s v="O103394"/>
    <x v="494"/>
    <x v="9"/>
    <x v="7"/>
    <x v="4"/>
    <x v="3"/>
    <n v="3"/>
    <n v="37723"/>
    <d v="2025-07-26T00:00:00"/>
    <n v="7"/>
    <n v="26"/>
    <n v="2025"/>
    <x v="10"/>
    <s v="Q3"/>
    <x v="4"/>
  </r>
  <r>
    <s v="O100762"/>
    <x v="374"/>
    <x v="5"/>
    <x v="7"/>
    <x v="4"/>
    <x v="0"/>
    <n v="3"/>
    <n v="37675"/>
    <d v="2025-02-16T00:00:00"/>
    <n v="2"/>
    <n v="16"/>
    <n v="2025"/>
    <x v="4"/>
    <s v="Q1"/>
    <x v="4"/>
  </r>
  <r>
    <s v="O111399"/>
    <x v="596"/>
    <x v="10"/>
    <x v="7"/>
    <x v="2"/>
    <x v="0"/>
    <n v="3"/>
    <n v="37486"/>
    <d v="2026-11-24T00:00:00"/>
    <n v="11"/>
    <n v="24"/>
    <n v="2026"/>
    <x v="0"/>
    <m/>
    <x v="2"/>
  </r>
  <r>
    <s v="O107313"/>
    <x v="611"/>
    <x v="7"/>
    <x v="7"/>
    <x v="4"/>
    <x v="2"/>
    <n v="2"/>
    <n v="37473"/>
    <d v="2026-03-21T00:00:00"/>
    <n v="3"/>
    <n v="21"/>
    <n v="2026"/>
    <x v="5"/>
    <s v="Q1"/>
    <x v="4"/>
  </r>
  <r>
    <s v="O111225"/>
    <x v="628"/>
    <x v="0"/>
    <x v="7"/>
    <x v="2"/>
    <x v="0"/>
    <n v="3"/>
    <n v="37470"/>
    <d v="2026-11-13T00:00:00"/>
    <n v="11"/>
    <n v="13"/>
    <n v="2026"/>
    <x v="0"/>
    <s v="Q4"/>
    <x v="2"/>
  </r>
  <r>
    <s v="O110999"/>
    <x v="487"/>
    <x v="6"/>
    <x v="7"/>
    <x v="1"/>
    <x v="1"/>
    <n v="2"/>
    <n v="37443"/>
    <d v="2026-10-31T00:00:00"/>
    <n v="10"/>
    <n v="31"/>
    <n v="2026"/>
    <x v="9"/>
    <s v="Q4"/>
    <x v="1"/>
  </r>
  <r>
    <s v="O108460"/>
    <x v="30"/>
    <x v="5"/>
    <x v="7"/>
    <x v="0"/>
    <x v="0"/>
    <n v="2"/>
    <n v="37400"/>
    <d v="2026-05-29T00:00:00"/>
    <n v="5"/>
    <n v="29"/>
    <n v="2026"/>
    <x v="3"/>
    <s v="Q2"/>
    <x v="0"/>
  </r>
  <r>
    <s v="O100630"/>
    <x v="138"/>
    <x v="2"/>
    <x v="7"/>
    <x v="0"/>
    <x v="3"/>
    <n v="2"/>
    <n v="37300"/>
    <d v="2025-08-02T00:00:00"/>
    <n v="8"/>
    <n v="2"/>
    <n v="2025"/>
    <x v="8"/>
    <s v="Q3"/>
    <x v="0"/>
  </r>
  <r>
    <s v="O111479"/>
    <x v="590"/>
    <x v="5"/>
    <x v="7"/>
    <x v="1"/>
    <x v="2"/>
    <n v="2"/>
    <n v="37237"/>
    <d v="2026-11-29T00:00:00"/>
    <n v="11"/>
    <n v="29"/>
    <n v="2026"/>
    <x v="0"/>
    <s v="Q4"/>
    <x v="1"/>
  </r>
  <r>
    <s v="O111858"/>
    <x v="66"/>
    <x v="10"/>
    <x v="7"/>
    <x v="1"/>
    <x v="1"/>
    <n v="2"/>
    <n v="37149"/>
    <d v="2026-12-22T00:00:00"/>
    <n v="12"/>
    <n v="22"/>
    <n v="2026"/>
    <x v="7"/>
    <s v="Q4"/>
    <x v="1"/>
  </r>
  <r>
    <s v="O103368"/>
    <x v="520"/>
    <x v="9"/>
    <x v="7"/>
    <x v="4"/>
    <x v="0"/>
    <n v="3"/>
    <n v="37147"/>
    <d v="2025-07-24T00:00:00"/>
    <n v="7"/>
    <n v="24"/>
    <n v="2025"/>
    <x v="10"/>
    <s v="Q3"/>
    <x v="4"/>
  </r>
  <r>
    <s v="O111826"/>
    <x v="794"/>
    <x v="1"/>
    <x v="7"/>
    <x v="3"/>
    <x v="3"/>
    <n v="3"/>
    <n v="37144"/>
    <d v="2026-12-20T00:00:00"/>
    <n v="12"/>
    <n v="20"/>
    <n v="2026"/>
    <x v="7"/>
    <s v="Q4"/>
    <x v="3"/>
  </r>
  <r>
    <s v="O101654"/>
    <x v="18"/>
    <x v="1"/>
    <x v="7"/>
    <x v="2"/>
    <x v="0"/>
    <n v="2"/>
    <n v="37062"/>
    <d v="2025-11-04T00:00:00"/>
    <n v="11"/>
    <n v="4"/>
    <n v="2025"/>
    <x v="0"/>
    <s v="Q4"/>
    <x v="2"/>
  </r>
  <r>
    <s v="O108828"/>
    <x v="103"/>
    <x v="2"/>
    <x v="7"/>
    <x v="1"/>
    <x v="1"/>
    <n v="2"/>
    <n v="37015"/>
    <d v="2026-06-21T00:00:00"/>
    <n v="6"/>
    <n v="21"/>
    <n v="2026"/>
    <x v="2"/>
    <s v="Q2"/>
    <x v="1"/>
  </r>
  <r>
    <s v="O110881"/>
    <x v="586"/>
    <x v="1"/>
    <x v="7"/>
    <x v="3"/>
    <x v="0"/>
    <n v="2"/>
    <n v="37006"/>
    <d v="2026-10-24T00:00:00"/>
    <n v="10"/>
    <n v="24"/>
    <n v="2026"/>
    <x v="9"/>
    <s v="Q4"/>
    <x v="3"/>
  </r>
  <r>
    <s v="O105614"/>
    <x v="724"/>
    <x v="6"/>
    <x v="7"/>
    <x v="3"/>
    <x v="0"/>
    <n v="2"/>
    <n v="36988"/>
    <d v="2025-08-12T00:00:00"/>
    <n v="8"/>
    <n v="12"/>
    <n v="2025"/>
    <x v="8"/>
    <s v="Q3"/>
    <x v="3"/>
  </r>
  <r>
    <s v="O109999"/>
    <x v="8"/>
    <x v="2"/>
    <x v="7"/>
    <x v="1"/>
    <x v="1"/>
    <n v="2"/>
    <n v="36986"/>
    <d v="2026-08-31T00:00:00"/>
    <n v="8"/>
    <n v="31"/>
    <n v="2026"/>
    <x v="8"/>
    <s v="Q3"/>
    <x v="1"/>
  </r>
  <r>
    <s v="O106792"/>
    <x v="147"/>
    <x v="1"/>
    <x v="7"/>
    <x v="3"/>
    <x v="1"/>
    <n v="2"/>
    <n v="36981"/>
    <d v="2026-02-17T00:00:00"/>
    <n v="2"/>
    <n v="17"/>
    <n v="2026"/>
    <x v="4"/>
    <s v="Q1"/>
    <x v="3"/>
  </r>
  <r>
    <s v="O103241"/>
    <x v="291"/>
    <x v="1"/>
    <x v="7"/>
    <x v="4"/>
    <x v="1"/>
    <n v="2"/>
    <n v="36918"/>
    <d v="2025-07-16T00:00:00"/>
    <n v="7"/>
    <n v="16"/>
    <n v="2025"/>
    <x v="10"/>
    <s v="Q3"/>
    <x v="4"/>
  </r>
  <r>
    <s v="O109542"/>
    <x v="130"/>
    <x v="0"/>
    <x v="7"/>
    <x v="4"/>
    <x v="3"/>
    <n v="3"/>
    <n v="36831"/>
    <d v="2026-03-08T00:00:00"/>
    <n v="3"/>
    <n v="8"/>
    <n v="2026"/>
    <x v="5"/>
    <s v="Q1"/>
    <x v="4"/>
  </r>
  <r>
    <s v="O109576"/>
    <x v="668"/>
    <x v="1"/>
    <x v="7"/>
    <x v="1"/>
    <x v="2"/>
    <n v="3"/>
    <n v="36723"/>
    <d v="2026-05-08T00:00:00"/>
    <n v="5"/>
    <n v="8"/>
    <n v="2026"/>
    <x v="3"/>
    <s v="Q2"/>
    <x v="1"/>
  </r>
  <r>
    <s v="O106026"/>
    <x v="319"/>
    <x v="5"/>
    <x v="7"/>
    <x v="2"/>
    <x v="2"/>
    <n v="2"/>
    <n v="36715"/>
    <d v="2026-02-01T00:00:00"/>
    <n v="2"/>
    <n v="1"/>
    <n v="2026"/>
    <x v="4"/>
    <s v="Q1"/>
    <x v="2"/>
  </r>
  <r>
    <s v="O106810"/>
    <x v="385"/>
    <x v="4"/>
    <x v="7"/>
    <x v="0"/>
    <x v="1"/>
    <n v="3"/>
    <n v="36668"/>
    <d v="2026-02-18T00:00:00"/>
    <n v="2"/>
    <n v="18"/>
    <n v="2026"/>
    <x v="4"/>
    <s v="Q1"/>
    <x v="0"/>
  </r>
  <r>
    <s v="O100366"/>
    <x v="750"/>
    <x v="9"/>
    <x v="7"/>
    <x v="3"/>
    <x v="0"/>
    <n v="2"/>
    <n v="36625"/>
    <d v="2025-01-23T00:00:00"/>
    <n v="1"/>
    <n v="23"/>
    <n v="2025"/>
    <x v="6"/>
    <s v="Q1"/>
    <x v="3"/>
  </r>
  <r>
    <s v="O111104"/>
    <x v="356"/>
    <x v="1"/>
    <x v="7"/>
    <x v="2"/>
    <x v="3"/>
    <n v="3"/>
    <n v="36616"/>
    <d v="2026-06-11T00:00:00"/>
    <n v="6"/>
    <n v="11"/>
    <n v="2026"/>
    <x v="2"/>
    <m/>
    <x v="2"/>
  </r>
  <r>
    <s v="O111919"/>
    <x v="737"/>
    <x v="0"/>
    <x v="7"/>
    <x v="1"/>
    <x v="0"/>
    <n v="2"/>
    <n v="36547"/>
    <d v="2026-12-26T00:00:00"/>
    <n v="12"/>
    <n v="26"/>
    <n v="2026"/>
    <x v="7"/>
    <s v="Q4"/>
    <x v="1"/>
  </r>
  <r>
    <s v="O111593"/>
    <x v="530"/>
    <x v="5"/>
    <x v="7"/>
    <x v="0"/>
    <x v="2"/>
    <n v="3"/>
    <n v="36443"/>
    <d v="2026-06-12T00:00:00"/>
    <n v="6"/>
    <n v="12"/>
    <n v="2026"/>
    <x v="2"/>
    <s v="Q2"/>
    <x v="0"/>
  </r>
  <r>
    <s v="O102158"/>
    <x v="418"/>
    <x v="10"/>
    <x v="7"/>
    <x v="1"/>
    <x v="0"/>
    <n v="2"/>
    <n v="36428"/>
    <d v="2025-12-05T00:00:00"/>
    <n v="12"/>
    <n v="5"/>
    <n v="2025"/>
    <x v="7"/>
    <s v="Q4"/>
    <x v="1"/>
  </r>
  <r>
    <s v="O109782"/>
    <x v="486"/>
    <x v="0"/>
    <x v="7"/>
    <x v="4"/>
    <x v="3"/>
    <n v="2"/>
    <n v="36353"/>
    <d v="2026-08-18T00:00:00"/>
    <n v="8"/>
    <n v="18"/>
    <n v="2026"/>
    <x v="8"/>
    <s v="Q3"/>
    <x v="4"/>
  </r>
  <r>
    <s v="O106314"/>
    <x v="696"/>
    <x v="2"/>
    <x v="7"/>
    <x v="2"/>
    <x v="2"/>
    <n v="2"/>
    <n v="36348"/>
    <d v="2026-01-19T00:00:00"/>
    <n v="1"/>
    <n v="19"/>
    <n v="2026"/>
    <x v="6"/>
    <s v="Q1"/>
    <x v="2"/>
  </r>
  <r>
    <s v="O108606"/>
    <x v="342"/>
    <x v="0"/>
    <x v="7"/>
    <x v="2"/>
    <x v="2"/>
    <n v="2"/>
    <n v="36305"/>
    <d v="2026-07-06T00:00:00"/>
    <n v="7"/>
    <n v="6"/>
    <n v="2026"/>
    <x v="10"/>
    <s v="Q3"/>
    <x v="2"/>
  </r>
  <r>
    <s v="O106464"/>
    <x v="560"/>
    <x v="4"/>
    <x v="7"/>
    <x v="3"/>
    <x v="1"/>
    <n v="2"/>
    <n v="36279"/>
    <d v="2026-01-28T00:00:00"/>
    <n v="1"/>
    <n v="28"/>
    <n v="2026"/>
    <x v="6"/>
    <s v="Q1"/>
    <x v="3"/>
  </r>
  <r>
    <s v="O103404"/>
    <x v="696"/>
    <x v="0"/>
    <x v="7"/>
    <x v="1"/>
    <x v="0"/>
    <n v="3"/>
    <n v="36270"/>
    <d v="2025-07-26T00:00:00"/>
    <n v="7"/>
    <n v="26"/>
    <n v="2025"/>
    <x v="10"/>
    <s v="Q3"/>
    <x v="1"/>
  </r>
  <r>
    <s v="O108814"/>
    <x v="573"/>
    <x v="5"/>
    <x v="7"/>
    <x v="2"/>
    <x v="0"/>
    <n v="2"/>
    <n v="36226"/>
    <d v="2026-06-20T00:00:00"/>
    <n v="6"/>
    <n v="20"/>
    <n v="2026"/>
    <x v="2"/>
    <s v="Q2"/>
    <x v="2"/>
  </r>
  <r>
    <s v="O103287"/>
    <x v="378"/>
    <x v="9"/>
    <x v="7"/>
    <x v="2"/>
    <x v="0"/>
    <n v="2"/>
    <n v="36208"/>
    <d v="2025-07-19T00:00:00"/>
    <n v="7"/>
    <n v="19"/>
    <n v="2025"/>
    <x v="10"/>
    <m/>
    <x v="2"/>
  </r>
  <r>
    <s v="O107775"/>
    <x v="611"/>
    <x v="4"/>
    <x v="7"/>
    <x v="0"/>
    <x v="3"/>
    <n v="2"/>
    <n v="36183"/>
    <d v="2026-04-18T00:00:00"/>
    <n v="4"/>
    <n v="18"/>
    <n v="2026"/>
    <x v="11"/>
    <s v="Q2"/>
    <x v="0"/>
  </r>
  <r>
    <s v="O101919"/>
    <x v="623"/>
    <x v="3"/>
    <x v="7"/>
    <x v="2"/>
    <x v="0"/>
    <n v="3"/>
    <n v="36160"/>
    <d v="2025-04-27T00:00:00"/>
    <n v="4"/>
    <n v="27"/>
    <n v="2025"/>
    <x v="11"/>
    <s v="Q2"/>
    <x v="2"/>
  </r>
  <r>
    <s v="O105482"/>
    <x v="523"/>
    <x v="3"/>
    <x v="7"/>
    <x v="0"/>
    <x v="3"/>
    <n v="3"/>
    <n v="36070"/>
    <d v="2025-11-29T00:00:00"/>
    <n v="11"/>
    <n v="29"/>
    <n v="2025"/>
    <x v="0"/>
    <s v="Q4"/>
    <x v="0"/>
  </r>
  <r>
    <s v="O111458"/>
    <x v="568"/>
    <x v="8"/>
    <x v="7"/>
    <x v="2"/>
    <x v="2"/>
    <n v="2"/>
    <n v="36036"/>
    <d v="2026-11-28T00:00:00"/>
    <n v="11"/>
    <n v="28"/>
    <n v="2026"/>
    <x v="0"/>
    <s v="Q4"/>
    <x v="2"/>
  </r>
  <r>
    <s v="O106414"/>
    <x v="774"/>
    <x v="1"/>
    <x v="7"/>
    <x v="1"/>
    <x v="0"/>
    <n v="2"/>
    <n v="35993"/>
    <d v="2026-01-25T00:00:00"/>
    <n v="1"/>
    <n v="25"/>
    <n v="2026"/>
    <x v="6"/>
    <s v="Q1"/>
    <x v="1"/>
  </r>
  <r>
    <s v="O102229"/>
    <x v="121"/>
    <x v="5"/>
    <x v="7"/>
    <x v="3"/>
    <x v="0"/>
    <n v="3"/>
    <n v="35934"/>
    <d v="2025-05-16T00:00:00"/>
    <n v="5"/>
    <n v="16"/>
    <n v="2025"/>
    <x v="3"/>
    <s v="Q2"/>
    <x v="3"/>
  </r>
  <r>
    <s v="O107941"/>
    <x v="137"/>
    <x v="9"/>
    <x v="7"/>
    <x v="2"/>
    <x v="3"/>
    <n v="3"/>
    <n v="35933"/>
    <d v="2026-04-28T00:00:00"/>
    <n v="4"/>
    <n v="28"/>
    <n v="2026"/>
    <x v="11"/>
    <s v="Q2"/>
    <x v="2"/>
  </r>
  <r>
    <s v="O110468"/>
    <x v="188"/>
    <x v="0"/>
    <x v="7"/>
    <x v="2"/>
    <x v="1"/>
    <n v="3"/>
    <n v="35931"/>
    <d v="2026-09-28T00:00:00"/>
    <n v="9"/>
    <n v="28"/>
    <n v="2026"/>
    <x v="1"/>
    <s v="Q3"/>
    <x v="2"/>
  </r>
  <r>
    <s v="O108611"/>
    <x v="488"/>
    <x v="9"/>
    <x v="7"/>
    <x v="4"/>
    <x v="2"/>
    <n v="3"/>
    <n v="35926"/>
    <d v="2026-08-06T00:00:00"/>
    <n v="8"/>
    <n v="6"/>
    <n v="2026"/>
    <x v="8"/>
    <s v="Q3"/>
    <x v="4"/>
  </r>
  <r>
    <s v="O105696"/>
    <x v="236"/>
    <x v="6"/>
    <x v="7"/>
    <x v="3"/>
    <x v="2"/>
    <n v="2"/>
    <n v="35780"/>
    <d v="2025-12-13T00:00:00"/>
    <n v="12"/>
    <n v="13"/>
    <n v="2025"/>
    <x v="7"/>
    <s v="Q4"/>
    <x v="3"/>
  </r>
  <r>
    <s v="O106761"/>
    <x v="24"/>
    <x v="3"/>
    <x v="7"/>
    <x v="3"/>
    <x v="1"/>
    <n v="2"/>
    <n v="35694"/>
    <d v="2026-02-15T00:00:00"/>
    <n v="2"/>
    <n v="15"/>
    <n v="2026"/>
    <x v="4"/>
    <s v="Q1"/>
    <x v="3"/>
  </r>
  <r>
    <s v="O111764"/>
    <x v="26"/>
    <x v="1"/>
    <x v="7"/>
    <x v="3"/>
    <x v="0"/>
    <n v="2"/>
    <n v="35523"/>
    <d v="2026-12-16T00:00:00"/>
    <n v="12"/>
    <n v="16"/>
    <n v="2026"/>
    <x v="7"/>
    <s v="Q4"/>
    <x v="3"/>
  </r>
  <r>
    <s v="O111803"/>
    <x v="662"/>
    <x v="1"/>
    <x v="7"/>
    <x v="0"/>
    <x v="3"/>
    <n v="3"/>
    <n v="35514"/>
    <d v="2026-12-19T00:00:00"/>
    <n v="12"/>
    <n v="19"/>
    <n v="2026"/>
    <x v="7"/>
    <s v="Q4"/>
    <x v="0"/>
  </r>
  <r>
    <s v="O102124"/>
    <x v="102"/>
    <x v="6"/>
    <x v="7"/>
    <x v="2"/>
    <x v="3"/>
    <n v="2"/>
    <n v="35446"/>
    <d v="2025-09-05T00:00:00"/>
    <n v="9"/>
    <n v="5"/>
    <n v="2025"/>
    <x v="1"/>
    <s v="Q3"/>
    <x v="2"/>
  </r>
  <r>
    <s v="O107378"/>
    <x v="454"/>
    <x v="0"/>
    <x v="7"/>
    <x v="4"/>
    <x v="0"/>
    <n v="2"/>
    <n v="35439"/>
    <d v="2026-03-25T00:00:00"/>
    <n v="3"/>
    <n v="25"/>
    <n v="2026"/>
    <x v="5"/>
    <s v="Q1"/>
    <x v="4"/>
  </r>
  <r>
    <s v="O109404"/>
    <x v="678"/>
    <x v="1"/>
    <x v="7"/>
    <x v="2"/>
    <x v="1"/>
    <n v="2"/>
    <n v="35413"/>
    <d v="2026-07-26T00:00:00"/>
    <n v="7"/>
    <n v="26"/>
    <n v="2026"/>
    <x v="10"/>
    <s v="Q3"/>
    <x v="2"/>
  </r>
  <r>
    <s v="O110036"/>
    <x v="474"/>
    <x v="9"/>
    <x v="7"/>
    <x v="0"/>
    <x v="2"/>
    <n v="2"/>
    <n v="35393"/>
    <d v="2026-02-09T00:00:00"/>
    <n v="2"/>
    <n v="9"/>
    <n v="2026"/>
    <x v="4"/>
    <s v="Q1"/>
    <x v="0"/>
  </r>
  <r>
    <s v="O105776"/>
    <x v="82"/>
    <x v="6"/>
    <x v="7"/>
    <x v="3"/>
    <x v="0"/>
    <n v="2"/>
    <n v="35372"/>
    <d v="2025-12-17T00:00:00"/>
    <n v="12"/>
    <n v="17"/>
    <n v="2025"/>
    <x v="7"/>
    <s v="Q4"/>
    <x v="3"/>
  </r>
  <r>
    <s v="O105591"/>
    <x v="74"/>
    <x v="5"/>
    <x v="7"/>
    <x v="2"/>
    <x v="2"/>
    <n v="2"/>
    <n v="35346"/>
    <d v="2025-06-12T00:00:00"/>
    <n v="6"/>
    <n v="12"/>
    <n v="2025"/>
    <x v="2"/>
    <s v="Q2"/>
    <x v="2"/>
  </r>
  <r>
    <s v="O103021"/>
    <x v="767"/>
    <x v="8"/>
    <x v="7"/>
    <x v="3"/>
    <x v="1"/>
    <n v="3"/>
    <n v="35238"/>
    <d v="2025-03-07T00:00:00"/>
    <n v="3"/>
    <n v="7"/>
    <n v="2025"/>
    <x v="5"/>
    <s v="Q1"/>
    <x v="3"/>
  </r>
  <r>
    <s v="O101975"/>
    <x v="781"/>
    <x v="5"/>
    <x v="7"/>
    <x v="2"/>
    <x v="2"/>
    <n v="3"/>
    <n v="35207"/>
    <d v="2025-04-30T00:00:00"/>
    <n v="4"/>
    <n v="30"/>
    <n v="2025"/>
    <x v="11"/>
    <s v="Q2"/>
    <x v="2"/>
  </r>
  <r>
    <s v="O106671"/>
    <x v="156"/>
    <x v="1"/>
    <x v="7"/>
    <x v="0"/>
    <x v="2"/>
    <n v="2"/>
    <n v="35199"/>
    <d v="2026-10-02T00:00:00"/>
    <n v="10"/>
    <n v="2"/>
    <n v="2026"/>
    <x v="9"/>
    <s v="Q4"/>
    <x v="0"/>
  </r>
  <r>
    <s v="O107828"/>
    <x v="588"/>
    <x v="4"/>
    <x v="7"/>
    <x v="3"/>
    <x v="3"/>
    <n v="3"/>
    <n v="35142"/>
    <d v="2026-04-21T00:00:00"/>
    <n v="4"/>
    <n v="21"/>
    <n v="2026"/>
    <x v="11"/>
    <s v="Q2"/>
    <x v="3"/>
  </r>
  <r>
    <s v="O111695"/>
    <x v="611"/>
    <x v="0"/>
    <x v="7"/>
    <x v="4"/>
    <x v="0"/>
    <n v="3"/>
    <n v="35138"/>
    <d v="2026-12-12T00:00:00"/>
    <n v="12"/>
    <n v="12"/>
    <n v="2026"/>
    <x v="7"/>
    <s v="Q4"/>
    <x v="4"/>
  </r>
  <r>
    <s v="O108408"/>
    <x v="7"/>
    <x v="2"/>
    <x v="7"/>
    <x v="0"/>
    <x v="0"/>
    <n v="2"/>
    <n v="35123"/>
    <d v="2026-05-26T00:00:00"/>
    <n v="5"/>
    <n v="26"/>
    <n v="2026"/>
    <x v="3"/>
    <s v="Q2"/>
    <x v="0"/>
  </r>
  <r>
    <s v="O100968"/>
    <x v="137"/>
    <x v="1"/>
    <x v="7"/>
    <x v="1"/>
    <x v="0"/>
    <n v="2"/>
    <n v="35069"/>
    <d v="2025-02-28T00:00:00"/>
    <n v="2"/>
    <n v="28"/>
    <n v="2025"/>
    <x v="4"/>
    <s v="Q1"/>
    <x v="1"/>
  </r>
  <r>
    <s v="O110402"/>
    <x v="373"/>
    <x v="10"/>
    <x v="7"/>
    <x v="1"/>
    <x v="3"/>
    <n v="3"/>
    <n v="35065"/>
    <d v="2026-09-24T00:00:00"/>
    <n v="9"/>
    <n v="24"/>
    <n v="2026"/>
    <x v="1"/>
    <s v="Q3"/>
    <x v="1"/>
  </r>
  <r>
    <s v="O110731"/>
    <x v="572"/>
    <x v="3"/>
    <x v="7"/>
    <x v="3"/>
    <x v="2"/>
    <n v="2"/>
    <n v="35048"/>
    <d v="2026-10-14T00:00:00"/>
    <n v="10"/>
    <n v="14"/>
    <n v="2026"/>
    <x v="9"/>
    <s v="Q4"/>
    <x v="3"/>
  </r>
  <r>
    <s v="O102306"/>
    <x v="28"/>
    <x v="5"/>
    <x v="7"/>
    <x v="2"/>
    <x v="0"/>
    <n v="2"/>
    <n v="35002"/>
    <d v="2025-05-21T00:00:00"/>
    <n v="5"/>
    <n v="21"/>
    <n v="2025"/>
    <x v="3"/>
    <s v="Q2"/>
    <x v="2"/>
  </r>
  <r>
    <s v="O107404"/>
    <x v="186"/>
    <x v="0"/>
    <x v="7"/>
    <x v="2"/>
    <x v="1"/>
    <n v="2"/>
    <n v="34946"/>
    <d v="2026-03-26T00:00:00"/>
    <n v="3"/>
    <n v="26"/>
    <n v="2026"/>
    <x v="5"/>
    <s v="Q1"/>
    <x v="2"/>
  </r>
  <r>
    <s v="O107129"/>
    <x v="342"/>
    <x v="8"/>
    <x v="7"/>
    <x v="0"/>
    <x v="2"/>
    <n v="2"/>
    <n v="34943"/>
    <d v="2026-10-03T00:00:00"/>
    <n v="10"/>
    <n v="3"/>
    <n v="2026"/>
    <x v="9"/>
    <s v="Q4"/>
    <x v="0"/>
  </r>
  <r>
    <s v="O104444"/>
    <x v="176"/>
    <x v="9"/>
    <x v="7"/>
    <x v="4"/>
    <x v="1"/>
    <n v="2"/>
    <n v="34935"/>
    <d v="2025-09-27T00:00:00"/>
    <n v="9"/>
    <n v="27"/>
    <n v="2025"/>
    <x v="1"/>
    <s v="Q3"/>
    <x v="4"/>
  </r>
  <r>
    <s v="O109921"/>
    <x v="70"/>
    <x v="6"/>
    <x v="7"/>
    <x v="3"/>
    <x v="2"/>
    <n v="2"/>
    <n v="34901"/>
    <d v="2026-08-26T00:00:00"/>
    <n v="8"/>
    <n v="26"/>
    <n v="2026"/>
    <x v="8"/>
    <s v="Q3"/>
    <x v="3"/>
  </r>
  <r>
    <s v="O100827"/>
    <x v="310"/>
    <x v="9"/>
    <x v="7"/>
    <x v="3"/>
    <x v="0"/>
    <n v="3"/>
    <n v="34896"/>
    <d v="2025-02-20T00:00:00"/>
    <n v="2"/>
    <n v="20"/>
    <n v="2025"/>
    <x v="4"/>
    <s v="Q1"/>
    <x v="3"/>
  </r>
  <r>
    <s v="O101261"/>
    <x v="348"/>
    <x v="6"/>
    <x v="7"/>
    <x v="3"/>
    <x v="0"/>
    <n v="2"/>
    <n v="34876"/>
    <d v="2025-03-18T00:00:00"/>
    <n v="3"/>
    <n v="18"/>
    <n v="2025"/>
    <x v="5"/>
    <s v="Q1"/>
    <x v="3"/>
  </r>
  <r>
    <s v="O100682"/>
    <x v="625"/>
    <x v="9"/>
    <x v="7"/>
    <x v="0"/>
    <x v="0"/>
    <n v="2"/>
    <n v="34867"/>
    <d v="2025-11-02T00:00:00"/>
    <n v="11"/>
    <n v="2"/>
    <n v="2025"/>
    <x v="0"/>
    <s v="Q4"/>
    <x v="0"/>
  </r>
  <r>
    <s v="O110876"/>
    <x v="755"/>
    <x v="8"/>
    <x v="7"/>
    <x v="3"/>
    <x v="3"/>
    <n v="2"/>
    <n v="34770"/>
    <d v="2026-10-23T00:00:00"/>
    <n v="10"/>
    <n v="23"/>
    <n v="2026"/>
    <x v="9"/>
    <s v="Q4"/>
    <x v="3"/>
  </r>
  <r>
    <s v="O108196"/>
    <x v="53"/>
    <x v="8"/>
    <x v="7"/>
    <x v="3"/>
    <x v="3"/>
    <n v="2"/>
    <n v="34760"/>
    <d v="2026-05-13T00:00:00"/>
    <n v="5"/>
    <n v="13"/>
    <n v="2026"/>
    <x v="3"/>
    <s v="Q2"/>
    <x v="3"/>
  </r>
  <r>
    <s v="O103844"/>
    <x v="703"/>
    <x v="3"/>
    <x v="7"/>
    <x v="2"/>
    <x v="0"/>
    <n v="2"/>
    <n v="34758"/>
    <d v="2025-08-22T00:00:00"/>
    <n v="8"/>
    <n v="22"/>
    <n v="2025"/>
    <x v="8"/>
    <s v="Q3"/>
    <x v="2"/>
  </r>
  <r>
    <s v="O107521"/>
    <x v="609"/>
    <x v="9"/>
    <x v="7"/>
    <x v="1"/>
    <x v="3"/>
    <n v="2"/>
    <n v="34749"/>
    <d v="2026-02-04T00:00:00"/>
    <n v="2"/>
    <n v="4"/>
    <n v="2026"/>
    <x v="4"/>
    <s v="Q1"/>
    <x v="1"/>
  </r>
  <r>
    <s v="O106899"/>
    <x v="408"/>
    <x v="9"/>
    <x v="7"/>
    <x v="3"/>
    <x v="1"/>
    <n v="3"/>
    <n v="34688"/>
    <d v="2026-02-24T00:00:00"/>
    <n v="2"/>
    <n v="24"/>
    <n v="2026"/>
    <x v="4"/>
    <s v="Q1"/>
    <x v="3"/>
  </r>
  <r>
    <s v="O104637"/>
    <x v="418"/>
    <x v="1"/>
    <x v="7"/>
    <x v="3"/>
    <x v="3"/>
    <n v="2"/>
    <n v="34681"/>
    <d v="2025-09-10T00:00:00"/>
    <n v="9"/>
    <n v="10"/>
    <n v="2025"/>
    <x v="1"/>
    <s v="Q3"/>
    <x v="3"/>
  </r>
  <r>
    <s v="O100037"/>
    <x v="49"/>
    <x v="0"/>
    <x v="7"/>
    <x v="3"/>
    <x v="0"/>
    <n v="2"/>
    <n v="34655"/>
    <d v="2025-03-01T00:00:00"/>
    <n v="3"/>
    <n v="1"/>
    <n v="2025"/>
    <x v="5"/>
    <s v="Q1"/>
    <x v="3"/>
  </r>
  <r>
    <s v="O106315"/>
    <x v="636"/>
    <x v="1"/>
    <x v="7"/>
    <x v="3"/>
    <x v="2"/>
    <n v="3"/>
    <n v="34562"/>
    <d v="2026-01-19T00:00:00"/>
    <n v="1"/>
    <n v="19"/>
    <n v="2026"/>
    <x v="6"/>
    <s v="Q1"/>
    <x v="3"/>
  </r>
  <r>
    <s v="O109689"/>
    <x v="396"/>
    <x v="0"/>
    <x v="7"/>
    <x v="4"/>
    <x v="0"/>
    <n v="3"/>
    <n v="34532"/>
    <d v="2026-12-08T00:00:00"/>
    <n v="12"/>
    <n v="8"/>
    <n v="2026"/>
    <x v="7"/>
    <s v="Q4"/>
    <x v="4"/>
  </r>
  <r>
    <s v="O108024"/>
    <x v="383"/>
    <x v="8"/>
    <x v="7"/>
    <x v="1"/>
    <x v="1"/>
    <n v="2"/>
    <n v="34489"/>
    <d v="2026-03-05T00:00:00"/>
    <n v="3"/>
    <n v="5"/>
    <n v="2026"/>
    <x v="5"/>
    <s v="Q1"/>
    <x v="1"/>
  </r>
  <r>
    <s v="O108284"/>
    <x v="439"/>
    <x v="3"/>
    <x v="7"/>
    <x v="3"/>
    <x v="2"/>
    <n v="3"/>
    <n v="34450"/>
    <d v="2026-05-19T00:00:00"/>
    <n v="5"/>
    <n v="19"/>
    <n v="2026"/>
    <x v="3"/>
    <s v="Q2"/>
    <x v="3"/>
  </r>
  <r>
    <s v="O107889"/>
    <x v="279"/>
    <x v="3"/>
    <x v="7"/>
    <x v="3"/>
    <x v="0"/>
    <n v="3"/>
    <n v="34238"/>
    <d v="2026-04-25T00:00:00"/>
    <n v="4"/>
    <n v="25"/>
    <n v="2026"/>
    <x v="11"/>
    <s v="Q2"/>
    <x v="3"/>
  </r>
  <r>
    <s v="O111888"/>
    <x v="745"/>
    <x v="1"/>
    <x v="7"/>
    <x v="0"/>
    <x v="0"/>
    <n v="2"/>
    <n v="34227"/>
    <d v="2026-12-24T00:00:00"/>
    <n v="12"/>
    <n v="24"/>
    <n v="2026"/>
    <x v="7"/>
    <s v="Q4"/>
    <x v="0"/>
  </r>
  <r>
    <s v="O109680"/>
    <x v="431"/>
    <x v="10"/>
    <x v="7"/>
    <x v="4"/>
    <x v="2"/>
    <n v="2"/>
    <n v="34169"/>
    <d v="2026-12-08T00:00:00"/>
    <n v="12"/>
    <n v="8"/>
    <n v="2026"/>
    <x v="7"/>
    <s v="Q4"/>
    <x v="4"/>
  </r>
  <r>
    <s v="O100345"/>
    <x v="180"/>
    <x v="4"/>
    <x v="7"/>
    <x v="2"/>
    <x v="0"/>
    <n v="2"/>
    <n v="34095"/>
    <d v="2025-01-21T00:00:00"/>
    <n v="1"/>
    <n v="21"/>
    <n v="2025"/>
    <x v="6"/>
    <s v="Q1"/>
    <x v="2"/>
  </r>
  <r>
    <s v="O105273"/>
    <x v="765"/>
    <x v="10"/>
    <x v="7"/>
    <x v="2"/>
    <x v="1"/>
    <n v="2"/>
    <n v="34092"/>
    <d v="2025-11-17T00:00:00"/>
    <n v="11"/>
    <n v="17"/>
    <n v="2025"/>
    <x v="0"/>
    <s v="Q4"/>
    <x v="2"/>
  </r>
  <r>
    <s v="O100349"/>
    <x v="226"/>
    <x v="4"/>
    <x v="7"/>
    <x v="1"/>
    <x v="0"/>
    <n v="3"/>
    <n v="34069"/>
    <d v="2025-01-22T00:00:00"/>
    <n v="1"/>
    <n v="22"/>
    <n v="2025"/>
    <x v="6"/>
    <s v="Q1"/>
    <x v="1"/>
  </r>
  <r>
    <s v="O106219"/>
    <x v="688"/>
    <x v="10"/>
    <x v="7"/>
    <x v="3"/>
    <x v="1"/>
    <n v="2"/>
    <n v="34068"/>
    <d v="2026-01-13T00:00:00"/>
    <n v="1"/>
    <n v="13"/>
    <n v="2026"/>
    <x v="6"/>
    <s v="Q1"/>
    <x v="3"/>
  </r>
  <r>
    <s v="O104335"/>
    <x v="570"/>
    <x v="0"/>
    <x v="7"/>
    <x v="2"/>
    <x v="0"/>
    <n v="3"/>
    <n v="34066"/>
    <d v="2025-09-21T00:00:00"/>
    <n v="9"/>
    <n v="21"/>
    <n v="2025"/>
    <x v="1"/>
    <s v="Q3"/>
    <x v="2"/>
  </r>
  <r>
    <s v="O101969"/>
    <x v="454"/>
    <x v="8"/>
    <x v="7"/>
    <x v="3"/>
    <x v="3"/>
    <n v="2"/>
    <n v="34056"/>
    <d v="2025-04-30T00:00:00"/>
    <n v="4"/>
    <n v="30"/>
    <n v="2025"/>
    <x v="11"/>
    <s v="Q2"/>
    <x v="3"/>
  </r>
  <r>
    <s v="O106308"/>
    <x v="330"/>
    <x v="4"/>
    <x v="7"/>
    <x v="3"/>
    <x v="0"/>
    <n v="2"/>
    <n v="34025"/>
    <d v="2026-01-19T00:00:00"/>
    <n v="1"/>
    <n v="19"/>
    <n v="2026"/>
    <x v="6"/>
    <s v="Q1"/>
    <x v="3"/>
  </r>
  <r>
    <s v="O109460"/>
    <x v="305"/>
    <x v="3"/>
    <x v="7"/>
    <x v="2"/>
    <x v="0"/>
    <n v="3"/>
    <n v="33963"/>
    <d v="2026-07-29T00:00:00"/>
    <n v="7"/>
    <n v="29"/>
    <n v="2026"/>
    <x v="10"/>
    <s v="Q3"/>
    <x v="2"/>
  </r>
  <r>
    <s v="O103997"/>
    <x v="141"/>
    <x v="7"/>
    <x v="7"/>
    <x v="2"/>
    <x v="2"/>
    <n v="2"/>
    <n v="33943"/>
    <d v="2025-08-31T00:00:00"/>
    <n v="8"/>
    <n v="31"/>
    <n v="2025"/>
    <x v="8"/>
    <s v="Q3"/>
    <x v="2"/>
  </r>
  <r>
    <s v="O108832"/>
    <x v="597"/>
    <x v="4"/>
    <x v="7"/>
    <x v="1"/>
    <x v="0"/>
    <n v="2"/>
    <n v="33927"/>
    <d v="2026-06-21T00:00:00"/>
    <n v="6"/>
    <n v="21"/>
    <n v="2026"/>
    <x v="2"/>
    <s v="Q2"/>
    <x v="1"/>
  </r>
  <r>
    <s v="O107540"/>
    <x v="340"/>
    <x v="8"/>
    <x v="7"/>
    <x v="3"/>
    <x v="3"/>
    <n v="2"/>
    <n v="33867"/>
    <d v="2026-04-04T00:00:00"/>
    <n v="4"/>
    <n v="4"/>
    <n v="2026"/>
    <x v="11"/>
    <s v="Q2"/>
    <x v="3"/>
  </r>
  <r>
    <s v="O101776"/>
    <x v="121"/>
    <x v="10"/>
    <x v="7"/>
    <x v="4"/>
    <x v="3"/>
    <n v="2"/>
    <n v="33830"/>
    <d v="2025-04-18T00:00:00"/>
    <n v="4"/>
    <n v="18"/>
    <n v="2025"/>
    <x v="11"/>
    <s v="Q2"/>
    <x v="4"/>
  </r>
  <r>
    <s v="O109663"/>
    <x v="34"/>
    <x v="9"/>
    <x v="7"/>
    <x v="4"/>
    <x v="1"/>
    <n v="3"/>
    <n v="33754"/>
    <d v="2026-11-08T00:00:00"/>
    <n v="11"/>
    <n v="8"/>
    <n v="2026"/>
    <x v="0"/>
    <s v="Q4"/>
    <x v="4"/>
  </r>
  <r>
    <s v="O108644"/>
    <x v="622"/>
    <x v="1"/>
    <x v="7"/>
    <x v="0"/>
    <x v="2"/>
    <n v="2"/>
    <n v="33697"/>
    <d v="2026-10-06T00:00:00"/>
    <n v="10"/>
    <n v="6"/>
    <n v="2026"/>
    <x v="9"/>
    <s v="Q4"/>
    <x v="0"/>
  </r>
  <r>
    <s v="O106866"/>
    <x v="772"/>
    <x v="3"/>
    <x v="7"/>
    <x v="0"/>
    <x v="0"/>
    <n v="2"/>
    <n v="33666"/>
    <d v="2026-02-22T00:00:00"/>
    <n v="2"/>
    <n v="22"/>
    <n v="2026"/>
    <x v="4"/>
    <s v="Q1"/>
    <x v="0"/>
  </r>
  <r>
    <s v="O101740"/>
    <x v="227"/>
    <x v="10"/>
    <x v="7"/>
    <x v="2"/>
    <x v="3"/>
    <n v="2"/>
    <n v="33634"/>
    <d v="2025-04-16T00:00:00"/>
    <n v="4"/>
    <n v="16"/>
    <n v="2025"/>
    <x v="11"/>
    <s v="Q2"/>
    <x v="2"/>
  </r>
  <r>
    <s v="O109146"/>
    <x v="246"/>
    <x v="3"/>
    <x v="7"/>
    <x v="3"/>
    <x v="2"/>
    <n v="2"/>
    <n v="33575"/>
    <d v="2026-10-07T00:00:00"/>
    <n v="10"/>
    <n v="7"/>
    <n v="2026"/>
    <x v="9"/>
    <s v="Q4"/>
    <x v="3"/>
  </r>
  <r>
    <s v="O103902"/>
    <x v="103"/>
    <x v="5"/>
    <x v="7"/>
    <x v="0"/>
    <x v="3"/>
    <n v="2"/>
    <n v="33399"/>
    <d v="2025-08-26T00:00:00"/>
    <n v="8"/>
    <n v="26"/>
    <n v="2025"/>
    <x v="8"/>
    <s v="Q3"/>
    <x v="0"/>
  </r>
  <r>
    <s v="O104953"/>
    <x v="96"/>
    <x v="8"/>
    <x v="7"/>
    <x v="0"/>
    <x v="0"/>
    <n v="2"/>
    <n v="33311"/>
    <d v="2025-10-28T00:00:00"/>
    <n v="10"/>
    <n v="28"/>
    <n v="2025"/>
    <x v="9"/>
    <s v="Q4"/>
    <x v="0"/>
  </r>
  <r>
    <s v="O104891"/>
    <x v="332"/>
    <x v="3"/>
    <x v="7"/>
    <x v="0"/>
    <x v="3"/>
    <n v="2"/>
    <n v="33229"/>
    <d v="2025-10-25T00:00:00"/>
    <n v="10"/>
    <n v="25"/>
    <n v="2025"/>
    <x v="9"/>
    <s v="Q4"/>
    <x v="0"/>
  </r>
  <r>
    <s v="O111351"/>
    <x v="310"/>
    <x v="9"/>
    <x v="7"/>
    <x v="1"/>
    <x v="1"/>
    <n v="2"/>
    <n v="33209"/>
    <d v="2026-11-21T00:00:00"/>
    <n v="11"/>
    <n v="21"/>
    <n v="2026"/>
    <x v="0"/>
    <s v="Q4"/>
    <x v="1"/>
  </r>
  <r>
    <s v="O104319"/>
    <x v="520"/>
    <x v="2"/>
    <x v="7"/>
    <x v="1"/>
    <x v="1"/>
    <n v="2"/>
    <n v="33134"/>
    <d v="2025-09-20T00:00:00"/>
    <n v="9"/>
    <n v="20"/>
    <n v="2025"/>
    <x v="1"/>
    <s v="Q3"/>
    <x v="1"/>
  </r>
  <r>
    <s v="O104865"/>
    <x v="407"/>
    <x v="0"/>
    <x v="7"/>
    <x v="3"/>
    <x v="2"/>
    <n v="2"/>
    <n v="33116"/>
    <d v="2025-10-23T00:00:00"/>
    <n v="10"/>
    <n v="23"/>
    <n v="2025"/>
    <x v="9"/>
    <s v="Q4"/>
    <x v="3"/>
  </r>
  <r>
    <s v="O110240"/>
    <x v="602"/>
    <x v="8"/>
    <x v="7"/>
    <x v="1"/>
    <x v="2"/>
    <n v="2"/>
    <n v="32824"/>
    <d v="2026-09-15T00:00:00"/>
    <n v="9"/>
    <n v="15"/>
    <n v="2026"/>
    <x v="1"/>
    <s v="Q3"/>
    <x v="1"/>
  </r>
  <r>
    <s v="O105334"/>
    <x v="514"/>
    <x v="3"/>
    <x v="7"/>
    <x v="3"/>
    <x v="3"/>
    <n v="2"/>
    <n v="32821"/>
    <d v="2025-11-21T00:00:00"/>
    <n v="11"/>
    <n v="21"/>
    <n v="2025"/>
    <x v="0"/>
    <m/>
    <x v="3"/>
  </r>
  <r>
    <s v="O106235"/>
    <x v="224"/>
    <x v="9"/>
    <x v="7"/>
    <x v="2"/>
    <x v="0"/>
    <n v="2"/>
    <n v="32818"/>
    <d v="2026-01-14T00:00:00"/>
    <n v="1"/>
    <n v="14"/>
    <n v="2026"/>
    <x v="6"/>
    <s v="Q1"/>
    <x v="2"/>
  </r>
  <r>
    <s v="O102369"/>
    <x v="636"/>
    <x v="10"/>
    <x v="7"/>
    <x v="1"/>
    <x v="0"/>
    <n v="2"/>
    <n v="32784"/>
    <d v="2025-05-24T00:00:00"/>
    <n v="5"/>
    <n v="24"/>
    <n v="2025"/>
    <x v="3"/>
    <s v="Q2"/>
    <x v="1"/>
  </r>
  <r>
    <s v="O109147"/>
    <x v="730"/>
    <x v="0"/>
    <x v="7"/>
    <x v="1"/>
    <x v="3"/>
    <n v="2"/>
    <n v="32771"/>
    <d v="2026-10-07T00:00:00"/>
    <n v="10"/>
    <n v="7"/>
    <n v="2026"/>
    <x v="9"/>
    <s v="Q4"/>
    <x v="1"/>
  </r>
  <r>
    <s v="O110510"/>
    <x v="529"/>
    <x v="1"/>
    <x v="7"/>
    <x v="0"/>
    <x v="3"/>
    <n v="2"/>
    <n v="32749"/>
    <d v="2026-01-10T00:00:00"/>
    <n v="1"/>
    <n v="10"/>
    <n v="2026"/>
    <x v="6"/>
    <s v="Q1"/>
    <x v="0"/>
  </r>
  <r>
    <s v="O105470"/>
    <x v="421"/>
    <x v="4"/>
    <x v="7"/>
    <x v="2"/>
    <x v="1"/>
    <n v="2"/>
    <n v="32667"/>
    <d v="2025-11-29T00:00:00"/>
    <n v="11"/>
    <n v="29"/>
    <n v="2025"/>
    <x v="0"/>
    <s v="Q4"/>
    <x v="2"/>
  </r>
  <r>
    <s v="O108991"/>
    <x v="674"/>
    <x v="9"/>
    <x v="7"/>
    <x v="3"/>
    <x v="2"/>
    <n v="2"/>
    <n v="32629"/>
    <d v="2026-01-07T00:00:00"/>
    <n v="1"/>
    <n v="7"/>
    <n v="2026"/>
    <x v="6"/>
    <s v="Q1"/>
    <x v="3"/>
  </r>
  <r>
    <s v="O104871"/>
    <x v="386"/>
    <x v="8"/>
    <x v="7"/>
    <x v="0"/>
    <x v="0"/>
    <n v="2"/>
    <n v="32606"/>
    <d v="2025-10-23T00:00:00"/>
    <n v="10"/>
    <n v="23"/>
    <n v="2025"/>
    <x v="9"/>
    <s v="Q4"/>
    <x v="0"/>
  </r>
  <r>
    <s v="O108190"/>
    <x v="458"/>
    <x v="1"/>
    <x v="7"/>
    <x v="3"/>
    <x v="2"/>
    <n v="2"/>
    <n v="32580"/>
    <d v="2026-05-13T00:00:00"/>
    <n v="5"/>
    <n v="13"/>
    <n v="2026"/>
    <x v="3"/>
    <s v="Q2"/>
    <x v="3"/>
  </r>
  <r>
    <s v="O102959"/>
    <x v="377"/>
    <x v="5"/>
    <x v="7"/>
    <x v="1"/>
    <x v="0"/>
    <n v="2"/>
    <n v="32529"/>
    <d v="2025-06-29T00:00:00"/>
    <n v="6"/>
    <n v="29"/>
    <n v="2025"/>
    <x v="2"/>
    <s v="Q2"/>
    <x v="1"/>
  </r>
  <r>
    <s v="O104030"/>
    <x v="35"/>
    <x v="9"/>
    <x v="7"/>
    <x v="0"/>
    <x v="2"/>
    <n v="2"/>
    <n v="32410"/>
    <d v="2025-02-09T00:00:00"/>
    <n v="2"/>
    <n v="9"/>
    <n v="2025"/>
    <x v="4"/>
    <s v="Q1"/>
    <x v="0"/>
  </r>
  <r>
    <s v="O111367"/>
    <x v="424"/>
    <x v="8"/>
    <x v="7"/>
    <x v="4"/>
    <x v="3"/>
    <n v="2"/>
    <n v="32395"/>
    <d v="2026-11-22T00:00:00"/>
    <n v="11"/>
    <n v="22"/>
    <n v="2026"/>
    <x v="0"/>
    <s v="Q4"/>
    <x v="4"/>
  </r>
  <r>
    <s v="O107857"/>
    <x v="287"/>
    <x v="3"/>
    <x v="7"/>
    <x v="1"/>
    <x v="1"/>
    <n v="2"/>
    <n v="32376"/>
    <d v="2026-04-23T00:00:00"/>
    <n v="4"/>
    <n v="23"/>
    <n v="2026"/>
    <x v="11"/>
    <s v="Q2"/>
    <x v="1"/>
  </r>
  <r>
    <s v="O108581"/>
    <x v="754"/>
    <x v="10"/>
    <x v="7"/>
    <x v="1"/>
    <x v="1"/>
    <n v="2"/>
    <n v="32333"/>
    <d v="2026-06-06T00:00:00"/>
    <n v="6"/>
    <n v="6"/>
    <n v="2026"/>
    <x v="2"/>
    <s v="Q2"/>
    <x v="1"/>
  </r>
  <r>
    <s v="O101291"/>
    <x v="645"/>
    <x v="9"/>
    <x v="7"/>
    <x v="4"/>
    <x v="0"/>
    <n v="2"/>
    <n v="32302"/>
    <d v="2025-03-20T00:00:00"/>
    <n v="3"/>
    <n v="20"/>
    <n v="2025"/>
    <x v="5"/>
    <s v="Q1"/>
    <x v="4"/>
  </r>
  <r>
    <s v="O103227"/>
    <x v="187"/>
    <x v="1"/>
    <x v="7"/>
    <x v="2"/>
    <x v="0"/>
    <n v="2"/>
    <n v="32248"/>
    <d v="2025-07-15T00:00:00"/>
    <n v="7"/>
    <n v="15"/>
    <n v="2025"/>
    <x v="10"/>
    <s v="Q3"/>
    <x v="2"/>
  </r>
  <r>
    <s v="O109216"/>
    <x v="465"/>
    <x v="2"/>
    <x v="7"/>
    <x v="1"/>
    <x v="1"/>
    <n v="2"/>
    <n v="32175"/>
    <d v="2026-07-14T00:00:00"/>
    <n v="7"/>
    <n v="14"/>
    <n v="2026"/>
    <x v="10"/>
    <s v="Q3"/>
    <x v="1"/>
  </r>
  <r>
    <s v="O105477"/>
    <x v="253"/>
    <x v="4"/>
    <x v="7"/>
    <x v="4"/>
    <x v="0"/>
    <n v="2"/>
    <n v="32174"/>
    <d v="2025-11-29T00:00:00"/>
    <n v="11"/>
    <n v="29"/>
    <n v="2025"/>
    <x v="0"/>
    <s v="Q4"/>
    <x v="4"/>
  </r>
  <r>
    <s v="O106142"/>
    <x v="56"/>
    <x v="5"/>
    <x v="7"/>
    <x v="3"/>
    <x v="2"/>
    <n v="2"/>
    <n v="31975"/>
    <d v="2026-09-01T00:00:00"/>
    <n v="9"/>
    <n v="1"/>
    <n v="2026"/>
    <x v="1"/>
    <s v="Q3"/>
    <x v="3"/>
  </r>
  <r>
    <s v="O111749"/>
    <x v="638"/>
    <x v="8"/>
    <x v="7"/>
    <x v="4"/>
    <x v="3"/>
    <n v="2"/>
    <n v="31865"/>
    <d v="2026-12-15T00:00:00"/>
    <n v="12"/>
    <n v="15"/>
    <n v="2026"/>
    <x v="7"/>
    <s v="Q4"/>
    <x v="4"/>
  </r>
  <r>
    <s v="O111019"/>
    <x v="540"/>
    <x v="1"/>
    <x v="7"/>
    <x v="0"/>
    <x v="1"/>
    <n v="2"/>
    <n v="31841"/>
    <d v="2026-01-11T00:00:00"/>
    <n v="1"/>
    <n v="11"/>
    <n v="2026"/>
    <x v="6"/>
    <s v="Q1"/>
    <x v="0"/>
  </r>
  <r>
    <s v="O101128"/>
    <x v="637"/>
    <x v="4"/>
    <x v="7"/>
    <x v="4"/>
    <x v="2"/>
    <n v="2"/>
    <n v="31798"/>
    <d v="2025-10-03T00:00:00"/>
    <n v="10"/>
    <n v="3"/>
    <n v="2025"/>
    <x v="9"/>
    <s v="Q4"/>
    <x v="4"/>
  </r>
  <r>
    <s v="O105451"/>
    <x v="686"/>
    <x v="6"/>
    <x v="7"/>
    <x v="0"/>
    <x v="2"/>
    <n v="2"/>
    <n v="31675"/>
    <d v="2025-11-28T00:00:00"/>
    <n v="11"/>
    <n v="28"/>
    <n v="2025"/>
    <x v="0"/>
    <s v="Q4"/>
    <x v="0"/>
  </r>
  <r>
    <s v="O110104"/>
    <x v="332"/>
    <x v="9"/>
    <x v="7"/>
    <x v="0"/>
    <x v="0"/>
    <n v="2"/>
    <n v="31637"/>
    <d v="2026-06-09T00:00:00"/>
    <n v="6"/>
    <n v="9"/>
    <n v="2026"/>
    <x v="2"/>
    <s v="Q2"/>
    <x v="0"/>
  </r>
  <r>
    <s v="O104474"/>
    <x v="294"/>
    <x v="6"/>
    <x v="7"/>
    <x v="2"/>
    <x v="2"/>
    <n v="2"/>
    <n v="31592"/>
    <d v="2025-09-29T00:00:00"/>
    <n v="9"/>
    <n v="29"/>
    <n v="2025"/>
    <x v="1"/>
    <s v="Q3"/>
    <x v="2"/>
  </r>
  <r>
    <s v="O107587"/>
    <x v="217"/>
    <x v="3"/>
    <x v="7"/>
    <x v="3"/>
    <x v="2"/>
    <n v="2"/>
    <n v="31590"/>
    <d v="2026-06-04T00:00:00"/>
    <n v="6"/>
    <n v="4"/>
    <n v="2026"/>
    <x v="2"/>
    <s v="Q2"/>
    <x v="3"/>
  </r>
  <r>
    <s v="O104499"/>
    <x v="389"/>
    <x v="6"/>
    <x v="7"/>
    <x v="4"/>
    <x v="0"/>
    <n v="2"/>
    <n v="31517"/>
    <d v="2025-01-10T00:00:00"/>
    <n v="1"/>
    <n v="10"/>
    <n v="2025"/>
    <x v="6"/>
    <s v="Q1"/>
    <x v="4"/>
  </r>
  <r>
    <s v="O103200"/>
    <x v="153"/>
    <x v="5"/>
    <x v="7"/>
    <x v="0"/>
    <x v="2"/>
    <n v="2"/>
    <n v="31447"/>
    <d v="2025-07-14T00:00:00"/>
    <n v="7"/>
    <n v="14"/>
    <n v="2025"/>
    <x v="10"/>
    <s v="Q3"/>
    <x v="0"/>
  </r>
  <r>
    <s v="O106569"/>
    <x v="737"/>
    <x v="4"/>
    <x v="7"/>
    <x v="4"/>
    <x v="1"/>
    <n v="2"/>
    <n v="31406"/>
    <d v="2026-04-02T00:00:00"/>
    <n v="4"/>
    <n v="2"/>
    <n v="2026"/>
    <x v="11"/>
    <s v="Q2"/>
    <x v="4"/>
  </r>
  <r>
    <s v="O108549"/>
    <x v="297"/>
    <x v="8"/>
    <x v="7"/>
    <x v="4"/>
    <x v="0"/>
    <n v="2"/>
    <n v="31284"/>
    <d v="2026-04-06T00:00:00"/>
    <n v="4"/>
    <n v="6"/>
    <n v="2026"/>
    <x v="11"/>
    <s v="Q2"/>
    <x v="4"/>
  </r>
  <r>
    <s v="O101321"/>
    <x v="379"/>
    <x v="5"/>
    <x v="7"/>
    <x v="4"/>
    <x v="1"/>
    <n v="2"/>
    <n v="31247"/>
    <d v="2025-03-22T00:00:00"/>
    <n v="3"/>
    <n v="22"/>
    <n v="2025"/>
    <x v="5"/>
    <s v="Q1"/>
    <x v="4"/>
  </r>
  <r>
    <s v="O106165"/>
    <x v="181"/>
    <x v="2"/>
    <x v="7"/>
    <x v="4"/>
    <x v="2"/>
    <n v="2"/>
    <n v="31168"/>
    <d v="2026-10-01T00:00:00"/>
    <n v="10"/>
    <n v="1"/>
    <n v="2026"/>
    <x v="9"/>
    <s v="Q4"/>
    <x v="4"/>
  </r>
  <r>
    <s v="O108026"/>
    <x v="367"/>
    <x v="8"/>
    <x v="7"/>
    <x v="2"/>
    <x v="2"/>
    <n v="2"/>
    <n v="31160"/>
    <d v="2026-03-05T00:00:00"/>
    <n v="3"/>
    <n v="5"/>
    <n v="2026"/>
    <x v="5"/>
    <s v="Q1"/>
    <x v="2"/>
  </r>
  <r>
    <s v="O104232"/>
    <x v="517"/>
    <x v="1"/>
    <x v="6"/>
    <x v="0"/>
    <x v="3"/>
    <n v="1"/>
    <n v="30997"/>
    <d v="2025-09-15T00:00:00"/>
    <n v="9"/>
    <n v="15"/>
    <n v="2025"/>
    <x v="1"/>
    <s v="Q3"/>
    <x v="0"/>
  </r>
  <r>
    <s v="O105883"/>
    <x v="149"/>
    <x v="8"/>
    <x v="7"/>
    <x v="2"/>
    <x v="1"/>
    <n v="2"/>
    <n v="30925"/>
    <d v="2025-12-24T00:00:00"/>
    <n v="12"/>
    <n v="24"/>
    <n v="2025"/>
    <x v="7"/>
    <s v="Q4"/>
    <x v="2"/>
  </r>
  <r>
    <s v="O109692"/>
    <x v="778"/>
    <x v="8"/>
    <x v="6"/>
    <x v="0"/>
    <x v="1"/>
    <n v="1"/>
    <n v="30905"/>
    <d v="2026-12-08T00:00:00"/>
    <n v="12"/>
    <n v="8"/>
    <n v="2026"/>
    <x v="7"/>
    <s v="Q4"/>
    <x v="0"/>
  </r>
  <r>
    <s v="O101641"/>
    <x v="93"/>
    <x v="8"/>
    <x v="6"/>
    <x v="3"/>
    <x v="2"/>
    <n v="1"/>
    <n v="30853"/>
    <d v="2025-10-04T00:00:00"/>
    <n v="10"/>
    <n v="4"/>
    <n v="2025"/>
    <x v="9"/>
    <s v="Q4"/>
    <x v="3"/>
  </r>
  <r>
    <s v="O103073"/>
    <x v="592"/>
    <x v="4"/>
    <x v="7"/>
    <x v="2"/>
    <x v="2"/>
    <n v="2"/>
    <n v="30849"/>
    <d v="2025-06-07T00:00:00"/>
    <n v="6"/>
    <n v="7"/>
    <n v="2025"/>
    <x v="2"/>
    <s v="Q2"/>
    <x v="2"/>
  </r>
  <r>
    <s v="O110059"/>
    <x v="281"/>
    <x v="2"/>
    <x v="6"/>
    <x v="3"/>
    <x v="3"/>
    <n v="1"/>
    <n v="30842"/>
    <d v="2026-04-09T00:00:00"/>
    <n v="4"/>
    <n v="9"/>
    <n v="2026"/>
    <x v="11"/>
    <s v="Q2"/>
    <x v="3"/>
  </r>
  <r>
    <s v="O104628"/>
    <x v="224"/>
    <x v="9"/>
    <x v="6"/>
    <x v="4"/>
    <x v="2"/>
    <n v="1"/>
    <n v="30821"/>
    <d v="2025-09-10T00:00:00"/>
    <n v="9"/>
    <n v="10"/>
    <n v="2025"/>
    <x v="1"/>
    <s v="Q3"/>
    <x v="4"/>
  </r>
  <r>
    <s v="O105628"/>
    <x v="519"/>
    <x v="6"/>
    <x v="7"/>
    <x v="0"/>
    <x v="1"/>
    <n v="2"/>
    <n v="30735"/>
    <d v="2025-08-12T00:00:00"/>
    <n v="8"/>
    <n v="12"/>
    <n v="2025"/>
    <x v="8"/>
    <s v="Q3"/>
    <x v="0"/>
  </r>
  <r>
    <s v="O107585"/>
    <x v="797"/>
    <x v="4"/>
    <x v="6"/>
    <x v="2"/>
    <x v="3"/>
    <n v="1"/>
    <n v="30719"/>
    <d v="2026-06-04T00:00:00"/>
    <n v="6"/>
    <n v="4"/>
    <n v="2026"/>
    <x v="2"/>
    <s v="Q2"/>
    <x v="2"/>
  </r>
  <r>
    <s v="O106329"/>
    <x v="435"/>
    <x v="5"/>
    <x v="6"/>
    <x v="3"/>
    <x v="3"/>
    <n v="1"/>
    <n v="30712"/>
    <d v="2026-01-20T00:00:00"/>
    <n v="1"/>
    <n v="20"/>
    <n v="2026"/>
    <x v="6"/>
    <s v="Q1"/>
    <x v="3"/>
  </r>
  <r>
    <s v="O103906"/>
    <x v="43"/>
    <x v="3"/>
    <x v="6"/>
    <x v="1"/>
    <x v="2"/>
    <n v="1"/>
    <n v="30670"/>
    <d v="2025-08-26T00:00:00"/>
    <n v="8"/>
    <n v="26"/>
    <n v="2025"/>
    <x v="8"/>
    <s v="Q3"/>
    <x v="1"/>
  </r>
  <r>
    <s v="O104794"/>
    <x v="396"/>
    <x v="6"/>
    <x v="7"/>
    <x v="3"/>
    <x v="3"/>
    <n v="2"/>
    <n v="30620"/>
    <d v="2025-10-19T00:00:00"/>
    <n v="10"/>
    <n v="19"/>
    <n v="2025"/>
    <x v="9"/>
    <s v="Q4"/>
    <x v="3"/>
  </r>
  <r>
    <s v="O104875"/>
    <x v="227"/>
    <x v="5"/>
    <x v="7"/>
    <x v="4"/>
    <x v="3"/>
    <n v="2"/>
    <n v="30599"/>
    <d v="2025-10-24T00:00:00"/>
    <n v="10"/>
    <n v="24"/>
    <n v="2025"/>
    <x v="9"/>
    <s v="Q4"/>
    <x v="4"/>
  </r>
  <r>
    <s v="O105278"/>
    <x v="68"/>
    <x v="1"/>
    <x v="7"/>
    <x v="4"/>
    <x v="0"/>
    <n v="2"/>
    <n v="30573"/>
    <d v="2025-11-17T00:00:00"/>
    <n v="11"/>
    <n v="17"/>
    <n v="2025"/>
    <x v="0"/>
    <s v="Q4"/>
    <x v="4"/>
  </r>
  <r>
    <s v="O103183"/>
    <x v="537"/>
    <x v="8"/>
    <x v="7"/>
    <x v="2"/>
    <x v="1"/>
    <n v="2"/>
    <n v="30571"/>
    <d v="2025-07-13T00:00:00"/>
    <n v="7"/>
    <n v="13"/>
    <n v="2025"/>
    <x v="10"/>
    <s v="Q3"/>
    <x v="2"/>
  </r>
  <r>
    <s v="O104663"/>
    <x v="66"/>
    <x v="6"/>
    <x v="6"/>
    <x v="0"/>
    <x v="3"/>
    <n v="1"/>
    <n v="30567"/>
    <d v="2025-11-10T00:00:00"/>
    <n v="11"/>
    <n v="10"/>
    <n v="2025"/>
    <x v="0"/>
    <s v="Q4"/>
    <x v="0"/>
  </r>
  <r>
    <s v="O102565"/>
    <x v="114"/>
    <x v="5"/>
    <x v="7"/>
    <x v="2"/>
    <x v="3"/>
    <n v="2"/>
    <n v="30550"/>
    <d v="2025-05-06T00:00:00"/>
    <n v="5"/>
    <n v="6"/>
    <n v="2025"/>
    <x v="3"/>
    <s v="Q2"/>
    <x v="2"/>
  </r>
  <r>
    <s v="O109745"/>
    <x v="510"/>
    <x v="3"/>
    <x v="7"/>
    <x v="4"/>
    <x v="3"/>
    <n v="2"/>
    <n v="30548"/>
    <d v="2026-08-15T00:00:00"/>
    <n v="8"/>
    <n v="15"/>
    <n v="2026"/>
    <x v="8"/>
    <s v="Q3"/>
    <x v="4"/>
  </r>
  <r>
    <s v="O105769"/>
    <x v="8"/>
    <x v="4"/>
    <x v="7"/>
    <x v="3"/>
    <x v="1"/>
    <n v="2"/>
    <n v="30449"/>
    <d v="2025-12-17T00:00:00"/>
    <n v="12"/>
    <n v="17"/>
    <n v="2025"/>
    <x v="7"/>
    <s v="Q4"/>
    <x v="3"/>
  </r>
  <r>
    <s v="O104445"/>
    <x v="683"/>
    <x v="10"/>
    <x v="7"/>
    <x v="1"/>
    <x v="0"/>
    <n v="2"/>
    <n v="30423"/>
    <d v="2025-09-27T00:00:00"/>
    <n v="9"/>
    <n v="27"/>
    <n v="2025"/>
    <x v="1"/>
    <s v="Q3"/>
    <x v="1"/>
  </r>
  <r>
    <s v="O104749"/>
    <x v="80"/>
    <x v="5"/>
    <x v="7"/>
    <x v="2"/>
    <x v="2"/>
    <n v="2"/>
    <n v="30345"/>
    <d v="2025-10-16T00:00:00"/>
    <n v="10"/>
    <n v="16"/>
    <n v="2025"/>
    <x v="9"/>
    <s v="Q4"/>
    <x v="2"/>
  </r>
  <r>
    <s v="O108187"/>
    <x v="201"/>
    <x v="6"/>
    <x v="7"/>
    <x v="3"/>
    <x v="1"/>
    <n v="2"/>
    <n v="30328"/>
    <d v="2026-05-13T00:00:00"/>
    <n v="5"/>
    <n v="13"/>
    <n v="2026"/>
    <x v="3"/>
    <s v="Q2"/>
    <x v="3"/>
  </r>
  <r>
    <s v="O101107"/>
    <x v="74"/>
    <x v="0"/>
    <x v="7"/>
    <x v="3"/>
    <x v="3"/>
    <n v="2"/>
    <n v="30328"/>
    <d v="2025-09-03T00:00:00"/>
    <n v="9"/>
    <n v="3"/>
    <n v="2025"/>
    <x v="1"/>
    <s v="Q3"/>
    <x v="3"/>
  </r>
  <r>
    <s v="O108236"/>
    <x v="756"/>
    <x v="5"/>
    <x v="6"/>
    <x v="3"/>
    <x v="3"/>
    <n v="1"/>
    <n v="30319"/>
    <d v="2026-05-16T00:00:00"/>
    <n v="5"/>
    <n v="16"/>
    <n v="2026"/>
    <x v="3"/>
    <s v="Q2"/>
    <x v="3"/>
  </r>
  <r>
    <s v="O100966"/>
    <x v="638"/>
    <x v="1"/>
    <x v="7"/>
    <x v="0"/>
    <x v="3"/>
    <n v="2"/>
    <n v="30275"/>
    <d v="2025-02-28T00:00:00"/>
    <n v="2"/>
    <n v="28"/>
    <n v="2025"/>
    <x v="4"/>
    <s v="Q1"/>
    <x v="0"/>
  </r>
  <r>
    <s v="O106363"/>
    <x v="389"/>
    <x v="8"/>
    <x v="7"/>
    <x v="3"/>
    <x v="2"/>
    <n v="2"/>
    <n v="30260"/>
    <d v="2026-01-22T00:00:00"/>
    <n v="1"/>
    <n v="22"/>
    <n v="2026"/>
    <x v="6"/>
    <s v="Q1"/>
    <x v="3"/>
  </r>
  <r>
    <s v="O102629"/>
    <x v="734"/>
    <x v="0"/>
    <x v="6"/>
    <x v="3"/>
    <x v="3"/>
    <n v="1"/>
    <n v="30233"/>
    <d v="2025-09-06T00:00:00"/>
    <n v="9"/>
    <n v="6"/>
    <n v="2025"/>
    <x v="1"/>
    <s v="Q3"/>
    <x v="3"/>
  </r>
  <r>
    <s v="O104694"/>
    <x v="193"/>
    <x v="0"/>
    <x v="6"/>
    <x v="4"/>
    <x v="2"/>
    <n v="1"/>
    <n v="30226"/>
    <d v="2025-10-13T00:00:00"/>
    <n v="10"/>
    <n v="13"/>
    <n v="2025"/>
    <x v="9"/>
    <s v="Q4"/>
    <x v="4"/>
  </r>
  <r>
    <s v="O110252"/>
    <x v="568"/>
    <x v="2"/>
    <x v="7"/>
    <x v="0"/>
    <x v="0"/>
    <n v="2"/>
    <n v="30197"/>
    <d v="2026-09-15T00:00:00"/>
    <n v="9"/>
    <n v="15"/>
    <n v="2026"/>
    <x v="1"/>
    <s v="Q3"/>
    <x v="0"/>
  </r>
  <r>
    <s v="O110427"/>
    <x v="110"/>
    <x v="10"/>
    <x v="7"/>
    <x v="2"/>
    <x v="0"/>
    <n v="2"/>
    <n v="30170"/>
    <d v="2026-09-26T00:00:00"/>
    <n v="9"/>
    <n v="26"/>
    <n v="2026"/>
    <x v="1"/>
    <s v="Q3"/>
    <x v="2"/>
  </r>
  <r>
    <s v="O107800"/>
    <x v="787"/>
    <x v="9"/>
    <x v="7"/>
    <x v="4"/>
    <x v="3"/>
    <n v="2"/>
    <n v="30093"/>
    <d v="2026-04-19T00:00:00"/>
    <n v="4"/>
    <n v="19"/>
    <n v="2026"/>
    <x v="11"/>
    <s v="Q2"/>
    <x v="4"/>
  </r>
  <r>
    <s v="O107224"/>
    <x v="238"/>
    <x v="5"/>
    <x v="7"/>
    <x v="2"/>
    <x v="1"/>
    <n v="2"/>
    <n v="30057"/>
    <d v="2026-03-15T00:00:00"/>
    <n v="3"/>
    <n v="15"/>
    <n v="2026"/>
    <x v="5"/>
    <s v="Q1"/>
    <x v="2"/>
  </r>
  <r>
    <s v="O106311"/>
    <x v="155"/>
    <x v="6"/>
    <x v="7"/>
    <x v="3"/>
    <x v="2"/>
    <n v="2"/>
    <n v="30012"/>
    <d v="2026-01-19T00:00:00"/>
    <n v="1"/>
    <n v="19"/>
    <n v="2026"/>
    <x v="6"/>
    <s v="Q1"/>
    <x v="3"/>
  </r>
  <r>
    <s v="O106610"/>
    <x v="159"/>
    <x v="9"/>
    <x v="7"/>
    <x v="4"/>
    <x v="0"/>
    <n v="2"/>
    <n v="29959"/>
    <d v="2026-06-02T00:00:00"/>
    <n v="6"/>
    <n v="2"/>
    <n v="2026"/>
    <x v="2"/>
    <s v="Q2"/>
    <x v="4"/>
  </r>
  <r>
    <s v="O103578"/>
    <x v="378"/>
    <x v="0"/>
    <x v="6"/>
    <x v="4"/>
    <x v="1"/>
    <n v="1"/>
    <n v="29959"/>
    <d v="2025-06-08T00:00:00"/>
    <n v="6"/>
    <n v="8"/>
    <n v="2025"/>
    <x v="2"/>
    <m/>
    <x v="4"/>
  </r>
  <r>
    <s v="O107625"/>
    <x v="753"/>
    <x v="10"/>
    <x v="6"/>
    <x v="0"/>
    <x v="2"/>
    <n v="1"/>
    <n v="29909"/>
    <d v="2026-09-04T00:00:00"/>
    <n v="9"/>
    <n v="4"/>
    <n v="2026"/>
    <x v="1"/>
    <s v="Q3"/>
    <x v="0"/>
  </r>
  <r>
    <s v="O103231"/>
    <x v="239"/>
    <x v="10"/>
    <x v="6"/>
    <x v="0"/>
    <x v="2"/>
    <n v="1"/>
    <n v="29817"/>
    <d v="2025-07-16T00:00:00"/>
    <n v="7"/>
    <n v="16"/>
    <n v="2025"/>
    <x v="10"/>
    <s v="Q3"/>
    <x v="0"/>
  </r>
  <r>
    <s v="O109595"/>
    <x v="535"/>
    <x v="10"/>
    <x v="7"/>
    <x v="1"/>
    <x v="2"/>
    <n v="2"/>
    <n v="29807"/>
    <d v="2026-06-08T00:00:00"/>
    <n v="6"/>
    <n v="8"/>
    <n v="2026"/>
    <x v="2"/>
    <s v="Q2"/>
    <x v="1"/>
  </r>
  <r>
    <s v="O102712"/>
    <x v="132"/>
    <x v="0"/>
    <x v="6"/>
    <x v="1"/>
    <x v="1"/>
    <n v="1"/>
    <n v="29788"/>
    <d v="2025-06-14T00:00:00"/>
    <n v="6"/>
    <n v="14"/>
    <n v="2025"/>
    <x v="2"/>
    <s v="Q2"/>
    <x v="1"/>
  </r>
  <r>
    <s v="O104779"/>
    <x v="723"/>
    <x v="9"/>
    <x v="7"/>
    <x v="0"/>
    <x v="3"/>
    <n v="2"/>
    <n v="29734"/>
    <d v="2025-10-18T00:00:00"/>
    <n v="10"/>
    <n v="18"/>
    <n v="2025"/>
    <x v="9"/>
    <s v="Q4"/>
    <x v="0"/>
  </r>
  <r>
    <s v="O106992"/>
    <x v="346"/>
    <x v="3"/>
    <x v="7"/>
    <x v="2"/>
    <x v="0"/>
    <n v="2"/>
    <n v="29714"/>
    <d v="2026-01-03T00:00:00"/>
    <n v="1"/>
    <n v="3"/>
    <n v="2026"/>
    <x v="6"/>
    <m/>
    <x v="2"/>
  </r>
  <r>
    <s v="O106080"/>
    <x v="67"/>
    <x v="9"/>
    <x v="7"/>
    <x v="1"/>
    <x v="3"/>
    <n v="2"/>
    <n v="29710"/>
    <d v="2026-05-01T00:00:00"/>
    <n v="5"/>
    <n v="1"/>
    <n v="2026"/>
    <x v="3"/>
    <s v="Q2"/>
    <x v="1"/>
  </r>
  <r>
    <s v="O105354"/>
    <x v="632"/>
    <x v="0"/>
    <x v="6"/>
    <x v="4"/>
    <x v="1"/>
    <n v="1"/>
    <n v="29697"/>
    <d v="2025-11-22T00:00:00"/>
    <n v="11"/>
    <n v="22"/>
    <n v="2025"/>
    <x v="0"/>
    <s v="Q4"/>
    <x v="4"/>
  </r>
  <r>
    <s v="O107903"/>
    <x v="60"/>
    <x v="2"/>
    <x v="7"/>
    <x v="0"/>
    <x v="0"/>
    <n v="2"/>
    <n v="29693"/>
    <d v="2026-04-26T00:00:00"/>
    <n v="4"/>
    <n v="26"/>
    <n v="2026"/>
    <x v="11"/>
    <s v="Q2"/>
    <x v="0"/>
  </r>
  <r>
    <s v="O100897"/>
    <x v="788"/>
    <x v="0"/>
    <x v="7"/>
    <x v="3"/>
    <x v="1"/>
    <n v="2"/>
    <n v="29673"/>
    <d v="2025-02-24T00:00:00"/>
    <n v="2"/>
    <n v="24"/>
    <n v="2025"/>
    <x v="4"/>
    <s v="Q1"/>
    <x v="3"/>
  </r>
  <r>
    <s v="O105419"/>
    <x v="610"/>
    <x v="5"/>
    <x v="6"/>
    <x v="2"/>
    <x v="1"/>
    <n v="1"/>
    <n v="29629"/>
    <d v="2025-11-26T00:00:00"/>
    <n v="11"/>
    <n v="26"/>
    <n v="2025"/>
    <x v="0"/>
    <s v="Q4"/>
    <x v="2"/>
  </r>
  <r>
    <s v="O101174"/>
    <x v="81"/>
    <x v="4"/>
    <x v="7"/>
    <x v="0"/>
    <x v="2"/>
    <n v="-3"/>
    <n v="29625"/>
    <d v="2025-03-13T00:00:00"/>
    <n v="3"/>
    <n v="13"/>
    <n v="2025"/>
    <x v="5"/>
    <s v="Q1"/>
    <x v="0"/>
  </r>
  <r>
    <s v="O108608"/>
    <x v="407"/>
    <x v="0"/>
    <x v="7"/>
    <x v="3"/>
    <x v="1"/>
    <n v="2"/>
    <n v="29517"/>
    <d v="2026-07-06T00:00:00"/>
    <n v="7"/>
    <n v="6"/>
    <n v="2026"/>
    <x v="10"/>
    <s v="Q3"/>
    <x v="3"/>
  </r>
  <r>
    <s v="O102691"/>
    <x v="269"/>
    <x v="2"/>
    <x v="6"/>
    <x v="4"/>
    <x v="2"/>
    <n v="1"/>
    <n v="29503"/>
    <d v="2025-06-13T00:00:00"/>
    <n v="6"/>
    <n v="13"/>
    <n v="2025"/>
    <x v="2"/>
    <s v="Q2"/>
    <x v="4"/>
  </r>
  <r>
    <s v="O105701"/>
    <x v="490"/>
    <x v="5"/>
    <x v="7"/>
    <x v="1"/>
    <x v="0"/>
    <n v="2"/>
    <n v="29469"/>
    <d v="2025-12-13T00:00:00"/>
    <n v="12"/>
    <n v="13"/>
    <n v="2025"/>
    <x v="7"/>
    <s v="Q4"/>
    <x v="1"/>
  </r>
  <r>
    <s v="O106570"/>
    <x v="502"/>
    <x v="10"/>
    <x v="6"/>
    <x v="4"/>
    <x v="3"/>
    <n v="1"/>
    <n v="29405"/>
    <d v="2026-04-02T00:00:00"/>
    <n v="4"/>
    <n v="2"/>
    <n v="2026"/>
    <x v="11"/>
    <s v="Q2"/>
    <x v="4"/>
  </r>
  <r>
    <s v="O100142"/>
    <x v="672"/>
    <x v="5"/>
    <x v="7"/>
    <x v="1"/>
    <x v="1"/>
    <n v="2"/>
    <n v="29377"/>
    <d v="2025-09-01T00:00:00"/>
    <n v="9"/>
    <n v="1"/>
    <n v="2025"/>
    <x v="1"/>
    <s v="Q3"/>
    <x v="1"/>
  </r>
  <r>
    <s v="O107964"/>
    <x v="650"/>
    <x v="9"/>
    <x v="6"/>
    <x v="1"/>
    <x v="3"/>
    <n v="1"/>
    <n v="29365"/>
    <d v="2026-04-29T00:00:00"/>
    <n v="4"/>
    <n v="29"/>
    <n v="2026"/>
    <x v="11"/>
    <s v="Q2"/>
    <x v="1"/>
  </r>
  <r>
    <s v="O108498"/>
    <x v="210"/>
    <x v="1"/>
    <x v="6"/>
    <x v="3"/>
    <x v="3"/>
    <n v="1"/>
    <n v="29359"/>
    <d v="2026-01-06T00:00:00"/>
    <n v="1"/>
    <n v="6"/>
    <n v="2026"/>
    <x v="6"/>
    <s v="Q1"/>
    <x v="3"/>
  </r>
  <r>
    <s v="O101348"/>
    <x v="583"/>
    <x v="0"/>
    <x v="7"/>
    <x v="1"/>
    <x v="2"/>
    <n v="2"/>
    <n v="29317"/>
    <d v="2025-03-23T00:00:00"/>
    <n v="3"/>
    <n v="23"/>
    <n v="2025"/>
    <x v="5"/>
    <s v="Q1"/>
    <x v="1"/>
  </r>
  <r>
    <s v="O111260"/>
    <x v="683"/>
    <x v="1"/>
    <x v="7"/>
    <x v="4"/>
    <x v="2"/>
    <n v="2"/>
    <n v="29268"/>
    <d v="2026-11-16T00:00:00"/>
    <n v="11"/>
    <n v="16"/>
    <n v="2026"/>
    <x v="0"/>
    <s v="Q4"/>
    <x v="4"/>
  </r>
  <r>
    <s v="O104221"/>
    <x v="528"/>
    <x v="8"/>
    <x v="7"/>
    <x v="2"/>
    <x v="3"/>
    <n v="2"/>
    <n v="29248"/>
    <d v="2025-09-14T00:00:00"/>
    <n v="9"/>
    <n v="14"/>
    <n v="2025"/>
    <x v="1"/>
    <s v="Q3"/>
    <x v="2"/>
  </r>
  <r>
    <s v="O110445"/>
    <x v="83"/>
    <x v="10"/>
    <x v="7"/>
    <x v="4"/>
    <x v="3"/>
    <n v="2"/>
    <n v="29246"/>
    <d v="2026-09-27T00:00:00"/>
    <n v="9"/>
    <n v="27"/>
    <n v="2026"/>
    <x v="1"/>
    <s v="Q3"/>
    <x v="4"/>
  </r>
  <r>
    <s v="O100048"/>
    <x v="116"/>
    <x v="6"/>
    <x v="6"/>
    <x v="3"/>
    <x v="2"/>
    <n v="1"/>
    <n v="29220"/>
    <d v="2025-03-01T00:00:00"/>
    <n v="3"/>
    <n v="1"/>
    <n v="2025"/>
    <x v="5"/>
    <s v="Q1"/>
    <x v="3"/>
  </r>
  <r>
    <s v="O103864"/>
    <x v="216"/>
    <x v="1"/>
    <x v="7"/>
    <x v="1"/>
    <x v="1"/>
    <n v="2"/>
    <n v="29204"/>
    <d v="2025-08-23T00:00:00"/>
    <n v="8"/>
    <n v="23"/>
    <n v="2025"/>
    <x v="8"/>
    <s v="Q3"/>
    <x v="1"/>
  </r>
  <r>
    <s v="O102867"/>
    <x v="776"/>
    <x v="5"/>
    <x v="6"/>
    <x v="4"/>
    <x v="2"/>
    <n v="1"/>
    <n v="29199"/>
    <d v="2025-06-24T00:00:00"/>
    <n v="6"/>
    <n v="24"/>
    <n v="2025"/>
    <x v="2"/>
    <s v="Q2"/>
    <x v="4"/>
  </r>
  <r>
    <s v="O107386"/>
    <x v="761"/>
    <x v="6"/>
    <x v="7"/>
    <x v="2"/>
    <x v="2"/>
    <n v="2"/>
    <n v="29087"/>
    <d v="2026-03-25T00:00:00"/>
    <n v="3"/>
    <n v="25"/>
    <n v="2026"/>
    <x v="5"/>
    <s v="Q1"/>
    <x v="2"/>
  </r>
  <r>
    <s v="O102623"/>
    <x v="13"/>
    <x v="2"/>
    <x v="6"/>
    <x v="1"/>
    <x v="2"/>
    <n v="1"/>
    <n v="29061"/>
    <d v="2025-09-06T00:00:00"/>
    <n v="9"/>
    <n v="6"/>
    <n v="2025"/>
    <x v="1"/>
    <s v="Q3"/>
    <x v="1"/>
  </r>
  <r>
    <s v="O102526"/>
    <x v="150"/>
    <x v="1"/>
    <x v="7"/>
    <x v="1"/>
    <x v="3"/>
    <n v="2"/>
    <n v="29041"/>
    <d v="2025-03-06T00:00:00"/>
    <n v="3"/>
    <n v="6"/>
    <n v="2025"/>
    <x v="5"/>
    <s v="Q1"/>
    <x v="1"/>
  </r>
  <r>
    <s v="O104392"/>
    <x v="188"/>
    <x v="10"/>
    <x v="6"/>
    <x v="1"/>
    <x v="1"/>
    <n v="1"/>
    <n v="29018"/>
    <d v="2025-09-24T00:00:00"/>
    <n v="9"/>
    <n v="24"/>
    <n v="2025"/>
    <x v="1"/>
    <s v="Q3"/>
    <x v="1"/>
  </r>
  <r>
    <s v="O111038"/>
    <x v="770"/>
    <x v="3"/>
    <x v="7"/>
    <x v="4"/>
    <x v="1"/>
    <n v="2"/>
    <n v="29009"/>
    <d v="2026-02-11T00:00:00"/>
    <n v="2"/>
    <n v="11"/>
    <n v="2026"/>
    <x v="4"/>
    <s v="Q1"/>
    <x v="4"/>
  </r>
  <r>
    <s v="O107207"/>
    <x v="421"/>
    <x v="1"/>
    <x v="7"/>
    <x v="4"/>
    <x v="0"/>
    <n v="2"/>
    <n v="28971"/>
    <d v="2026-03-14T00:00:00"/>
    <n v="3"/>
    <n v="14"/>
    <n v="2026"/>
    <x v="5"/>
    <s v="Q1"/>
    <x v="4"/>
  </r>
  <r>
    <s v="O102036"/>
    <x v="327"/>
    <x v="3"/>
    <x v="7"/>
    <x v="0"/>
    <x v="0"/>
    <n v="2"/>
    <n v="28932"/>
    <d v="2025-04-05T00:00:00"/>
    <n v="4"/>
    <n v="5"/>
    <n v="2025"/>
    <x v="11"/>
    <s v="Q2"/>
    <x v="0"/>
  </r>
  <r>
    <s v="O111597"/>
    <x v="366"/>
    <x v="10"/>
    <x v="6"/>
    <x v="3"/>
    <x v="2"/>
    <n v="1"/>
    <n v="28884"/>
    <d v="2026-06-12T00:00:00"/>
    <n v="6"/>
    <n v="12"/>
    <n v="2026"/>
    <x v="2"/>
    <s v="Q2"/>
    <x v="3"/>
  </r>
  <r>
    <s v="O103195"/>
    <x v="781"/>
    <x v="6"/>
    <x v="7"/>
    <x v="0"/>
    <x v="2"/>
    <n v="2"/>
    <n v="28830"/>
    <d v="2025-07-14T00:00:00"/>
    <n v="7"/>
    <n v="14"/>
    <n v="2025"/>
    <x v="10"/>
    <s v="Q3"/>
    <x v="0"/>
  </r>
  <r>
    <s v="O104502"/>
    <x v="560"/>
    <x v="8"/>
    <x v="6"/>
    <x v="2"/>
    <x v="1"/>
    <n v="1"/>
    <n v="28826"/>
    <d v="2025-01-10T00:00:00"/>
    <n v="1"/>
    <n v="10"/>
    <n v="2025"/>
    <x v="6"/>
    <s v="Q1"/>
    <x v="2"/>
  </r>
  <r>
    <s v="O108398"/>
    <x v="491"/>
    <x v="1"/>
    <x v="6"/>
    <x v="3"/>
    <x v="1"/>
    <n v="1"/>
    <n v="28725"/>
    <d v="2026-05-26T00:00:00"/>
    <n v="5"/>
    <n v="26"/>
    <n v="2026"/>
    <x v="3"/>
    <m/>
    <x v="3"/>
  </r>
  <r>
    <s v="O108244"/>
    <x v="57"/>
    <x v="6"/>
    <x v="7"/>
    <x v="2"/>
    <x v="0"/>
    <n v="2"/>
    <n v="28699"/>
    <d v="2026-05-16T00:00:00"/>
    <n v="5"/>
    <n v="16"/>
    <n v="2026"/>
    <x v="3"/>
    <s v="Q2"/>
    <x v="2"/>
  </r>
  <r>
    <s v="O111293"/>
    <x v="494"/>
    <x v="0"/>
    <x v="6"/>
    <x v="0"/>
    <x v="2"/>
    <n v="1"/>
    <n v="28691"/>
    <d v="2026-11-18T00:00:00"/>
    <n v="11"/>
    <n v="18"/>
    <n v="2026"/>
    <x v="0"/>
    <s v="Q4"/>
    <x v="0"/>
  </r>
  <r>
    <s v="O105418"/>
    <x v="794"/>
    <x v="4"/>
    <x v="7"/>
    <x v="0"/>
    <x v="0"/>
    <n v="2"/>
    <n v="28661"/>
    <d v="2025-11-26T00:00:00"/>
    <n v="11"/>
    <n v="26"/>
    <n v="2025"/>
    <x v="0"/>
    <s v="Q4"/>
    <x v="0"/>
  </r>
  <r>
    <s v="O101355"/>
    <x v="736"/>
    <x v="0"/>
    <x v="6"/>
    <x v="0"/>
    <x v="0"/>
    <n v="1"/>
    <n v="28656"/>
    <d v="2025-03-24T00:00:00"/>
    <n v="3"/>
    <n v="24"/>
    <n v="2025"/>
    <x v="5"/>
    <s v="Q1"/>
    <x v="0"/>
  </r>
  <r>
    <s v="O109571"/>
    <x v="356"/>
    <x v="4"/>
    <x v="7"/>
    <x v="0"/>
    <x v="0"/>
    <n v="2"/>
    <n v="28538"/>
    <d v="2026-05-08T00:00:00"/>
    <n v="5"/>
    <n v="8"/>
    <n v="2026"/>
    <x v="3"/>
    <m/>
    <x v="0"/>
  </r>
  <r>
    <s v="O110447"/>
    <x v="2"/>
    <x v="9"/>
    <x v="7"/>
    <x v="3"/>
    <x v="2"/>
    <n v="2"/>
    <n v="28339"/>
    <d v="2026-09-27T00:00:00"/>
    <n v="9"/>
    <n v="27"/>
    <n v="2026"/>
    <x v="1"/>
    <s v="Q3"/>
    <x v="3"/>
  </r>
  <r>
    <s v="O110782"/>
    <x v="718"/>
    <x v="9"/>
    <x v="6"/>
    <x v="1"/>
    <x v="3"/>
    <n v="1"/>
    <n v="28336"/>
    <d v="2026-10-18T00:00:00"/>
    <n v="10"/>
    <n v="18"/>
    <n v="2026"/>
    <x v="9"/>
    <s v="Q4"/>
    <x v="1"/>
  </r>
  <r>
    <s v="O107644"/>
    <x v="112"/>
    <x v="8"/>
    <x v="7"/>
    <x v="1"/>
    <x v="2"/>
    <n v="2"/>
    <n v="28335"/>
    <d v="2026-10-04T00:00:00"/>
    <n v="10"/>
    <n v="4"/>
    <n v="2026"/>
    <x v="9"/>
    <s v="Q4"/>
    <x v="1"/>
  </r>
  <r>
    <s v="O106953"/>
    <x v="502"/>
    <x v="3"/>
    <x v="6"/>
    <x v="0"/>
    <x v="3"/>
    <n v="1"/>
    <n v="28321"/>
    <d v="2026-02-27T00:00:00"/>
    <n v="2"/>
    <n v="27"/>
    <n v="2026"/>
    <x v="4"/>
    <s v="Q1"/>
    <x v="0"/>
  </r>
  <r>
    <s v="O111457"/>
    <x v="393"/>
    <x v="8"/>
    <x v="6"/>
    <x v="3"/>
    <x v="3"/>
    <n v="1"/>
    <n v="28300"/>
    <d v="2026-11-28T00:00:00"/>
    <n v="11"/>
    <n v="28"/>
    <n v="2026"/>
    <x v="0"/>
    <s v="Q4"/>
    <x v="3"/>
  </r>
  <r>
    <s v="O110456"/>
    <x v="384"/>
    <x v="1"/>
    <x v="6"/>
    <x v="3"/>
    <x v="1"/>
    <n v="1"/>
    <n v="28204"/>
    <d v="2026-09-28T00:00:00"/>
    <n v="9"/>
    <n v="28"/>
    <n v="2026"/>
    <x v="1"/>
    <s v="Q3"/>
    <x v="3"/>
  </r>
  <r>
    <s v="O107882"/>
    <x v="112"/>
    <x v="2"/>
    <x v="6"/>
    <x v="0"/>
    <x v="1"/>
    <n v="1"/>
    <n v="28185"/>
    <d v="2026-04-24T00:00:00"/>
    <n v="4"/>
    <n v="24"/>
    <n v="2026"/>
    <x v="11"/>
    <s v="Q2"/>
    <x v="0"/>
  </r>
  <r>
    <s v="O105107"/>
    <x v="645"/>
    <x v="2"/>
    <x v="7"/>
    <x v="3"/>
    <x v="3"/>
    <n v="2"/>
    <n v="28171"/>
    <d v="2025-07-11T00:00:00"/>
    <n v="7"/>
    <n v="11"/>
    <n v="2025"/>
    <x v="10"/>
    <s v="Q3"/>
    <x v="3"/>
  </r>
  <r>
    <s v="O107548"/>
    <x v="233"/>
    <x v="8"/>
    <x v="7"/>
    <x v="4"/>
    <x v="2"/>
    <n v="2"/>
    <n v="28169"/>
    <d v="2026-04-04T00:00:00"/>
    <n v="4"/>
    <n v="4"/>
    <n v="2026"/>
    <x v="11"/>
    <s v="Q2"/>
    <x v="4"/>
  </r>
  <r>
    <s v="O108166"/>
    <x v="109"/>
    <x v="1"/>
    <x v="7"/>
    <x v="1"/>
    <x v="0"/>
    <n v="2"/>
    <n v="28069"/>
    <d v="2026-12-05T00:00:00"/>
    <n v="12"/>
    <n v="5"/>
    <n v="2026"/>
    <x v="7"/>
    <s v="Q4"/>
    <x v="1"/>
  </r>
  <r>
    <s v="O108232"/>
    <x v="265"/>
    <x v="3"/>
    <x v="6"/>
    <x v="9"/>
    <x v="3"/>
    <n v="1"/>
    <n v="27995"/>
    <d v="2026-05-16T00:00:00"/>
    <n v="5"/>
    <n v="16"/>
    <n v="2026"/>
    <x v="3"/>
    <s v="Q2"/>
    <x v="0"/>
  </r>
  <r>
    <s v="O110346"/>
    <x v="591"/>
    <x v="9"/>
    <x v="6"/>
    <x v="4"/>
    <x v="1"/>
    <n v="1"/>
    <n v="27969"/>
    <d v="2026-09-21T00:00:00"/>
    <n v="9"/>
    <n v="21"/>
    <n v="2026"/>
    <x v="1"/>
    <s v="Q3"/>
    <x v="4"/>
  </r>
  <r>
    <s v="O108664"/>
    <x v="502"/>
    <x v="8"/>
    <x v="6"/>
    <x v="4"/>
    <x v="2"/>
    <n v="1"/>
    <n v="27964"/>
    <d v="2026-11-06T00:00:00"/>
    <n v="11"/>
    <n v="6"/>
    <n v="2026"/>
    <x v="0"/>
    <s v="Q4"/>
    <x v="4"/>
  </r>
  <r>
    <s v="O103467"/>
    <x v="663"/>
    <x v="4"/>
    <x v="6"/>
    <x v="1"/>
    <x v="3"/>
    <n v="1"/>
    <n v="27940"/>
    <d v="2025-07-30T00:00:00"/>
    <n v="7"/>
    <n v="30"/>
    <n v="2025"/>
    <x v="10"/>
    <s v="Q3"/>
    <x v="1"/>
  </r>
  <r>
    <s v="O106660"/>
    <x v="129"/>
    <x v="10"/>
    <x v="7"/>
    <x v="4"/>
    <x v="2"/>
    <n v="2"/>
    <n v="27879"/>
    <d v="2026-09-02T00:00:00"/>
    <n v="9"/>
    <n v="2"/>
    <n v="2026"/>
    <x v="1"/>
    <s v="Q3"/>
    <x v="4"/>
  </r>
  <r>
    <s v="O107465"/>
    <x v="409"/>
    <x v="0"/>
    <x v="7"/>
    <x v="3"/>
    <x v="1"/>
    <n v="2"/>
    <n v="27838"/>
    <d v="2026-03-30T00:00:00"/>
    <n v="3"/>
    <n v="30"/>
    <n v="2026"/>
    <x v="5"/>
    <s v="Q1"/>
    <x v="3"/>
  </r>
  <r>
    <s v="O106579"/>
    <x v="387"/>
    <x v="2"/>
    <x v="7"/>
    <x v="2"/>
    <x v="2"/>
    <n v="2"/>
    <n v="27815"/>
    <d v="2026-04-02T00:00:00"/>
    <n v="4"/>
    <n v="2"/>
    <n v="2026"/>
    <x v="11"/>
    <s v="Q2"/>
    <x v="2"/>
  </r>
  <r>
    <s v="O105121"/>
    <x v="636"/>
    <x v="8"/>
    <x v="7"/>
    <x v="0"/>
    <x v="2"/>
    <n v="2"/>
    <n v="27694"/>
    <d v="2025-08-11T00:00:00"/>
    <n v="8"/>
    <n v="11"/>
    <n v="2025"/>
    <x v="8"/>
    <s v="Q3"/>
    <x v="0"/>
  </r>
  <r>
    <s v="O108115"/>
    <x v="627"/>
    <x v="9"/>
    <x v="7"/>
    <x v="4"/>
    <x v="2"/>
    <n v="2"/>
    <n v="27653"/>
    <d v="2026-08-05T00:00:00"/>
    <n v="8"/>
    <n v="5"/>
    <n v="2026"/>
    <x v="8"/>
    <s v="Q3"/>
    <x v="4"/>
  </r>
  <r>
    <s v="O103734"/>
    <x v="615"/>
    <x v="0"/>
    <x v="6"/>
    <x v="4"/>
    <x v="0"/>
    <n v="1"/>
    <n v="27638"/>
    <d v="2025-08-15T00:00:00"/>
    <n v="8"/>
    <n v="15"/>
    <n v="2025"/>
    <x v="8"/>
    <s v="Q3"/>
    <x v="4"/>
  </r>
  <r>
    <s v="O110481"/>
    <x v="330"/>
    <x v="4"/>
    <x v="7"/>
    <x v="2"/>
    <x v="3"/>
    <n v="2"/>
    <n v="27627"/>
    <d v="2026-09-29T00:00:00"/>
    <n v="9"/>
    <n v="29"/>
    <n v="2026"/>
    <x v="1"/>
    <s v="Q3"/>
    <x v="2"/>
  </r>
  <r>
    <s v="O105080"/>
    <x v="531"/>
    <x v="4"/>
    <x v="6"/>
    <x v="4"/>
    <x v="3"/>
    <n v="1"/>
    <n v="27623"/>
    <d v="2025-05-11T00:00:00"/>
    <n v="5"/>
    <n v="11"/>
    <n v="2025"/>
    <x v="3"/>
    <s v="Q2"/>
    <x v="4"/>
  </r>
  <r>
    <s v="O100652"/>
    <x v="567"/>
    <x v="2"/>
    <x v="6"/>
    <x v="2"/>
    <x v="0"/>
    <n v="1"/>
    <n v="27617"/>
    <d v="2025-09-02T00:00:00"/>
    <n v="9"/>
    <n v="2"/>
    <n v="2025"/>
    <x v="1"/>
    <s v="Q3"/>
    <x v="2"/>
  </r>
  <r>
    <s v="O102017"/>
    <x v="19"/>
    <x v="9"/>
    <x v="7"/>
    <x v="2"/>
    <x v="2"/>
    <n v="2"/>
    <n v="27593"/>
    <d v="2025-03-05T00:00:00"/>
    <n v="3"/>
    <n v="5"/>
    <n v="2025"/>
    <x v="5"/>
    <s v="Q1"/>
    <x v="2"/>
  </r>
  <r>
    <s v="O103572"/>
    <x v="276"/>
    <x v="10"/>
    <x v="6"/>
    <x v="0"/>
    <x v="1"/>
    <n v="1"/>
    <n v="27563"/>
    <d v="2025-05-08T00:00:00"/>
    <n v="5"/>
    <n v="8"/>
    <n v="2025"/>
    <x v="3"/>
    <s v="Q2"/>
    <x v="0"/>
  </r>
  <r>
    <s v="O104927"/>
    <x v="615"/>
    <x v="4"/>
    <x v="6"/>
    <x v="4"/>
    <x v="2"/>
    <n v="1"/>
    <n v="27561"/>
    <d v="2025-10-27T00:00:00"/>
    <n v="10"/>
    <n v="27"/>
    <n v="2025"/>
    <x v="9"/>
    <s v="Q4"/>
    <x v="4"/>
  </r>
  <r>
    <s v="O111499"/>
    <x v="64"/>
    <x v="9"/>
    <x v="7"/>
    <x v="3"/>
    <x v="2"/>
    <n v="2"/>
    <n v="27559"/>
    <d v="2026-11-30T00:00:00"/>
    <n v="11"/>
    <n v="30"/>
    <n v="2026"/>
    <x v="0"/>
    <s v="Q4"/>
    <x v="3"/>
  </r>
  <r>
    <s v="O110161"/>
    <x v="170"/>
    <x v="3"/>
    <x v="6"/>
    <x v="3"/>
    <x v="2"/>
    <n v="1"/>
    <n v="27520"/>
    <d v="2026-10-09T00:00:00"/>
    <n v="10"/>
    <n v="9"/>
    <n v="2026"/>
    <x v="9"/>
    <s v="Q4"/>
    <x v="3"/>
  </r>
  <r>
    <s v="O103018"/>
    <x v="353"/>
    <x v="6"/>
    <x v="7"/>
    <x v="2"/>
    <x v="2"/>
    <n v="2"/>
    <n v="27498"/>
    <d v="2025-03-07T00:00:00"/>
    <n v="3"/>
    <n v="7"/>
    <n v="2025"/>
    <x v="5"/>
    <s v="Q1"/>
    <x v="2"/>
  </r>
  <r>
    <s v="O100232"/>
    <x v="685"/>
    <x v="10"/>
    <x v="6"/>
    <x v="4"/>
    <x v="1"/>
    <n v="1"/>
    <n v="27483"/>
    <d v="2025-01-15T00:00:00"/>
    <n v="1"/>
    <n v="15"/>
    <n v="2025"/>
    <x v="6"/>
    <s v="Q1"/>
    <x v="4"/>
  </r>
  <r>
    <s v="O100226"/>
    <x v="717"/>
    <x v="8"/>
    <x v="7"/>
    <x v="0"/>
    <x v="1"/>
    <n v="2"/>
    <n v="27466"/>
    <d v="2025-01-14T00:00:00"/>
    <n v="1"/>
    <n v="14"/>
    <n v="2025"/>
    <x v="6"/>
    <s v="Q1"/>
    <x v="0"/>
  </r>
  <r>
    <s v="O100024"/>
    <x v="600"/>
    <x v="5"/>
    <x v="7"/>
    <x v="0"/>
    <x v="0"/>
    <n v="2"/>
    <n v="27417"/>
    <d v="2025-02-01T00:00:00"/>
    <n v="2"/>
    <n v="1"/>
    <n v="2025"/>
    <x v="4"/>
    <s v="Q1"/>
    <x v="0"/>
  </r>
  <r>
    <s v="O105504"/>
    <x v="431"/>
    <x v="0"/>
    <x v="6"/>
    <x v="2"/>
    <x v="1"/>
    <n v="1"/>
    <n v="27407"/>
    <d v="2025-01-12T00:00:00"/>
    <n v="1"/>
    <n v="12"/>
    <n v="2025"/>
    <x v="6"/>
    <s v="Q1"/>
    <x v="2"/>
  </r>
  <r>
    <s v="O102574"/>
    <x v="661"/>
    <x v="9"/>
    <x v="6"/>
    <x v="1"/>
    <x v="1"/>
    <n v="1"/>
    <n v="27284"/>
    <d v="2025-06-06T00:00:00"/>
    <n v="6"/>
    <n v="6"/>
    <n v="2025"/>
    <x v="2"/>
    <s v="Q2"/>
    <x v="1"/>
  </r>
  <r>
    <s v="O105240"/>
    <x v="28"/>
    <x v="3"/>
    <x v="7"/>
    <x v="3"/>
    <x v="1"/>
    <n v="2"/>
    <n v="27254"/>
    <d v="2025-11-15T00:00:00"/>
    <n v="11"/>
    <n v="15"/>
    <n v="2025"/>
    <x v="0"/>
    <s v="Q4"/>
    <x v="3"/>
  </r>
  <r>
    <s v="O106266"/>
    <x v="388"/>
    <x v="5"/>
    <x v="6"/>
    <x v="4"/>
    <x v="0"/>
    <n v="1"/>
    <n v="27165"/>
    <d v="2026-01-16T00:00:00"/>
    <n v="1"/>
    <n v="16"/>
    <n v="2026"/>
    <x v="6"/>
    <s v="Q1"/>
    <x v="4"/>
  </r>
  <r>
    <s v="O102710"/>
    <x v="644"/>
    <x v="3"/>
    <x v="7"/>
    <x v="1"/>
    <x v="1"/>
    <n v="2"/>
    <n v="27110"/>
    <d v="2025-06-14T00:00:00"/>
    <n v="6"/>
    <n v="14"/>
    <n v="2025"/>
    <x v="2"/>
    <s v="Q2"/>
    <x v="1"/>
  </r>
  <r>
    <s v="O110069"/>
    <x v="640"/>
    <x v="8"/>
    <x v="6"/>
    <x v="3"/>
    <x v="1"/>
    <n v="1"/>
    <n v="27065"/>
    <d v="2026-04-09T00:00:00"/>
    <n v="4"/>
    <n v="9"/>
    <n v="2026"/>
    <x v="11"/>
    <s v="Q2"/>
    <x v="3"/>
  </r>
  <r>
    <s v="O106547"/>
    <x v="500"/>
    <x v="9"/>
    <x v="6"/>
    <x v="4"/>
    <x v="3"/>
    <n v="1"/>
    <n v="27055"/>
    <d v="2026-02-02T00:00:00"/>
    <n v="2"/>
    <n v="2"/>
    <n v="2026"/>
    <x v="4"/>
    <s v="Q1"/>
    <x v="4"/>
  </r>
  <r>
    <s v="O101256"/>
    <x v="565"/>
    <x v="2"/>
    <x v="6"/>
    <x v="4"/>
    <x v="2"/>
    <n v="1"/>
    <n v="27042"/>
    <d v="2025-03-18T00:00:00"/>
    <n v="3"/>
    <n v="18"/>
    <n v="2025"/>
    <x v="5"/>
    <s v="Q1"/>
    <x v="4"/>
  </r>
  <r>
    <s v="O103349"/>
    <x v="789"/>
    <x v="1"/>
    <x v="7"/>
    <x v="0"/>
    <x v="0"/>
    <n v="2"/>
    <n v="27039"/>
    <d v="2025-07-23T00:00:00"/>
    <n v="7"/>
    <n v="23"/>
    <n v="2025"/>
    <x v="10"/>
    <s v="Q3"/>
    <x v="0"/>
  </r>
  <r>
    <s v="O111483"/>
    <x v="772"/>
    <x v="2"/>
    <x v="6"/>
    <x v="2"/>
    <x v="1"/>
    <n v="1"/>
    <n v="26976"/>
    <d v="2026-11-29T00:00:00"/>
    <n v="11"/>
    <n v="29"/>
    <n v="2026"/>
    <x v="0"/>
    <s v="Q4"/>
    <x v="2"/>
  </r>
  <r>
    <s v="O111645"/>
    <x v="341"/>
    <x v="9"/>
    <x v="7"/>
    <x v="4"/>
    <x v="1"/>
    <n v="2"/>
    <n v="26931"/>
    <d v="2026-09-12T00:00:00"/>
    <n v="9"/>
    <n v="12"/>
    <n v="2026"/>
    <x v="1"/>
    <m/>
    <x v="4"/>
  </r>
  <r>
    <s v="O109403"/>
    <x v="766"/>
    <x v="3"/>
    <x v="6"/>
    <x v="1"/>
    <x v="0"/>
    <n v="1"/>
    <n v="26891"/>
    <d v="2026-07-26T00:00:00"/>
    <n v="7"/>
    <n v="26"/>
    <n v="2026"/>
    <x v="10"/>
    <s v="Q3"/>
    <x v="1"/>
  </r>
  <r>
    <s v="O102177"/>
    <x v="246"/>
    <x v="0"/>
    <x v="7"/>
    <x v="3"/>
    <x v="2"/>
    <n v="2"/>
    <n v="26882"/>
    <d v="2025-05-13T00:00:00"/>
    <n v="5"/>
    <n v="13"/>
    <n v="2025"/>
    <x v="3"/>
    <s v="Q2"/>
    <x v="3"/>
  </r>
  <r>
    <s v="O105893"/>
    <x v="753"/>
    <x v="4"/>
    <x v="6"/>
    <x v="4"/>
    <x v="1"/>
    <n v="1"/>
    <n v="26878"/>
    <d v="2025-12-24T00:00:00"/>
    <n v="12"/>
    <n v="24"/>
    <n v="2025"/>
    <x v="7"/>
    <s v="Q4"/>
    <x v="4"/>
  </r>
  <r>
    <s v="O104459"/>
    <x v="102"/>
    <x v="8"/>
    <x v="7"/>
    <x v="0"/>
    <x v="0"/>
    <n v="2"/>
    <n v="26824"/>
    <d v="2025-09-28T00:00:00"/>
    <n v="9"/>
    <n v="28"/>
    <n v="2025"/>
    <x v="1"/>
    <s v="Q3"/>
    <x v="0"/>
  </r>
  <r>
    <s v="O106163"/>
    <x v="477"/>
    <x v="10"/>
    <x v="7"/>
    <x v="3"/>
    <x v="1"/>
    <n v="2"/>
    <n v="26807"/>
    <d v="2026-10-01T00:00:00"/>
    <n v="10"/>
    <n v="1"/>
    <n v="2026"/>
    <x v="9"/>
    <s v="Q4"/>
    <x v="3"/>
  </r>
  <r>
    <s v="O103599"/>
    <x v="543"/>
    <x v="5"/>
    <x v="7"/>
    <x v="0"/>
    <x v="1"/>
    <n v="2"/>
    <n v="26698"/>
    <d v="2025-07-08T00:00:00"/>
    <n v="7"/>
    <n v="8"/>
    <n v="2025"/>
    <x v="10"/>
    <s v="Q3"/>
    <x v="0"/>
  </r>
  <r>
    <s v="O102584"/>
    <x v="701"/>
    <x v="8"/>
    <x v="6"/>
    <x v="3"/>
    <x v="2"/>
    <n v="1"/>
    <n v="26680"/>
    <d v="2025-06-06T00:00:00"/>
    <n v="6"/>
    <n v="6"/>
    <n v="2025"/>
    <x v="2"/>
    <s v="Q2"/>
    <x v="3"/>
  </r>
  <r>
    <s v="O109506"/>
    <x v="278"/>
    <x v="3"/>
    <x v="6"/>
    <x v="3"/>
    <x v="0"/>
    <n v="1"/>
    <n v="26562"/>
    <d v="2026-01-08T00:00:00"/>
    <n v="1"/>
    <n v="8"/>
    <n v="2026"/>
    <x v="6"/>
    <s v="Q1"/>
    <x v="3"/>
  </r>
  <r>
    <s v="O107926"/>
    <x v="634"/>
    <x v="5"/>
    <x v="7"/>
    <x v="4"/>
    <x v="0"/>
    <n v="2"/>
    <n v="26551"/>
    <d v="2026-04-27T00:00:00"/>
    <n v="4"/>
    <n v="27"/>
    <n v="2026"/>
    <x v="11"/>
    <s v="Q2"/>
    <x v="4"/>
  </r>
  <r>
    <s v="O110749"/>
    <x v="715"/>
    <x v="8"/>
    <x v="6"/>
    <x v="4"/>
    <x v="2"/>
    <n v="1"/>
    <n v="26466"/>
    <d v="2026-10-15T00:00:00"/>
    <n v="10"/>
    <n v="15"/>
    <n v="2026"/>
    <x v="9"/>
    <s v="Q4"/>
    <x v="4"/>
  </r>
  <r>
    <s v="O108834"/>
    <x v="287"/>
    <x v="3"/>
    <x v="6"/>
    <x v="2"/>
    <x v="1"/>
    <n v="1"/>
    <n v="26433"/>
    <d v="2026-06-21T00:00:00"/>
    <n v="6"/>
    <n v="21"/>
    <n v="2026"/>
    <x v="2"/>
    <s v="Q2"/>
    <x v="2"/>
  </r>
  <r>
    <s v="O111881"/>
    <x v="508"/>
    <x v="5"/>
    <x v="6"/>
    <x v="0"/>
    <x v="3"/>
    <n v="1"/>
    <n v="26389"/>
    <d v="2026-12-23T00:00:00"/>
    <n v="12"/>
    <n v="23"/>
    <n v="2026"/>
    <x v="7"/>
    <s v="Q4"/>
    <x v="0"/>
  </r>
  <r>
    <s v="O111985"/>
    <x v="348"/>
    <x v="4"/>
    <x v="7"/>
    <x v="1"/>
    <x v="2"/>
    <n v="2"/>
    <n v="26343"/>
    <d v="2026-12-30T00:00:00"/>
    <n v="12"/>
    <n v="30"/>
    <n v="2026"/>
    <x v="7"/>
    <s v="Q4"/>
    <x v="1"/>
  </r>
  <r>
    <s v="O100495"/>
    <x v="145"/>
    <x v="4"/>
    <x v="6"/>
    <x v="1"/>
    <x v="2"/>
    <n v="1"/>
    <n v="26311"/>
    <d v="2025-01-31T00:00:00"/>
    <n v="1"/>
    <n v="31"/>
    <n v="2025"/>
    <x v="6"/>
    <m/>
    <x v="1"/>
  </r>
  <r>
    <s v="O110720"/>
    <x v="745"/>
    <x v="5"/>
    <x v="7"/>
    <x v="3"/>
    <x v="2"/>
    <n v="2"/>
    <n v="26305"/>
    <d v="2026-10-14T00:00:00"/>
    <n v="10"/>
    <n v="14"/>
    <n v="2026"/>
    <x v="9"/>
    <s v="Q4"/>
    <x v="3"/>
  </r>
  <r>
    <s v="O111987"/>
    <x v="570"/>
    <x v="8"/>
    <x v="7"/>
    <x v="4"/>
    <x v="2"/>
    <n v="2"/>
    <n v="26154"/>
    <d v="2026-12-30T00:00:00"/>
    <n v="12"/>
    <n v="30"/>
    <n v="2026"/>
    <x v="7"/>
    <s v="Q4"/>
    <x v="4"/>
  </r>
  <r>
    <s v="O103201"/>
    <x v="73"/>
    <x v="8"/>
    <x v="6"/>
    <x v="3"/>
    <x v="0"/>
    <n v="1"/>
    <n v="26149"/>
    <d v="2025-07-14T00:00:00"/>
    <n v="7"/>
    <n v="14"/>
    <n v="2025"/>
    <x v="10"/>
    <s v="Q3"/>
    <x v="3"/>
  </r>
  <r>
    <s v="O104822"/>
    <x v="427"/>
    <x v="0"/>
    <x v="7"/>
    <x v="0"/>
    <x v="2"/>
    <n v="2"/>
    <n v="26102"/>
    <d v="2025-10-20T00:00:00"/>
    <n v="10"/>
    <n v="20"/>
    <n v="2025"/>
    <x v="9"/>
    <s v="Q4"/>
    <x v="0"/>
  </r>
  <r>
    <s v="O102095"/>
    <x v="40"/>
    <x v="9"/>
    <x v="7"/>
    <x v="3"/>
    <x v="2"/>
    <n v="2"/>
    <n v="26037"/>
    <d v="2025-08-05T00:00:00"/>
    <n v="8"/>
    <n v="5"/>
    <n v="2025"/>
    <x v="8"/>
    <s v="Q3"/>
    <x v="3"/>
  </r>
  <r>
    <s v="O109241"/>
    <x v="359"/>
    <x v="8"/>
    <x v="7"/>
    <x v="4"/>
    <x v="1"/>
    <n v="2"/>
    <n v="26006"/>
    <d v="2026-07-16T00:00:00"/>
    <n v="7"/>
    <n v="16"/>
    <n v="2026"/>
    <x v="10"/>
    <s v="Q3"/>
    <x v="4"/>
  </r>
  <r>
    <s v="O109954"/>
    <x v="327"/>
    <x v="3"/>
    <x v="7"/>
    <x v="0"/>
    <x v="1"/>
    <n v="2"/>
    <n v="25987"/>
    <d v="2026-08-28T00:00:00"/>
    <n v="8"/>
    <n v="28"/>
    <n v="2026"/>
    <x v="8"/>
    <s v="Q3"/>
    <x v="0"/>
  </r>
  <r>
    <s v="O101534"/>
    <x v="417"/>
    <x v="0"/>
    <x v="7"/>
    <x v="2"/>
    <x v="0"/>
    <n v="2"/>
    <n v="25984"/>
    <d v="2025-04-04T00:00:00"/>
    <n v="4"/>
    <n v="4"/>
    <n v="2025"/>
    <x v="11"/>
    <s v="Q2"/>
    <x v="2"/>
  </r>
  <r>
    <s v="O107458"/>
    <x v="103"/>
    <x v="3"/>
    <x v="7"/>
    <x v="3"/>
    <x v="3"/>
    <n v="2"/>
    <n v="25944"/>
    <d v="2026-03-30T00:00:00"/>
    <n v="3"/>
    <n v="30"/>
    <n v="2026"/>
    <x v="5"/>
    <s v="Q1"/>
    <x v="3"/>
  </r>
  <r>
    <s v="O110855"/>
    <x v="409"/>
    <x v="5"/>
    <x v="7"/>
    <x v="4"/>
    <x v="3"/>
    <n v="2"/>
    <n v="25918"/>
    <d v="2026-10-22T00:00:00"/>
    <n v="10"/>
    <n v="22"/>
    <n v="2026"/>
    <x v="9"/>
    <s v="Q4"/>
    <x v="4"/>
  </r>
  <r>
    <s v="O109915"/>
    <x v="643"/>
    <x v="5"/>
    <x v="6"/>
    <x v="4"/>
    <x v="1"/>
    <n v="1"/>
    <n v="25867"/>
    <d v="2026-08-26T00:00:00"/>
    <n v="8"/>
    <n v="26"/>
    <n v="2026"/>
    <x v="8"/>
    <s v="Q3"/>
    <x v="4"/>
  </r>
  <r>
    <s v="O111647"/>
    <x v="480"/>
    <x v="9"/>
    <x v="7"/>
    <x v="1"/>
    <x v="0"/>
    <n v="2"/>
    <n v="25861"/>
    <d v="2026-09-12T00:00:00"/>
    <n v="9"/>
    <n v="12"/>
    <n v="2026"/>
    <x v="1"/>
    <s v="Q3"/>
    <x v="1"/>
  </r>
  <r>
    <s v="O104260"/>
    <x v="5"/>
    <x v="2"/>
    <x v="7"/>
    <x v="0"/>
    <x v="2"/>
    <n v="2"/>
    <n v="25860"/>
    <d v="2025-09-16T00:00:00"/>
    <n v="9"/>
    <n v="16"/>
    <n v="2025"/>
    <x v="1"/>
    <s v="Q3"/>
    <x v="0"/>
  </r>
  <r>
    <s v="O110506"/>
    <x v="445"/>
    <x v="10"/>
    <x v="6"/>
    <x v="4"/>
    <x v="0"/>
    <n v="1"/>
    <n v="25824"/>
    <d v="2026-01-10T00:00:00"/>
    <n v="1"/>
    <n v="10"/>
    <n v="2026"/>
    <x v="6"/>
    <s v="Q1"/>
    <x v="4"/>
  </r>
  <r>
    <s v="O106372"/>
    <x v="308"/>
    <x v="0"/>
    <x v="7"/>
    <x v="0"/>
    <x v="1"/>
    <n v="2"/>
    <n v="25822"/>
    <d v="2026-01-23T00:00:00"/>
    <n v="1"/>
    <n v="23"/>
    <n v="2026"/>
    <x v="6"/>
    <s v="Q1"/>
    <x v="0"/>
  </r>
  <r>
    <s v="O104786"/>
    <x v="442"/>
    <x v="6"/>
    <x v="7"/>
    <x v="0"/>
    <x v="3"/>
    <n v="2"/>
    <n v="25807"/>
    <d v="2025-10-18T00:00:00"/>
    <n v="10"/>
    <n v="18"/>
    <n v="2025"/>
    <x v="9"/>
    <s v="Q4"/>
    <x v="0"/>
  </r>
  <r>
    <s v="O100714"/>
    <x v="659"/>
    <x v="4"/>
    <x v="7"/>
    <x v="4"/>
    <x v="2"/>
    <n v="2"/>
    <n v="25736"/>
    <d v="2025-02-13T00:00:00"/>
    <n v="2"/>
    <n v="13"/>
    <n v="2025"/>
    <x v="4"/>
    <s v="Q1"/>
    <x v="4"/>
  </r>
  <r>
    <s v="O106596"/>
    <x v="318"/>
    <x v="5"/>
    <x v="7"/>
    <x v="4"/>
    <x v="0"/>
    <n v="2"/>
    <n v="25699"/>
    <d v="2026-05-02T00:00:00"/>
    <n v="5"/>
    <n v="2"/>
    <n v="2026"/>
    <x v="3"/>
    <s v="Q2"/>
    <x v="4"/>
  </r>
  <r>
    <s v="O109223"/>
    <x v="542"/>
    <x v="9"/>
    <x v="6"/>
    <x v="0"/>
    <x v="3"/>
    <n v="1"/>
    <n v="25669"/>
    <d v="2026-07-15T00:00:00"/>
    <n v="7"/>
    <n v="15"/>
    <n v="2026"/>
    <x v="10"/>
    <s v="Q3"/>
    <x v="0"/>
  </r>
  <r>
    <s v="O107945"/>
    <x v="460"/>
    <x v="8"/>
    <x v="7"/>
    <x v="0"/>
    <x v="1"/>
    <n v="2"/>
    <n v="25666"/>
    <d v="2026-04-28T00:00:00"/>
    <n v="4"/>
    <n v="28"/>
    <n v="2026"/>
    <x v="11"/>
    <s v="Q2"/>
    <x v="0"/>
  </r>
  <r>
    <s v="O105941"/>
    <x v="668"/>
    <x v="8"/>
    <x v="7"/>
    <x v="4"/>
    <x v="2"/>
    <n v="2"/>
    <n v="25584"/>
    <d v="2025-12-27T00:00:00"/>
    <n v="12"/>
    <n v="27"/>
    <n v="2025"/>
    <x v="7"/>
    <s v="Q4"/>
    <x v="4"/>
  </r>
  <r>
    <s v="O109953"/>
    <x v="739"/>
    <x v="10"/>
    <x v="7"/>
    <x v="2"/>
    <x v="0"/>
    <n v="2"/>
    <n v="25514"/>
    <d v="2026-08-28T00:00:00"/>
    <n v="8"/>
    <n v="28"/>
    <n v="2026"/>
    <x v="8"/>
    <s v="Q3"/>
    <x v="2"/>
  </r>
  <r>
    <s v="O101486"/>
    <x v="113"/>
    <x v="10"/>
    <x v="7"/>
    <x v="4"/>
    <x v="0"/>
    <n v="2"/>
    <n v="25513"/>
    <d v="2025-01-04T00:00:00"/>
    <n v="1"/>
    <n v="4"/>
    <n v="2025"/>
    <x v="6"/>
    <s v="Q1"/>
    <x v="4"/>
  </r>
  <r>
    <s v="O106871"/>
    <x v="246"/>
    <x v="6"/>
    <x v="6"/>
    <x v="3"/>
    <x v="3"/>
    <n v="1"/>
    <n v="25506"/>
    <d v="2026-02-22T00:00:00"/>
    <n v="2"/>
    <n v="22"/>
    <n v="2026"/>
    <x v="4"/>
    <s v="Q1"/>
    <x v="3"/>
  </r>
  <r>
    <s v="O101398"/>
    <x v="174"/>
    <x v="6"/>
    <x v="1"/>
    <x v="4"/>
    <x v="2"/>
    <n v="2"/>
    <n v="25411"/>
    <d v="2025-03-26T00:00:00"/>
    <n v="3"/>
    <n v="26"/>
    <n v="2025"/>
    <x v="5"/>
    <s v="Q1"/>
    <x v="4"/>
  </r>
  <r>
    <s v="O111049"/>
    <x v="579"/>
    <x v="5"/>
    <x v="7"/>
    <x v="4"/>
    <x v="2"/>
    <n v="2"/>
    <n v="25374"/>
    <d v="2026-03-11T00:00:00"/>
    <n v="3"/>
    <n v="11"/>
    <n v="2026"/>
    <x v="5"/>
    <s v="Q1"/>
    <x v="4"/>
  </r>
  <r>
    <s v="O111835"/>
    <x v="500"/>
    <x v="6"/>
    <x v="6"/>
    <x v="0"/>
    <x v="1"/>
    <n v="1"/>
    <n v="25341"/>
    <d v="2026-12-20T00:00:00"/>
    <n v="12"/>
    <n v="20"/>
    <n v="2026"/>
    <x v="7"/>
    <s v="Q4"/>
    <x v="0"/>
  </r>
  <r>
    <s v="O107842"/>
    <x v="319"/>
    <x v="4"/>
    <x v="6"/>
    <x v="1"/>
    <x v="3"/>
    <n v="1"/>
    <n v="25294"/>
    <d v="2026-04-22T00:00:00"/>
    <n v="4"/>
    <n v="22"/>
    <n v="2026"/>
    <x v="11"/>
    <s v="Q2"/>
    <x v="1"/>
  </r>
  <r>
    <s v="O104682"/>
    <x v="415"/>
    <x v="9"/>
    <x v="7"/>
    <x v="0"/>
    <x v="3"/>
    <n v="2"/>
    <n v="25147"/>
    <d v="2025-12-10T00:00:00"/>
    <n v="12"/>
    <n v="10"/>
    <n v="2025"/>
    <x v="7"/>
    <s v="Q4"/>
    <x v="0"/>
  </r>
  <r>
    <s v="O108108"/>
    <x v="379"/>
    <x v="8"/>
    <x v="6"/>
    <x v="1"/>
    <x v="3"/>
    <n v="1"/>
    <n v="24969"/>
    <d v="2026-08-05T00:00:00"/>
    <n v="8"/>
    <n v="5"/>
    <n v="2026"/>
    <x v="8"/>
    <s v="Q3"/>
    <x v="1"/>
  </r>
  <r>
    <s v="O102085"/>
    <x v="234"/>
    <x v="9"/>
    <x v="6"/>
    <x v="3"/>
    <x v="1"/>
    <n v="1"/>
    <n v="24962"/>
    <d v="2025-07-05T00:00:00"/>
    <n v="7"/>
    <n v="5"/>
    <n v="2025"/>
    <x v="10"/>
    <s v="Q3"/>
    <x v="3"/>
  </r>
  <r>
    <s v="O108993"/>
    <x v="200"/>
    <x v="9"/>
    <x v="7"/>
    <x v="3"/>
    <x v="0"/>
    <n v="2"/>
    <n v="24940"/>
    <d v="2026-01-07T00:00:00"/>
    <n v="1"/>
    <n v="7"/>
    <n v="2026"/>
    <x v="6"/>
    <s v="Q1"/>
    <x v="3"/>
  </r>
  <r>
    <s v="O103457"/>
    <x v="141"/>
    <x v="8"/>
    <x v="6"/>
    <x v="1"/>
    <x v="1"/>
    <n v="1"/>
    <n v="24922"/>
    <d v="2025-07-29T00:00:00"/>
    <n v="7"/>
    <n v="29"/>
    <n v="2025"/>
    <x v="10"/>
    <s v="Q3"/>
    <x v="1"/>
  </r>
  <r>
    <s v="O111726"/>
    <x v="529"/>
    <x v="6"/>
    <x v="7"/>
    <x v="0"/>
    <x v="2"/>
    <n v="2"/>
    <n v="24892"/>
    <d v="2026-12-14T00:00:00"/>
    <n v="12"/>
    <n v="14"/>
    <n v="2026"/>
    <x v="7"/>
    <s v="Q4"/>
    <x v="0"/>
  </r>
  <r>
    <s v="O111056"/>
    <x v="418"/>
    <x v="4"/>
    <x v="7"/>
    <x v="0"/>
    <x v="0"/>
    <n v="2"/>
    <n v="24810"/>
    <d v="2026-03-11T00:00:00"/>
    <n v="3"/>
    <n v="11"/>
    <n v="2026"/>
    <x v="5"/>
    <s v="Q1"/>
    <x v="0"/>
  </r>
  <r>
    <s v="O110856"/>
    <x v="341"/>
    <x v="10"/>
    <x v="6"/>
    <x v="0"/>
    <x v="2"/>
    <n v="1"/>
    <n v="24785"/>
    <d v="2026-10-22T00:00:00"/>
    <n v="10"/>
    <n v="22"/>
    <n v="2026"/>
    <x v="9"/>
    <m/>
    <x v="0"/>
  </r>
  <r>
    <s v="O100741"/>
    <x v="420"/>
    <x v="0"/>
    <x v="6"/>
    <x v="2"/>
    <x v="3"/>
    <n v="1"/>
    <n v="24784"/>
    <d v="2025-02-14T00:00:00"/>
    <n v="2"/>
    <n v="14"/>
    <n v="2025"/>
    <x v="4"/>
    <s v="Q1"/>
    <x v="2"/>
  </r>
  <r>
    <s v="O103388"/>
    <x v="775"/>
    <x v="5"/>
    <x v="6"/>
    <x v="1"/>
    <x v="2"/>
    <n v="1"/>
    <n v="24746"/>
    <d v="2025-07-25T00:00:00"/>
    <n v="7"/>
    <n v="25"/>
    <n v="2025"/>
    <x v="10"/>
    <s v="Q3"/>
    <x v="1"/>
  </r>
  <r>
    <s v="O110140"/>
    <x v="162"/>
    <x v="1"/>
    <x v="6"/>
    <x v="3"/>
    <x v="3"/>
    <n v="1"/>
    <n v="24704"/>
    <d v="2026-08-09T00:00:00"/>
    <n v="8"/>
    <n v="9"/>
    <n v="2026"/>
    <x v="8"/>
    <s v="Q3"/>
    <x v="3"/>
  </r>
  <r>
    <s v="O104576"/>
    <x v="41"/>
    <x v="10"/>
    <x v="7"/>
    <x v="4"/>
    <x v="1"/>
    <n v="2"/>
    <n v="24687"/>
    <d v="2025-05-10T00:00:00"/>
    <n v="5"/>
    <n v="10"/>
    <n v="2025"/>
    <x v="3"/>
    <s v="Q2"/>
    <x v="4"/>
  </r>
  <r>
    <s v="O103871"/>
    <x v="746"/>
    <x v="9"/>
    <x v="7"/>
    <x v="0"/>
    <x v="2"/>
    <n v="2"/>
    <n v="24632"/>
    <d v="2025-08-24T00:00:00"/>
    <n v="8"/>
    <n v="24"/>
    <n v="2025"/>
    <x v="8"/>
    <s v="Q3"/>
    <x v="0"/>
  </r>
  <r>
    <s v="O109042"/>
    <x v="224"/>
    <x v="6"/>
    <x v="7"/>
    <x v="2"/>
    <x v="0"/>
    <n v="2"/>
    <n v="24618"/>
    <d v="2026-04-07T00:00:00"/>
    <n v="4"/>
    <n v="7"/>
    <n v="2026"/>
    <x v="11"/>
    <s v="Q2"/>
    <x v="2"/>
  </r>
  <r>
    <s v="O100691"/>
    <x v="151"/>
    <x v="3"/>
    <x v="7"/>
    <x v="4"/>
    <x v="3"/>
    <n v="2"/>
    <n v="24606"/>
    <d v="2025-11-02T00:00:00"/>
    <n v="11"/>
    <n v="2"/>
    <n v="2025"/>
    <x v="0"/>
    <s v="Q4"/>
    <x v="4"/>
  </r>
  <r>
    <s v="O109927"/>
    <x v="169"/>
    <x v="8"/>
    <x v="6"/>
    <x v="0"/>
    <x v="2"/>
    <n v="1"/>
    <n v="24603"/>
    <d v="2026-08-27T00:00:00"/>
    <n v="8"/>
    <n v="27"/>
    <n v="2026"/>
    <x v="8"/>
    <m/>
    <x v="0"/>
  </r>
  <r>
    <s v="O107319"/>
    <x v="562"/>
    <x v="10"/>
    <x v="6"/>
    <x v="0"/>
    <x v="1"/>
    <n v="1"/>
    <n v="24570"/>
    <d v="2026-03-21T00:00:00"/>
    <n v="3"/>
    <n v="21"/>
    <n v="2026"/>
    <x v="5"/>
    <s v="Q1"/>
    <x v="0"/>
  </r>
  <r>
    <s v="O109457"/>
    <x v="40"/>
    <x v="9"/>
    <x v="7"/>
    <x v="0"/>
    <x v="2"/>
    <n v="2"/>
    <n v="24460"/>
    <d v="2026-07-29T00:00:00"/>
    <n v="7"/>
    <n v="29"/>
    <n v="2026"/>
    <x v="10"/>
    <s v="Q3"/>
    <x v="0"/>
  </r>
  <r>
    <s v="O100758"/>
    <x v="595"/>
    <x v="2"/>
    <x v="6"/>
    <x v="4"/>
    <x v="1"/>
    <n v="1"/>
    <n v="24368"/>
    <d v="2025-02-15T00:00:00"/>
    <n v="2"/>
    <n v="15"/>
    <n v="2025"/>
    <x v="4"/>
    <s v="Q1"/>
    <x v="4"/>
  </r>
  <r>
    <s v="O105552"/>
    <x v="450"/>
    <x v="1"/>
    <x v="7"/>
    <x v="1"/>
    <x v="3"/>
    <n v="2"/>
    <n v="24325"/>
    <d v="2025-04-12T00:00:00"/>
    <n v="4"/>
    <n v="12"/>
    <n v="2025"/>
    <x v="11"/>
    <s v="Q2"/>
    <x v="1"/>
  </r>
  <r>
    <s v="O100188"/>
    <x v="407"/>
    <x v="3"/>
    <x v="6"/>
    <x v="2"/>
    <x v="2"/>
    <n v="1"/>
    <n v="24316"/>
    <d v="2025-12-01T00:00:00"/>
    <n v="12"/>
    <n v="1"/>
    <n v="2025"/>
    <x v="7"/>
    <s v="Q4"/>
    <x v="2"/>
  </r>
  <r>
    <s v="O109951"/>
    <x v="32"/>
    <x v="4"/>
    <x v="6"/>
    <x v="4"/>
    <x v="3"/>
    <n v="1"/>
    <n v="24288"/>
    <d v="2026-08-28T00:00:00"/>
    <n v="8"/>
    <n v="28"/>
    <n v="2026"/>
    <x v="8"/>
    <s v="Q3"/>
    <x v="4"/>
  </r>
  <r>
    <s v="O100104"/>
    <x v="623"/>
    <x v="6"/>
    <x v="6"/>
    <x v="1"/>
    <x v="1"/>
    <n v="1"/>
    <n v="24281"/>
    <d v="2025-07-01T00:00:00"/>
    <n v="7"/>
    <n v="1"/>
    <n v="2025"/>
    <x v="10"/>
    <s v="Q3"/>
    <x v="1"/>
  </r>
  <r>
    <s v="O101451"/>
    <x v="403"/>
    <x v="9"/>
    <x v="6"/>
    <x v="0"/>
    <x v="3"/>
    <n v="1"/>
    <n v="24261"/>
    <d v="2025-03-30T00:00:00"/>
    <n v="3"/>
    <n v="30"/>
    <n v="2025"/>
    <x v="5"/>
    <s v="Q1"/>
    <x v="0"/>
  </r>
  <r>
    <s v="O104426"/>
    <x v="277"/>
    <x v="0"/>
    <x v="7"/>
    <x v="3"/>
    <x v="0"/>
    <n v="2"/>
    <n v="24206"/>
    <d v="2025-09-26T00:00:00"/>
    <n v="9"/>
    <n v="26"/>
    <n v="2025"/>
    <x v="1"/>
    <s v="Q3"/>
    <x v="3"/>
  </r>
  <r>
    <s v="O104199"/>
    <x v="698"/>
    <x v="5"/>
    <x v="6"/>
    <x v="3"/>
    <x v="0"/>
    <n v="1"/>
    <n v="24204"/>
    <d v="2025-09-13T00:00:00"/>
    <n v="9"/>
    <n v="13"/>
    <n v="2025"/>
    <x v="1"/>
    <s v="Q3"/>
    <x v="3"/>
  </r>
  <r>
    <s v="O111148"/>
    <x v="294"/>
    <x v="8"/>
    <x v="7"/>
    <x v="3"/>
    <x v="1"/>
    <n v="2"/>
    <n v="24182"/>
    <d v="2026-09-11T00:00:00"/>
    <n v="9"/>
    <n v="11"/>
    <n v="2026"/>
    <x v="1"/>
    <s v="Q3"/>
    <x v="3"/>
  </r>
  <r>
    <s v="O110434"/>
    <x v="755"/>
    <x v="9"/>
    <x v="6"/>
    <x v="2"/>
    <x v="1"/>
    <n v="1"/>
    <n v="24116"/>
    <d v="2026-09-26T00:00:00"/>
    <n v="9"/>
    <n v="26"/>
    <n v="2026"/>
    <x v="1"/>
    <s v="Q3"/>
    <x v="2"/>
  </r>
  <r>
    <s v="O107855"/>
    <x v="797"/>
    <x v="3"/>
    <x v="6"/>
    <x v="4"/>
    <x v="3"/>
    <n v="1"/>
    <n v="24059"/>
    <d v="2026-04-23T00:00:00"/>
    <n v="4"/>
    <n v="23"/>
    <n v="2026"/>
    <x v="11"/>
    <s v="Q2"/>
    <x v="4"/>
  </r>
  <r>
    <s v="O102947"/>
    <x v="569"/>
    <x v="1"/>
    <x v="6"/>
    <x v="4"/>
    <x v="1"/>
    <n v="1"/>
    <n v="24042"/>
    <d v="2025-06-28T00:00:00"/>
    <n v="6"/>
    <n v="28"/>
    <n v="2025"/>
    <x v="2"/>
    <s v="Q2"/>
    <x v="4"/>
  </r>
  <r>
    <s v="O106176"/>
    <x v="171"/>
    <x v="8"/>
    <x v="6"/>
    <x v="1"/>
    <x v="1"/>
    <n v="1"/>
    <n v="24030"/>
    <d v="2026-11-01T00:00:00"/>
    <n v="11"/>
    <n v="1"/>
    <n v="2026"/>
    <x v="0"/>
    <s v="Q4"/>
    <x v="1"/>
  </r>
  <r>
    <s v="O109519"/>
    <x v="345"/>
    <x v="5"/>
    <x v="6"/>
    <x v="1"/>
    <x v="0"/>
    <n v="1"/>
    <n v="23769"/>
    <d v="2026-02-08T00:00:00"/>
    <n v="2"/>
    <n v="8"/>
    <n v="2026"/>
    <x v="4"/>
    <s v="Q1"/>
    <x v="1"/>
  </r>
  <r>
    <s v="O109276"/>
    <x v="491"/>
    <x v="8"/>
    <x v="7"/>
    <x v="2"/>
    <x v="1"/>
    <n v="2"/>
    <n v="23754"/>
    <d v="2026-07-18T00:00:00"/>
    <n v="7"/>
    <n v="18"/>
    <n v="2026"/>
    <x v="10"/>
    <m/>
    <x v="2"/>
  </r>
  <r>
    <s v="O100862"/>
    <x v="31"/>
    <x v="10"/>
    <x v="6"/>
    <x v="2"/>
    <x v="2"/>
    <n v="1"/>
    <n v="23737"/>
    <d v="2025-02-22T00:00:00"/>
    <n v="2"/>
    <n v="22"/>
    <n v="2025"/>
    <x v="4"/>
    <s v="Q1"/>
    <x v="2"/>
  </r>
  <r>
    <s v="O109415"/>
    <x v="780"/>
    <x v="2"/>
    <x v="6"/>
    <x v="3"/>
    <x v="1"/>
    <n v="1"/>
    <n v="23659"/>
    <d v="2026-07-26T00:00:00"/>
    <n v="7"/>
    <n v="26"/>
    <n v="2026"/>
    <x v="10"/>
    <s v="Q3"/>
    <x v="3"/>
  </r>
  <r>
    <s v="O108798"/>
    <x v="581"/>
    <x v="2"/>
    <x v="6"/>
    <x v="1"/>
    <x v="2"/>
    <n v="1"/>
    <n v="23622"/>
    <d v="2026-06-19T00:00:00"/>
    <n v="6"/>
    <n v="19"/>
    <n v="2026"/>
    <x v="2"/>
    <s v="Q2"/>
    <x v="1"/>
  </r>
  <r>
    <s v="O111490"/>
    <x v="123"/>
    <x v="5"/>
    <x v="6"/>
    <x v="4"/>
    <x v="1"/>
    <n v="1"/>
    <n v="23575"/>
    <d v="2026-11-30T00:00:00"/>
    <n v="11"/>
    <n v="30"/>
    <n v="2026"/>
    <x v="0"/>
    <s v="Q4"/>
    <x v="4"/>
  </r>
  <r>
    <s v="O103709"/>
    <x v="214"/>
    <x v="3"/>
    <x v="7"/>
    <x v="4"/>
    <x v="1"/>
    <n v="2"/>
    <n v="23566"/>
    <d v="2025-08-14T00:00:00"/>
    <n v="8"/>
    <n v="14"/>
    <n v="2025"/>
    <x v="8"/>
    <s v="Q3"/>
    <x v="4"/>
  </r>
  <r>
    <s v="O109410"/>
    <x v="180"/>
    <x v="6"/>
    <x v="6"/>
    <x v="3"/>
    <x v="2"/>
    <n v="1"/>
    <n v="23513"/>
    <d v="2026-07-26T00:00:00"/>
    <n v="7"/>
    <n v="26"/>
    <n v="2026"/>
    <x v="10"/>
    <s v="Q3"/>
    <x v="3"/>
  </r>
  <r>
    <s v="O109566"/>
    <x v="565"/>
    <x v="8"/>
    <x v="7"/>
    <x v="0"/>
    <x v="0"/>
    <n v="2"/>
    <n v="23511"/>
    <d v="2026-05-08T00:00:00"/>
    <n v="5"/>
    <n v="8"/>
    <n v="2026"/>
    <x v="3"/>
    <s v="Q2"/>
    <x v="0"/>
  </r>
  <r>
    <s v="O108192"/>
    <x v="180"/>
    <x v="1"/>
    <x v="7"/>
    <x v="1"/>
    <x v="1"/>
    <n v="2"/>
    <n v="23508"/>
    <d v="2026-05-13T00:00:00"/>
    <n v="5"/>
    <n v="13"/>
    <n v="2026"/>
    <x v="3"/>
    <s v="Q2"/>
    <x v="1"/>
  </r>
  <r>
    <s v="O110556"/>
    <x v="551"/>
    <x v="0"/>
    <x v="6"/>
    <x v="0"/>
    <x v="1"/>
    <n v="1"/>
    <n v="23502"/>
    <d v="2026-04-10T00:00:00"/>
    <n v="4"/>
    <n v="10"/>
    <n v="2026"/>
    <x v="11"/>
    <s v="Q2"/>
    <x v="0"/>
  </r>
  <r>
    <s v="O108536"/>
    <x v="215"/>
    <x v="0"/>
    <x v="7"/>
    <x v="2"/>
    <x v="3"/>
    <n v="2"/>
    <n v="23487"/>
    <d v="2026-03-06T00:00:00"/>
    <n v="3"/>
    <n v="6"/>
    <n v="2026"/>
    <x v="5"/>
    <s v="Q1"/>
    <x v="2"/>
  </r>
  <r>
    <s v="O111564"/>
    <x v="29"/>
    <x v="7"/>
    <x v="6"/>
    <x v="3"/>
    <x v="3"/>
    <n v="1"/>
    <n v="23446"/>
    <d v="2026-04-12T00:00:00"/>
    <n v="4"/>
    <n v="12"/>
    <n v="2026"/>
    <x v="11"/>
    <s v="Q2"/>
    <x v="3"/>
  </r>
  <r>
    <s v="O107875"/>
    <x v="480"/>
    <x v="9"/>
    <x v="6"/>
    <x v="0"/>
    <x v="0"/>
    <n v="1"/>
    <n v="23331"/>
    <d v="2026-04-24T00:00:00"/>
    <n v="4"/>
    <n v="24"/>
    <n v="2026"/>
    <x v="11"/>
    <s v="Q2"/>
    <x v="0"/>
  </r>
  <r>
    <s v="O110594"/>
    <x v="471"/>
    <x v="9"/>
    <x v="7"/>
    <x v="2"/>
    <x v="1"/>
    <n v="2"/>
    <n v="23305"/>
    <d v="2026-06-10T00:00:00"/>
    <n v="6"/>
    <n v="10"/>
    <n v="2026"/>
    <x v="2"/>
    <s v="Q2"/>
    <x v="2"/>
  </r>
  <r>
    <s v="O106422"/>
    <x v="58"/>
    <x v="8"/>
    <x v="6"/>
    <x v="0"/>
    <x v="0"/>
    <n v="1"/>
    <n v="23283"/>
    <d v="2026-01-26T00:00:00"/>
    <n v="1"/>
    <n v="26"/>
    <n v="2026"/>
    <x v="6"/>
    <s v="Q1"/>
    <x v="0"/>
  </r>
  <r>
    <s v="O111755"/>
    <x v="407"/>
    <x v="4"/>
    <x v="7"/>
    <x v="0"/>
    <x v="0"/>
    <n v="2"/>
    <n v="23212"/>
    <d v="2026-12-16T00:00:00"/>
    <n v="12"/>
    <n v="16"/>
    <n v="2026"/>
    <x v="7"/>
    <s v="Q4"/>
    <x v="0"/>
  </r>
  <r>
    <s v="O108125"/>
    <x v="536"/>
    <x v="5"/>
    <x v="7"/>
    <x v="0"/>
    <x v="1"/>
    <n v="2"/>
    <n v="23185"/>
    <d v="2026-09-05T00:00:00"/>
    <n v="9"/>
    <n v="5"/>
    <n v="2026"/>
    <x v="1"/>
    <s v="Q3"/>
    <x v="0"/>
  </r>
  <r>
    <s v="O103676"/>
    <x v="263"/>
    <x v="1"/>
    <x v="7"/>
    <x v="4"/>
    <x v="0"/>
    <n v="2"/>
    <n v="23176"/>
    <d v="2025-12-08T00:00:00"/>
    <n v="12"/>
    <n v="8"/>
    <n v="2025"/>
    <x v="7"/>
    <s v="Q4"/>
    <x v="4"/>
  </r>
  <r>
    <s v="O106848"/>
    <x v="614"/>
    <x v="10"/>
    <x v="6"/>
    <x v="1"/>
    <x v="1"/>
    <n v="1"/>
    <n v="23115"/>
    <d v="2026-02-20T00:00:00"/>
    <n v="2"/>
    <n v="20"/>
    <n v="2026"/>
    <x v="4"/>
    <s v="Q1"/>
    <x v="1"/>
  </r>
  <r>
    <s v="O104985"/>
    <x v="797"/>
    <x v="1"/>
    <x v="6"/>
    <x v="1"/>
    <x v="0"/>
    <n v="1"/>
    <n v="23101"/>
    <d v="2025-10-30T00:00:00"/>
    <n v="10"/>
    <n v="30"/>
    <n v="2025"/>
    <x v="9"/>
    <s v="Q4"/>
    <x v="1"/>
  </r>
  <r>
    <s v="O107988"/>
    <x v="735"/>
    <x v="3"/>
    <x v="6"/>
    <x v="1"/>
    <x v="0"/>
    <n v="1"/>
    <n v="23099"/>
    <d v="2026-01-05T00:00:00"/>
    <n v="1"/>
    <n v="5"/>
    <n v="2026"/>
    <x v="6"/>
    <s v="Q1"/>
    <x v="1"/>
  </r>
  <r>
    <s v="O110164"/>
    <x v="576"/>
    <x v="6"/>
    <x v="7"/>
    <x v="4"/>
    <x v="3"/>
    <n v="2"/>
    <n v="23018"/>
    <d v="2026-10-09T00:00:00"/>
    <n v="10"/>
    <n v="9"/>
    <n v="2026"/>
    <x v="9"/>
    <s v="Q4"/>
    <x v="4"/>
  </r>
  <r>
    <s v="O108019"/>
    <x v="612"/>
    <x v="5"/>
    <x v="6"/>
    <x v="3"/>
    <x v="2"/>
    <n v="1"/>
    <n v="22993"/>
    <d v="2026-03-05T00:00:00"/>
    <n v="3"/>
    <n v="5"/>
    <n v="2026"/>
    <x v="5"/>
    <s v="Q1"/>
    <x v="3"/>
  </r>
  <r>
    <s v="O105896"/>
    <x v="471"/>
    <x v="2"/>
    <x v="7"/>
    <x v="1"/>
    <x v="0"/>
    <n v="2"/>
    <n v="22970"/>
    <d v="2025-12-25T00:00:00"/>
    <n v="12"/>
    <n v="25"/>
    <n v="2025"/>
    <x v="7"/>
    <s v="Q4"/>
    <x v="1"/>
  </r>
  <r>
    <s v="O101378"/>
    <x v="782"/>
    <x v="10"/>
    <x v="6"/>
    <x v="0"/>
    <x v="2"/>
    <n v="1"/>
    <n v="22893"/>
    <d v="2025-03-25T00:00:00"/>
    <n v="3"/>
    <n v="25"/>
    <n v="2025"/>
    <x v="5"/>
    <s v="Q1"/>
    <x v="0"/>
  </r>
  <r>
    <s v="O103069"/>
    <x v="379"/>
    <x v="0"/>
    <x v="7"/>
    <x v="6"/>
    <x v="2"/>
    <n v="2"/>
    <n v="22882"/>
    <d v="2025-06-07T00:00:00"/>
    <n v="6"/>
    <n v="7"/>
    <n v="2025"/>
    <x v="2"/>
    <s v="Q2"/>
    <x v="4"/>
  </r>
  <r>
    <s v="O107452"/>
    <x v="294"/>
    <x v="5"/>
    <x v="6"/>
    <x v="2"/>
    <x v="1"/>
    <n v="1"/>
    <n v="22876"/>
    <d v="2026-03-29T00:00:00"/>
    <n v="3"/>
    <n v="29"/>
    <n v="2026"/>
    <x v="5"/>
    <s v="Q1"/>
    <x v="2"/>
  </r>
  <r>
    <s v="O105232"/>
    <x v="452"/>
    <x v="2"/>
    <x v="7"/>
    <x v="1"/>
    <x v="2"/>
    <n v="2"/>
    <n v="22869"/>
    <d v="2025-11-14T00:00:00"/>
    <n v="11"/>
    <n v="14"/>
    <n v="2025"/>
    <x v="0"/>
    <s v="Q4"/>
    <x v="1"/>
  </r>
  <r>
    <s v="O108843"/>
    <x v="464"/>
    <x v="10"/>
    <x v="7"/>
    <x v="2"/>
    <x v="2"/>
    <n v="2"/>
    <n v="22855"/>
    <d v="2026-06-22T00:00:00"/>
    <n v="6"/>
    <n v="22"/>
    <n v="2026"/>
    <x v="2"/>
    <s v="Q2"/>
    <x v="2"/>
  </r>
  <r>
    <s v="O100703"/>
    <x v="553"/>
    <x v="2"/>
    <x v="7"/>
    <x v="0"/>
    <x v="1"/>
    <n v="2"/>
    <n v="22850"/>
    <d v="2025-12-02T00:00:00"/>
    <n v="12"/>
    <n v="2"/>
    <n v="2025"/>
    <x v="7"/>
    <s v="Q4"/>
    <x v="0"/>
  </r>
  <r>
    <s v="O102434"/>
    <x v="301"/>
    <x v="3"/>
    <x v="7"/>
    <x v="1"/>
    <x v="0"/>
    <n v="2"/>
    <n v="22820"/>
    <d v="2025-05-28T00:00:00"/>
    <n v="5"/>
    <n v="28"/>
    <n v="2025"/>
    <x v="3"/>
    <s v="Q2"/>
    <x v="1"/>
  </r>
  <r>
    <s v="O101100"/>
    <x v="507"/>
    <x v="6"/>
    <x v="7"/>
    <x v="3"/>
    <x v="1"/>
    <n v="2"/>
    <n v="22811"/>
    <d v="2025-08-03T00:00:00"/>
    <n v="8"/>
    <n v="3"/>
    <n v="2025"/>
    <x v="8"/>
    <s v="Q3"/>
    <x v="3"/>
  </r>
  <r>
    <s v="O108627"/>
    <x v="114"/>
    <x v="4"/>
    <x v="7"/>
    <x v="2"/>
    <x v="3"/>
    <n v="2"/>
    <n v="22805"/>
    <d v="2026-09-06T00:00:00"/>
    <n v="9"/>
    <n v="6"/>
    <n v="2026"/>
    <x v="1"/>
    <s v="Q3"/>
    <x v="2"/>
  </r>
  <r>
    <s v="O109075"/>
    <x v="581"/>
    <x v="4"/>
    <x v="7"/>
    <x v="0"/>
    <x v="0"/>
    <n v="2"/>
    <n v="22794"/>
    <d v="2026-06-07T00:00:00"/>
    <n v="6"/>
    <n v="7"/>
    <n v="2026"/>
    <x v="2"/>
    <s v="Q2"/>
    <x v="0"/>
  </r>
  <r>
    <s v="O107822"/>
    <x v="332"/>
    <x v="5"/>
    <x v="7"/>
    <x v="2"/>
    <x v="0"/>
    <n v="2"/>
    <n v="22679"/>
    <d v="2026-04-21T00:00:00"/>
    <n v="4"/>
    <n v="21"/>
    <n v="2026"/>
    <x v="11"/>
    <s v="Q2"/>
    <x v="2"/>
  </r>
  <r>
    <s v="O104671"/>
    <x v="476"/>
    <x v="2"/>
    <x v="7"/>
    <x v="0"/>
    <x v="2"/>
    <n v="2"/>
    <n v="22644"/>
    <d v="2025-11-10T00:00:00"/>
    <n v="11"/>
    <n v="10"/>
    <n v="2025"/>
    <x v="0"/>
    <s v="Q4"/>
    <x v="0"/>
  </r>
  <r>
    <s v="O110559"/>
    <x v="232"/>
    <x v="5"/>
    <x v="7"/>
    <x v="4"/>
    <x v="0"/>
    <n v="2"/>
    <n v="22639"/>
    <d v="2026-04-10T00:00:00"/>
    <n v="4"/>
    <n v="10"/>
    <n v="2026"/>
    <x v="11"/>
    <s v="Q2"/>
    <x v="4"/>
  </r>
  <r>
    <s v="O107670"/>
    <x v="378"/>
    <x v="5"/>
    <x v="7"/>
    <x v="0"/>
    <x v="2"/>
    <n v="2"/>
    <n v="22525"/>
    <d v="2026-11-04T00:00:00"/>
    <n v="11"/>
    <n v="4"/>
    <n v="2026"/>
    <x v="0"/>
    <m/>
    <x v="0"/>
  </r>
  <r>
    <s v="O110316"/>
    <x v="657"/>
    <x v="3"/>
    <x v="6"/>
    <x v="1"/>
    <x v="3"/>
    <n v="1"/>
    <n v="22507"/>
    <d v="2026-09-19T00:00:00"/>
    <n v="9"/>
    <n v="19"/>
    <n v="2026"/>
    <x v="1"/>
    <s v="Q3"/>
    <x v="1"/>
  </r>
  <r>
    <s v="O110291"/>
    <x v="785"/>
    <x v="1"/>
    <x v="6"/>
    <x v="1"/>
    <x v="2"/>
    <n v="1"/>
    <n v="22472"/>
    <d v="2026-09-18T00:00:00"/>
    <n v="9"/>
    <n v="18"/>
    <n v="2026"/>
    <x v="1"/>
    <s v="Q3"/>
    <x v="1"/>
  </r>
  <r>
    <s v="O107786"/>
    <x v="463"/>
    <x v="9"/>
    <x v="6"/>
    <x v="2"/>
    <x v="0"/>
    <n v="1"/>
    <n v="22425"/>
    <d v="2026-04-18T00:00:00"/>
    <n v="4"/>
    <n v="18"/>
    <n v="2026"/>
    <x v="11"/>
    <s v="Q2"/>
    <x v="2"/>
  </r>
  <r>
    <s v="O102988"/>
    <x v="397"/>
    <x v="9"/>
    <x v="6"/>
    <x v="0"/>
    <x v="2"/>
    <n v="1"/>
    <n v="22398"/>
    <d v="2025-01-07T00:00:00"/>
    <n v="1"/>
    <n v="7"/>
    <n v="2025"/>
    <x v="6"/>
    <s v="Q1"/>
    <x v="0"/>
  </r>
  <r>
    <s v="O110901"/>
    <x v="422"/>
    <x v="4"/>
    <x v="6"/>
    <x v="0"/>
    <x v="0"/>
    <n v="1"/>
    <n v="22324"/>
    <d v="2026-10-25T00:00:00"/>
    <n v="10"/>
    <n v="25"/>
    <n v="2026"/>
    <x v="9"/>
    <m/>
    <x v="0"/>
  </r>
  <r>
    <s v="O102439"/>
    <x v="686"/>
    <x v="0"/>
    <x v="6"/>
    <x v="2"/>
    <x v="2"/>
    <n v="1"/>
    <n v="22313"/>
    <d v="2025-05-29T00:00:00"/>
    <n v="5"/>
    <n v="29"/>
    <n v="2025"/>
    <x v="3"/>
    <s v="Q2"/>
    <x v="2"/>
  </r>
  <r>
    <s v="O106251"/>
    <x v="42"/>
    <x v="1"/>
    <x v="6"/>
    <x v="0"/>
    <x v="1"/>
    <n v="1"/>
    <n v="22197"/>
    <d v="2026-01-15T00:00:00"/>
    <n v="1"/>
    <n v="15"/>
    <n v="2026"/>
    <x v="6"/>
    <s v="Q1"/>
    <x v="0"/>
  </r>
  <r>
    <s v="O105175"/>
    <x v="40"/>
    <x v="3"/>
    <x v="6"/>
    <x v="4"/>
    <x v="0"/>
    <n v="1"/>
    <n v="22132"/>
    <d v="2025-11-11T00:00:00"/>
    <n v="11"/>
    <n v="11"/>
    <n v="2025"/>
    <x v="0"/>
    <s v="Q4"/>
    <x v="4"/>
  </r>
  <r>
    <s v="O104054"/>
    <x v="483"/>
    <x v="6"/>
    <x v="6"/>
    <x v="4"/>
    <x v="1"/>
    <n v="1"/>
    <n v="22080"/>
    <d v="2025-04-09T00:00:00"/>
    <n v="4"/>
    <n v="9"/>
    <n v="2025"/>
    <x v="11"/>
    <s v="Q2"/>
    <x v="4"/>
  </r>
  <r>
    <s v="O111166"/>
    <x v="684"/>
    <x v="9"/>
    <x v="6"/>
    <x v="0"/>
    <x v="1"/>
    <n v="1"/>
    <n v="22024"/>
    <d v="2026-10-11T00:00:00"/>
    <n v="10"/>
    <n v="11"/>
    <n v="2026"/>
    <x v="9"/>
    <s v="Q4"/>
    <x v="0"/>
  </r>
  <r>
    <s v="O103644"/>
    <x v="572"/>
    <x v="6"/>
    <x v="6"/>
    <x v="4"/>
    <x v="2"/>
    <n v="1"/>
    <n v="21950"/>
    <d v="2025-08-10T00:00:00"/>
    <n v="8"/>
    <n v="10"/>
    <n v="2025"/>
    <x v="8"/>
    <s v="Q3"/>
    <x v="4"/>
  </r>
  <r>
    <s v="O110685"/>
    <x v="339"/>
    <x v="2"/>
    <x v="6"/>
    <x v="0"/>
    <x v="1"/>
    <n v="1"/>
    <n v="21944"/>
    <d v="2026-12-10T00:00:00"/>
    <n v="12"/>
    <n v="10"/>
    <n v="2026"/>
    <x v="7"/>
    <s v="Q4"/>
    <x v="0"/>
  </r>
  <r>
    <s v="O109419"/>
    <x v="157"/>
    <x v="5"/>
    <x v="6"/>
    <x v="3"/>
    <x v="1"/>
    <n v="1"/>
    <n v="21867"/>
    <d v="2026-07-27T00:00:00"/>
    <n v="7"/>
    <n v="27"/>
    <n v="2026"/>
    <x v="10"/>
    <s v="Q3"/>
    <x v="3"/>
  </r>
  <r>
    <s v="O100453"/>
    <x v="763"/>
    <x v="1"/>
    <x v="6"/>
    <x v="0"/>
    <x v="0"/>
    <n v="1"/>
    <n v="21761"/>
    <d v="2025-01-28T00:00:00"/>
    <n v="1"/>
    <n v="28"/>
    <n v="2025"/>
    <x v="6"/>
    <s v="Q1"/>
    <x v="0"/>
  </r>
  <r>
    <s v="O108358"/>
    <x v="369"/>
    <x v="3"/>
    <x v="6"/>
    <x v="0"/>
    <x v="0"/>
    <n v="1"/>
    <n v="21709"/>
    <d v="2026-05-23T00:00:00"/>
    <n v="5"/>
    <n v="23"/>
    <n v="2026"/>
    <x v="3"/>
    <m/>
    <x v="0"/>
  </r>
  <r>
    <s v="O104931"/>
    <x v="197"/>
    <x v="4"/>
    <x v="6"/>
    <x v="2"/>
    <x v="1"/>
    <n v="1"/>
    <n v="21577"/>
    <d v="2025-10-27T00:00:00"/>
    <n v="10"/>
    <n v="27"/>
    <n v="2025"/>
    <x v="9"/>
    <s v="Q4"/>
    <x v="2"/>
  </r>
  <r>
    <s v="O102970"/>
    <x v="195"/>
    <x v="6"/>
    <x v="6"/>
    <x v="1"/>
    <x v="1"/>
    <n v="1"/>
    <n v="21562"/>
    <d v="2025-06-30T00:00:00"/>
    <n v="6"/>
    <n v="30"/>
    <n v="2025"/>
    <x v="2"/>
    <s v="Q2"/>
    <x v="1"/>
  </r>
  <r>
    <s v="O108111"/>
    <x v="304"/>
    <x v="3"/>
    <x v="6"/>
    <x v="0"/>
    <x v="2"/>
    <n v="1"/>
    <n v="21525"/>
    <d v="2026-08-05T00:00:00"/>
    <n v="8"/>
    <n v="5"/>
    <n v="2026"/>
    <x v="8"/>
    <s v="Q3"/>
    <x v="0"/>
  </r>
  <r>
    <s v="O107554"/>
    <x v="501"/>
    <x v="4"/>
    <x v="6"/>
    <x v="0"/>
    <x v="0"/>
    <n v="1"/>
    <n v="21163"/>
    <d v="2026-04-04T00:00:00"/>
    <n v="4"/>
    <n v="4"/>
    <n v="2026"/>
    <x v="11"/>
    <s v="Q2"/>
    <x v="0"/>
  </r>
  <r>
    <s v="O102985"/>
    <x v="773"/>
    <x v="5"/>
    <x v="6"/>
    <x v="1"/>
    <x v="0"/>
    <n v="1"/>
    <n v="21145"/>
    <d v="2025-01-07T00:00:00"/>
    <n v="1"/>
    <n v="7"/>
    <n v="2025"/>
    <x v="6"/>
    <s v="Q1"/>
    <x v="1"/>
  </r>
  <r>
    <s v="O107411"/>
    <x v="89"/>
    <x v="3"/>
    <x v="6"/>
    <x v="4"/>
    <x v="0"/>
    <n v="1"/>
    <n v="21070"/>
    <d v="2026-03-27T00:00:00"/>
    <n v="3"/>
    <n v="27"/>
    <n v="2026"/>
    <x v="5"/>
    <s v="Q1"/>
    <x v="4"/>
  </r>
  <r>
    <s v="O107745"/>
    <x v="346"/>
    <x v="5"/>
    <x v="6"/>
    <x v="0"/>
    <x v="1"/>
    <n v="1"/>
    <n v="21007"/>
    <d v="2026-04-16T00:00:00"/>
    <n v="4"/>
    <n v="16"/>
    <n v="2026"/>
    <x v="11"/>
    <m/>
    <x v="0"/>
  </r>
  <r>
    <s v="O108984"/>
    <x v="534"/>
    <x v="0"/>
    <x v="6"/>
    <x v="3"/>
    <x v="0"/>
    <n v="1"/>
    <n v="20998"/>
    <d v="2026-06-30T00:00:00"/>
    <n v="6"/>
    <n v="30"/>
    <n v="2026"/>
    <x v="2"/>
    <s v="Q2"/>
    <x v="3"/>
  </r>
  <r>
    <s v="O109136"/>
    <x v="501"/>
    <x v="4"/>
    <x v="6"/>
    <x v="4"/>
    <x v="1"/>
    <n v="1"/>
    <n v="20960"/>
    <d v="2026-09-07T00:00:00"/>
    <n v="9"/>
    <n v="7"/>
    <n v="2026"/>
    <x v="1"/>
    <s v="Q3"/>
    <x v="4"/>
  </r>
  <r>
    <s v="O108623"/>
    <x v="69"/>
    <x v="10"/>
    <x v="6"/>
    <x v="3"/>
    <x v="3"/>
    <n v="1"/>
    <n v="20903"/>
    <d v="2026-08-06T00:00:00"/>
    <n v="8"/>
    <n v="6"/>
    <n v="2026"/>
    <x v="8"/>
    <s v="Q3"/>
    <x v="3"/>
  </r>
  <r>
    <s v="O107367"/>
    <x v="487"/>
    <x v="4"/>
    <x v="6"/>
    <x v="2"/>
    <x v="3"/>
    <n v="1"/>
    <n v="20846"/>
    <d v="2026-03-24T00:00:00"/>
    <n v="3"/>
    <n v="24"/>
    <n v="2026"/>
    <x v="5"/>
    <s v="Q1"/>
    <x v="2"/>
  </r>
  <r>
    <s v="O109445"/>
    <x v="719"/>
    <x v="9"/>
    <x v="6"/>
    <x v="2"/>
    <x v="3"/>
    <n v="1"/>
    <n v="20814"/>
    <d v="2026-07-28T00:00:00"/>
    <n v="7"/>
    <n v="28"/>
    <n v="2026"/>
    <x v="10"/>
    <s v="Q3"/>
    <x v="2"/>
  </r>
  <r>
    <s v="O107628"/>
    <x v="102"/>
    <x v="8"/>
    <x v="6"/>
    <x v="4"/>
    <x v="3"/>
    <n v="1"/>
    <n v="20810"/>
    <d v="2026-09-04T00:00:00"/>
    <n v="9"/>
    <n v="4"/>
    <n v="2026"/>
    <x v="1"/>
    <s v="Q3"/>
    <x v="4"/>
  </r>
  <r>
    <s v="O110005"/>
    <x v="794"/>
    <x v="5"/>
    <x v="6"/>
    <x v="1"/>
    <x v="3"/>
    <n v="1"/>
    <n v="20687"/>
    <d v="2026-08-31T00:00:00"/>
    <n v="8"/>
    <n v="31"/>
    <n v="2026"/>
    <x v="8"/>
    <s v="Q3"/>
    <x v="1"/>
  </r>
  <r>
    <s v="O104661"/>
    <x v="659"/>
    <x v="0"/>
    <x v="6"/>
    <x v="2"/>
    <x v="2"/>
    <n v="1"/>
    <n v="20610"/>
    <d v="2025-11-10T00:00:00"/>
    <n v="11"/>
    <n v="10"/>
    <n v="2025"/>
    <x v="0"/>
    <s v="Q4"/>
    <x v="2"/>
  </r>
  <r>
    <s v="O100321"/>
    <x v="780"/>
    <x v="5"/>
    <x v="6"/>
    <x v="0"/>
    <x v="0"/>
    <n v="1"/>
    <n v="20603"/>
    <d v="2025-01-20T00:00:00"/>
    <n v="1"/>
    <n v="20"/>
    <n v="2025"/>
    <x v="6"/>
    <s v="Q1"/>
    <x v="0"/>
  </r>
  <r>
    <s v="O102897"/>
    <x v="689"/>
    <x v="6"/>
    <x v="6"/>
    <x v="2"/>
    <x v="0"/>
    <n v="1"/>
    <n v="20522"/>
    <d v="2025-06-25T00:00:00"/>
    <n v="6"/>
    <n v="25"/>
    <n v="2025"/>
    <x v="2"/>
    <s v="Q2"/>
    <x v="2"/>
  </r>
  <r>
    <s v="O111239"/>
    <x v="537"/>
    <x v="4"/>
    <x v="6"/>
    <x v="0"/>
    <x v="0"/>
    <n v="1"/>
    <n v="20489"/>
    <d v="2026-11-14T00:00:00"/>
    <n v="11"/>
    <n v="14"/>
    <n v="2026"/>
    <x v="0"/>
    <s v="Q4"/>
    <x v="0"/>
  </r>
  <r>
    <s v="O101733"/>
    <x v="735"/>
    <x v="2"/>
    <x v="6"/>
    <x v="4"/>
    <x v="0"/>
    <n v="1"/>
    <n v="20456"/>
    <d v="2025-04-16T00:00:00"/>
    <n v="4"/>
    <n v="16"/>
    <n v="2025"/>
    <x v="11"/>
    <s v="Q2"/>
    <x v="4"/>
  </r>
  <r>
    <s v="O103648"/>
    <x v="695"/>
    <x v="4"/>
    <x v="6"/>
    <x v="10"/>
    <x v="3"/>
    <n v="1"/>
    <n v="20416"/>
    <d v="2025-10-08T00:00:00"/>
    <n v="10"/>
    <n v="8"/>
    <n v="2025"/>
    <x v="9"/>
    <s v="Q4"/>
    <x v="1"/>
  </r>
  <r>
    <s v="O108226"/>
    <x v="592"/>
    <x v="6"/>
    <x v="6"/>
    <x v="2"/>
    <x v="2"/>
    <n v="1"/>
    <n v="20201"/>
    <d v="2026-05-15T00:00:00"/>
    <n v="5"/>
    <n v="15"/>
    <n v="2026"/>
    <x v="3"/>
    <s v="Q2"/>
    <x v="2"/>
  </r>
  <r>
    <s v="O106334"/>
    <x v="186"/>
    <x v="10"/>
    <x v="6"/>
    <x v="2"/>
    <x v="0"/>
    <n v="1"/>
    <n v="20195"/>
    <d v="2026-01-20T00:00:00"/>
    <n v="1"/>
    <n v="20"/>
    <n v="2026"/>
    <x v="6"/>
    <s v="Q1"/>
    <x v="2"/>
  </r>
  <r>
    <s v="O109582"/>
    <x v="163"/>
    <x v="8"/>
    <x v="6"/>
    <x v="0"/>
    <x v="1"/>
    <n v="1"/>
    <n v="20047"/>
    <d v="2026-06-08T00:00:00"/>
    <n v="6"/>
    <n v="8"/>
    <n v="2026"/>
    <x v="2"/>
    <s v="Q2"/>
    <x v="0"/>
  </r>
  <r>
    <s v="O111409"/>
    <x v="89"/>
    <x v="2"/>
    <x v="6"/>
    <x v="4"/>
    <x v="2"/>
    <n v="1"/>
    <n v="19973"/>
    <d v="2026-11-25T00:00:00"/>
    <n v="11"/>
    <n v="25"/>
    <n v="2026"/>
    <x v="0"/>
    <s v="Q4"/>
    <x v="4"/>
  </r>
  <r>
    <s v="O108535"/>
    <x v="520"/>
    <x v="8"/>
    <x v="6"/>
    <x v="2"/>
    <x v="1"/>
    <n v="1"/>
    <n v="19954"/>
    <d v="2026-03-06T00:00:00"/>
    <n v="3"/>
    <n v="6"/>
    <n v="2026"/>
    <x v="5"/>
    <s v="Q1"/>
    <x v="2"/>
  </r>
  <r>
    <s v="O105099"/>
    <x v="109"/>
    <x v="2"/>
    <x v="6"/>
    <x v="3"/>
    <x v="0"/>
    <n v="1"/>
    <n v="19932"/>
    <d v="2025-06-11T00:00:00"/>
    <n v="6"/>
    <n v="11"/>
    <n v="2025"/>
    <x v="2"/>
    <s v="Q2"/>
    <x v="3"/>
  </r>
  <r>
    <s v="O109464"/>
    <x v="598"/>
    <x v="10"/>
    <x v="6"/>
    <x v="2"/>
    <x v="2"/>
    <n v="1"/>
    <n v="19870"/>
    <d v="2026-07-29T00:00:00"/>
    <n v="7"/>
    <n v="29"/>
    <n v="2026"/>
    <x v="10"/>
    <s v="Q3"/>
    <x v="2"/>
  </r>
  <r>
    <s v="O104825"/>
    <x v="143"/>
    <x v="6"/>
    <x v="6"/>
    <x v="4"/>
    <x v="0"/>
    <n v="1"/>
    <n v="19865"/>
    <d v="2025-10-21T00:00:00"/>
    <n v="10"/>
    <n v="21"/>
    <n v="2025"/>
    <x v="9"/>
    <s v="Q4"/>
    <x v="4"/>
  </r>
  <r>
    <s v="O107203"/>
    <x v="515"/>
    <x v="3"/>
    <x v="6"/>
    <x v="4"/>
    <x v="2"/>
    <n v="1"/>
    <n v="19801"/>
    <d v="2026-03-14T00:00:00"/>
    <n v="3"/>
    <n v="14"/>
    <n v="2026"/>
    <x v="5"/>
    <s v="Q1"/>
    <x v="4"/>
  </r>
  <r>
    <s v="O103587"/>
    <x v="537"/>
    <x v="0"/>
    <x v="6"/>
    <x v="1"/>
    <x v="3"/>
    <n v="1"/>
    <n v="19717"/>
    <d v="2025-06-08T00:00:00"/>
    <n v="6"/>
    <n v="8"/>
    <n v="2025"/>
    <x v="2"/>
    <s v="Q2"/>
    <x v="1"/>
  </r>
  <r>
    <s v="O105019"/>
    <x v="1"/>
    <x v="8"/>
    <x v="6"/>
    <x v="1"/>
    <x v="2"/>
    <n v="1"/>
    <n v="19573"/>
    <d v="2025-01-11T00:00:00"/>
    <n v="1"/>
    <n v="11"/>
    <n v="2025"/>
    <x v="6"/>
    <s v="Q1"/>
    <x v="1"/>
  </r>
  <r>
    <s v="O109144"/>
    <x v="624"/>
    <x v="5"/>
    <x v="6"/>
    <x v="0"/>
    <x v="3"/>
    <n v="1"/>
    <n v="19534"/>
    <d v="2026-10-07T00:00:00"/>
    <n v="10"/>
    <n v="7"/>
    <n v="2026"/>
    <x v="9"/>
    <s v="Q4"/>
    <x v="0"/>
  </r>
  <r>
    <s v="O101988"/>
    <x v="86"/>
    <x v="4"/>
    <x v="6"/>
    <x v="4"/>
    <x v="2"/>
    <n v="1"/>
    <n v="19207"/>
    <d v="2025-01-05T00:00:00"/>
    <n v="1"/>
    <n v="5"/>
    <n v="2025"/>
    <x v="6"/>
    <s v="Q1"/>
    <x v="4"/>
  </r>
  <r>
    <s v="O103636"/>
    <x v="415"/>
    <x v="9"/>
    <x v="6"/>
    <x v="1"/>
    <x v="3"/>
    <n v="1"/>
    <n v="19123"/>
    <d v="2025-09-08T00:00:00"/>
    <n v="9"/>
    <n v="8"/>
    <n v="2025"/>
    <x v="1"/>
    <s v="Q3"/>
    <x v="1"/>
  </r>
  <r>
    <s v="O105410"/>
    <x v="641"/>
    <x v="3"/>
    <x v="6"/>
    <x v="4"/>
    <x v="2"/>
    <n v="1"/>
    <n v="18976"/>
    <d v="2025-11-25T00:00:00"/>
    <n v="11"/>
    <n v="25"/>
    <n v="2025"/>
    <x v="0"/>
    <s v="Q4"/>
    <x v="4"/>
  </r>
  <r>
    <s v="O104348"/>
    <x v="784"/>
    <x v="10"/>
    <x v="6"/>
    <x v="1"/>
    <x v="3"/>
    <n v="1"/>
    <n v="18885"/>
    <d v="2025-09-22T00:00:00"/>
    <n v="9"/>
    <n v="22"/>
    <n v="2025"/>
    <x v="1"/>
    <s v="Q3"/>
    <x v="1"/>
  </r>
  <r>
    <s v="O111544"/>
    <x v="308"/>
    <x v="2"/>
    <x v="6"/>
    <x v="0"/>
    <x v="0"/>
    <n v="1"/>
    <n v="18878"/>
    <d v="2026-03-12T00:00:00"/>
    <n v="3"/>
    <n v="12"/>
    <n v="2026"/>
    <x v="5"/>
    <s v="Q1"/>
    <x v="0"/>
  </r>
  <r>
    <s v="O103139"/>
    <x v="698"/>
    <x v="3"/>
    <x v="6"/>
    <x v="2"/>
    <x v="1"/>
    <n v="1"/>
    <n v="18875"/>
    <d v="2025-10-07T00:00:00"/>
    <n v="10"/>
    <n v="7"/>
    <n v="2025"/>
    <x v="9"/>
    <s v="Q4"/>
    <x v="2"/>
  </r>
  <r>
    <s v="O109261"/>
    <x v="102"/>
    <x v="4"/>
    <x v="6"/>
    <x v="1"/>
    <x v="2"/>
    <n v="1"/>
    <n v="18802"/>
    <d v="2026-07-17T00:00:00"/>
    <n v="7"/>
    <n v="17"/>
    <n v="2026"/>
    <x v="10"/>
    <s v="Q3"/>
    <x v="1"/>
  </r>
  <r>
    <s v="O101702"/>
    <x v="186"/>
    <x v="1"/>
    <x v="6"/>
    <x v="3"/>
    <x v="3"/>
    <n v="1"/>
    <n v="18795"/>
    <d v="2025-04-14T00:00:00"/>
    <n v="4"/>
    <n v="14"/>
    <n v="2025"/>
    <x v="11"/>
    <s v="Q2"/>
    <x v="3"/>
  </r>
  <r>
    <s v="O109083"/>
    <x v="178"/>
    <x v="10"/>
    <x v="7"/>
    <x v="2"/>
    <x v="2"/>
    <n v="1"/>
    <n v="18639"/>
    <d v="2026-06-07T00:00:00"/>
    <n v="6"/>
    <n v="7"/>
    <n v="2026"/>
    <x v="2"/>
    <s v="Q2"/>
    <x v="2"/>
  </r>
  <r>
    <s v="O109253"/>
    <x v="579"/>
    <x v="3"/>
    <x v="7"/>
    <x v="1"/>
    <x v="2"/>
    <n v="1"/>
    <n v="18631"/>
    <d v="2026-07-17T00:00:00"/>
    <n v="7"/>
    <n v="17"/>
    <n v="2026"/>
    <x v="10"/>
    <s v="Q3"/>
    <x v="1"/>
  </r>
  <r>
    <s v="O109819"/>
    <x v="36"/>
    <x v="4"/>
    <x v="7"/>
    <x v="2"/>
    <x v="0"/>
    <n v="1"/>
    <n v="18608"/>
    <d v="2026-08-20T00:00:00"/>
    <n v="8"/>
    <n v="20"/>
    <n v="2026"/>
    <x v="8"/>
    <s v="Q3"/>
    <x v="2"/>
  </r>
  <r>
    <s v="O107712"/>
    <x v="652"/>
    <x v="2"/>
    <x v="7"/>
    <x v="0"/>
    <x v="0"/>
    <n v="1"/>
    <n v="18585"/>
    <d v="2026-04-14T00:00:00"/>
    <n v="4"/>
    <n v="14"/>
    <n v="2026"/>
    <x v="11"/>
    <s v="Q2"/>
    <x v="0"/>
  </r>
  <r>
    <s v="O101745"/>
    <x v="20"/>
    <x v="9"/>
    <x v="7"/>
    <x v="1"/>
    <x v="0"/>
    <n v="1"/>
    <n v="18578"/>
    <d v="2025-04-16T00:00:00"/>
    <n v="4"/>
    <n v="16"/>
    <n v="2025"/>
    <x v="11"/>
    <s v="Q2"/>
    <x v="1"/>
  </r>
  <r>
    <s v="O103755"/>
    <x v="400"/>
    <x v="9"/>
    <x v="7"/>
    <x v="0"/>
    <x v="2"/>
    <n v="1"/>
    <n v="18578"/>
    <d v="2025-08-17T00:00:00"/>
    <n v="8"/>
    <n v="17"/>
    <n v="2025"/>
    <x v="8"/>
    <s v="Q3"/>
    <x v="0"/>
  </r>
  <r>
    <s v="O111720"/>
    <x v="726"/>
    <x v="6"/>
    <x v="7"/>
    <x v="2"/>
    <x v="1"/>
    <n v="1"/>
    <n v="18532"/>
    <d v="2026-12-13T00:00:00"/>
    <n v="12"/>
    <n v="13"/>
    <n v="2026"/>
    <x v="7"/>
    <s v="Q4"/>
    <x v="2"/>
  </r>
  <r>
    <s v="O103048"/>
    <x v="83"/>
    <x v="10"/>
    <x v="7"/>
    <x v="2"/>
    <x v="0"/>
    <n v="1"/>
    <n v="18505"/>
    <d v="2025-05-07T00:00:00"/>
    <n v="5"/>
    <n v="7"/>
    <n v="2025"/>
    <x v="3"/>
    <s v="Q2"/>
    <x v="2"/>
  </r>
  <r>
    <s v="O103518"/>
    <x v="74"/>
    <x v="2"/>
    <x v="7"/>
    <x v="4"/>
    <x v="2"/>
    <n v="1"/>
    <n v="18436"/>
    <d v="2025-02-08T00:00:00"/>
    <n v="2"/>
    <n v="8"/>
    <n v="2025"/>
    <x v="4"/>
    <s v="Q1"/>
    <x v="4"/>
  </r>
  <r>
    <s v="O109250"/>
    <x v="734"/>
    <x v="0"/>
    <x v="7"/>
    <x v="3"/>
    <x v="0"/>
    <n v="1"/>
    <n v="18419"/>
    <d v="2026-07-16T00:00:00"/>
    <n v="7"/>
    <n v="16"/>
    <n v="2026"/>
    <x v="10"/>
    <s v="Q3"/>
    <x v="3"/>
  </r>
  <r>
    <s v="O111078"/>
    <x v="608"/>
    <x v="10"/>
    <x v="7"/>
    <x v="0"/>
    <x v="0"/>
    <n v="1"/>
    <n v="18399"/>
    <d v="2026-04-11T00:00:00"/>
    <n v="4"/>
    <n v="11"/>
    <n v="2026"/>
    <x v="11"/>
    <s v="Q2"/>
    <x v="0"/>
  </r>
  <r>
    <s v="O107460"/>
    <x v="272"/>
    <x v="3"/>
    <x v="7"/>
    <x v="1"/>
    <x v="2"/>
    <n v="1"/>
    <n v="18370"/>
    <d v="2026-03-30T00:00:00"/>
    <n v="3"/>
    <n v="30"/>
    <n v="2026"/>
    <x v="5"/>
    <s v="Q1"/>
    <x v="1"/>
  </r>
  <r>
    <s v="O101804"/>
    <x v="786"/>
    <x v="6"/>
    <x v="7"/>
    <x v="3"/>
    <x v="2"/>
    <n v="1"/>
    <n v="18281"/>
    <d v="2025-04-20T00:00:00"/>
    <n v="4"/>
    <n v="20"/>
    <n v="2025"/>
    <x v="11"/>
    <s v="Q2"/>
    <x v="3"/>
  </r>
  <r>
    <s v="O104092"/>
    <x v="683"/>
    <x v="0"/>
    <x v="7"/>
    <x v="1"/>
    <x v="2"/>
    <n v="1"/>
    <n v="18280"/>
    <d v="2025-06-09T00:00:00"/>
    <n v="6"/>
    <n v="9"/>
    <n v="2025"/>
    <x v="2"/>
    <s v="Q2"/>
    <x v="1"/>
  </r>
  <r>
    <s v="O102684"/>
    <x v="7"/>
    <x v="5"/>
    <x v="7"/>
    <x v="4"/>
    <x v="1"/>
    <n v="1"/>
    <n v="18279"/>
    <d v="2025-06-13T00:00:00"/>
    <n v="6"/>
    <n v="13"/>
    <n v="2025"/>
    <x v="2"/>
    <s v="Q2"/>
    <x v="4"/>
  </r>
  <r>
    <s v="O109693"/>
    <x v="328"/>
    <x v="3"/>
    <x v="7"/>
    <x v="0"/>
    <x v="3"/>
    <n v="1"/>
    <n v="18263"/>
    <d v="2026-12-08T00:00:00"/>
    <n v="12"/>
    <n v="8"/>
    <n v="2026"/>
    <x v="7"/>
    <s v="Q4"/>
    <x v="0"/>
  </r>
  <r>
    <s v="O107493"/>
    <x v="359"/>
    <x v="4"/>
    <x v="7"/>
    <x v="2"/>
    <x v="1"/>
    <n v="1"/>
    <n v="18204"/>
    <d v="2026-01-04T00:00:00"/>
    <n v="1"/>
    <n v="4"/>
    <n v="2026"/>
    <x v="6"/>
    <s v="Q1"/>
    <x v="2"/>
  </r>
  <r>
    <s v="O100136"/>
    <x v="767"/>
    <x v="10"/>
    <x v="7"/>
    <x v="1"/>
    <x v="1"/>
    <n v="1"/>
    <n v="18163"/>
    <d v="2025-09-01T00:00:00"/>
    <n v="9"/>
    <n v="1"/>
    <n v="2025"/>
    <x v="1"/>
    <s v="Q3"/>
    <x v="1"/>
  </r>
  <r>
    <s v="O102401"/>
    <x v="136"/>
    <x v="2"/>
    <x v="7"/>
    <x v="2"/>
    <x v="1"/>
    <n v="1"/>
    <n v="18121"/>
    <d v="2025-05-26T00:00:00"/>
    <n v="5"/>
    <n v="26"/>
    <n v="2025"/>
    <x v="3"/>
    <s v="Q2"/>
    <x v="2"/>
  </r>
  <r>
    <s v="O106492"/>
    <x v="677"/>
    <x v="1"/>
    <x v="7"/>
    <x v="1"/>
    <x v="2"/>
    <n v="1"/>
    <n v="18067"/>
    <d v="2026-01-30T00:00:00"/>
    <n v="1"/>
    <n v="30"/>
    <n v="2026"/>
    <x v="6"/>
    <s v="Q1"/>
    <x v="1"/>
  </r>
  <r>
    <s v="O103910"/>
    <x v="124"/>
    <x v="4"/>
    <x v="7"/>
    <x v="4"/>
    <x v="2"/>
    <n v="1"/>
    <n v="18042"/>
    <d v="2025-08-26T00:00:00"/>
    <n v="8"/>
    <n v="26"/>
    <n v="2025"/>
    <x v="8"/>
    <s v="Q3"/>
    <x v="4"/>
  </r>
  <r>
    <s v="O103764"/>
    <x v="685"/>
    <x v="9"/>
    <x v="7"/>
    <x v="4"/>
    <x v="0"/>
    <n v="1"/>
    <n v="18018"/>
    <d v="2025-08-17T00:00:00"/>
    <n v="8"/>
    <n v="17"/>
    <n v="2025"/>
    <x v="8"/>
    <s v="Q3"/>
    <x v="4"/>
  </r>
  <r>
    <s v="O103998"/>
    <x v="117"/>
    <x v="1"/>
    <x v="7"/>
    <x v="2"/>
    <x v="1"/>
    <n v="1"/>
    <n v="18014"/>
    <d v="2025-08-31T00:00:00"/>
    <n v="8"/>
    <n v="31"/>
    <n v="2025"/>
    <x v="8"/>
    <s v="Q3"/>
    <x v="2"/>
  </r>
  <r>
    <s v="O103721"/>
    <x v="86"/>
    <x v="1"/>
    <x v="7"/>
    <x v="2"/>
    <x v="2"/>
    <n v="1"/>
    <n v="17998"/>
    <d v="2025-08-15T00:00:00"/>
    <n v="8"/>
    <n v="15"/>
    <n v="2025"/>
    <x v="8"/>
    <s v="Q3"/>
    <x v="2"/>
  </r>
  <r>
    <s v="O111094"/>
    <x v="579"/>
    <x v="4"/>
    <x v="7"/>
    <x v="0"/>
    <x v="0"/>
    <n v="1"/>
    <n v="17997"/>
    <d v="2026-05-11T00:00:00"/>
    <n v="5"/>
    <n v="11"/>
    <n v="2026"/>
    <x v="3"/>
    <s v="Q2"/>
    <x v="0"/>
  </r>
  <r>
    <s v="O100289"/>
    <x v="759"/>
    <x v="2"/>
    <x v="7"/>
    <x v="1"/>
    <x v="3"/>
    <n v="1"/>
    <n v="17946"/>
    <d v="2025-01-18T00:00:00"/>
    <n v="1"/>
    <n v="18"/>
    <n v="2025"/>
    <x v="6"/>
    <s v="Q1"/>
    <x v="1"/>
  </r>
  <r>
    <s v="O109170"/>
    <x v="483"/>
    <x v="0"/>
    <x v="7"/>
    <x v="0"/>
    <x v="1"/>
    <n v="1"/>
    <n v="17915"/>
    <d v="2026-12-07T00:00:00"/>
    <n v="12"/>
    <n v="7"/>
    <n v="2026"/>
    <x v="7"/>
    <s v="Q4"/>
    <x v="0"/>
  </r>
  <r>
    <s v="O111154"/>
    <x v="266"/>
    <x v="9"/>
    <x v="7"/>
    <x v="0"/>
    <x v="3"/>
    <n v="1"/>
    <n v="17908"/>
    <d v="2026-09-11T00:00:00"/>
    <n v="9"/>
    <n v="11"/>
    <n v="2026"/>
    <x v="1"/>
    <s v="Q3"/>
    <x v="0"/>
  </r>
  <r>
    <s v="O106292"/>
    <x v="779"/>
    <x v="3"/>
    <x v="7"/>
    <x v="0"/>
    <x v="1"/>
    <n v="1"/>
    <n v="17901"/>
    <d v="2026-01-18T00:00:00"/>
    <n v="1"/>
    <n v="18"/>
    <n v="2026"/>
    <x v="6"/>
    <s v="Q1"/>
    <x v="0"/>
  </r>
  <r>
    <s v="O106622"/>
    <x v="277"/>
    <x v="1"/>
    <x v="7"/>
    <x v="4"/>
    <x v="0"/>
    <n v="1"/>
    <n v="17865"/>
    <d v="2026-07-02T00:00:00"/>
    <n v="7"/>
    <n v="2"/>
    <n v="2026"/>
    <x v="10"/>
    <s v="Q3"/>
    <x v="4"/>
  </r>
  <r>
    <s v="O105958"/>
    <x v="571"/>
    <x v="0"/>
    <x v="7"/>
    <x v="2"/>
    <x v="2"/>
    <n v="1"/>
    <n v="17761"/>
    <d v="2025-12-28T00:00:00"/>
    <n v="12"/>
    <n v="28"/>
    <n v="2025"/>
    <x v="7"/>
    <s v="Q4"/>
    <x v="2"/>
  </r>
  <r>
    <s v="O107939"/>
    <x v="566"/>
    <x v="2"/>
    <x v="7"/>
    <x v="2"/>
    <x v="3"/>
    <n v="1"/>
    <n v="17756"/>
    <d v="2026-04-28T00:00:00"/>
    <n v="4"/>
    <n v="28"/>
    <n v="2026"/>
    <x v="11"/>
    <s v="Q2"/>
    <x v="2"/>
  </r>
  <r>
    <s v="O106137"/>
    <x v="290"/>
    <x v="1"/>
    <x v="7"/>
    <x v="0"/>
    <x v="1"/>
    <n v="1"/>
    <n v="17749"/>
    <d v="2026-08-01T00:00:00"/>
    <n v="8"/>
    <n v="1"/>
    <n v="2026"/>
    <x v="8"/>
    <s v="Q3"/>
    <x v="0"/>
  </r>
  <r>
    <s v="O110640"/>
    <x v="674"/>
    <x v="8"/>
    <x v="7"/>
    <x v="2"/>
    <x v="1"/>
    <n v="1"/>
    <n v="17740"/>
    <d v="2026-09-10T00:00:00"/>
    <n v="9"/>
    <n v="10"/>
    <n v="2026"/>
    <x v="1"/>
    <s v="Q3"/>
    <x v="2"/>
  </r>
  <r>
    <s v="O111365"/>
    <x v="360"/>
    <x v="4"/>
    <x v="7"/>
    <x v="4"/>
    <x v="1"/>
    <n v="1"/>
    <n v="17723"/>
    <d v="2026-11-22T00:00:00"/>
    <n v="11"/>
    <n v="22"/>
    <n v="2026"/>
    <x v="0"/>
    <s v="Q4"/>
    <x v="4"/>
  </r>
  <r>
    <s v="O107809"/>
    <x v="358"/>
    <x v="4"/>
    <x v="7"/>
    <x v="0"/>
    <x v="3"/>
    <n v="1"/>
    <n v="17687"/>
    <d v="2026-04-20T00:00:00"/>
    <n v="4"/>
    <n v="20"/>
    <n v="2026"/>
    <x v="11"/>
    <s v="Q2"/>
    <x v="0"/>
  </r>
  <r>
    <s v="O106083"/>
    <x v="720"/>
    <x v="4"/>
    <x v="7"/>
    <x v="3"/>
    <x v="1"/>
    <n v="1"/>
    <n v="17682"/>
    <d v="2026-05-01T00:00:00"/>
    <n v="5"/>
    <n v="1"/>
    <n v="2026"/>
    <x v="3"/>
    <s v="Q2"/>
    <x v="3"/>
  </r>
  <r>
    <s v="O109227"/>
    <x v="53"/>
    <x v="6"/>
    <x v="7"/>
    <x v="3"/>
    <x v="3"/>
    <n v="1"/>
    <n v="17659"/>
    <d v="2026-07-15T00:00:00"/>
    <n v="7"/>
    <n v="15"/>
    <n v="2026"/>
    <x v="10"/>
    <s v="Q3"/>
    <x v="3"/>
  </r>
  <r>
    <s v="O101189"/>
    <x v="353"/>
    <x v="2"/>
    <x v="7"/>
    <x v="3"/>
    <x v="1"/>
    <n v="1"/>
    <n v="17643"/>
    <d v="2025-03-14T00:00:00"/>
    <n v="3"/>
    <n v="14"/>
    <n v="2025"/>
    <x v="5"/>
    <s v="Q1"/>
    <x v="3"/>
  </r>
  <r>
    <s v="O110099"/>
    <x v="528"/>
    <x v="9"/>
    <x v="7"/>
    <x v="4"/>
    <x v="3"/>
    <n v="1"/>
    <n v="17639"/>
    <d v="2026-06-09T00:00:00"/>
    <n v="6"/>
    <n v="9"/>
    <n v="2026"/>
    <x v="2"/>
    <s v="Q2"/>
    <x v="4"/>
  </r>
  <r>
    <s v="O107314"/>
    <x v="436"/>
    <x v="4"/>
    <x v="7"/>
    <x v="3"/>
    <x v="2"/>
    <n v="1"/>
    <n v="17628"/>
    <d v="2026-03-21T00:00:00"/>
    <n v="3"/>
    <n v="21"/>
    <n v="2026"/>
    <x v="5"/>
    <s v="Q1"/>
    <x v="3"/>
  </r>
  <r>
    <s v="O100909"/>
    <x v="38"/>
    <x v="5"/>
    <x v="7"/>
    <x v="2"/>
    <x v="0"/>
    <n v="1"/>
    <n v="17614"/>
    <d v="2025-02-25T00:00:00"/>
    <n v="2"/>
    <n v="25"/>
    <n v="2025"/>
    <x v="4"/>
    <s v="Q1"/>
    <x v="2"/>
  </r>
  <r>
    <s v="O108742"/>
    <x v="155"/>
    <x v="8"/>
    <x v="7"/>
    <x v="1"/>
    <x v="3"/>
    <n v="1"/>
    <n v="17578"/>
    <d v="2026-06-16T00:00:00"/>
    <n v="6"/>
    <n v="16"/>
    <n v="2026"/>
    <x v="2"/>
    <s v="Q2"/>
    <x v="1"/>
  </r>
  <r>
    <s v="O105595"/>
    <x v="682"/>
    <x v="6"/>
    <x v="7"/>
    <x v="2"/>
    <x v="3"/>
    <n v="1"/>
    <n v="17541"/>
    <d v="2025-06-12T00:00:00"/>
    <n v="6"/>
    <n v="12"/>
    <n v="2025"/>
    <x v="2"/>
    <s v="Q2"/>
    <x v="2"/>
  </r>
  <r>
    <s v="O110593"/>
    <x v="674"/>
    <x v="10"/>
    <x v="7"/>
    <x v="2"/>
    <x v="0"/>
    <n v="1"/>
    <n v="17515"/>
    <d v="2026-06-10T00:00:00"/>
    <n v="6"/>
    <n v="10"/>
    <n v="2026"/>
    <x v="2"/>
    <s v="Q2"/>
    <x v="2"/>
  </r>
  <r>
    <s v="O106130"/>
    <x v="497"/>
    <x v="3"/>
    <x v="7"/>
    <x v="3"/>
    <x v="1"/>
    <n v="1"/>
    <n v="17508"/>
    <d v="2026-08-01T00:00:00"/>
    <n v="8"/>
    <n v="1"/>
    <n v="2026"/>
    <x v="8"/>
    <s v="Q3"/>
    <x v="3"/>
  </r>
  <r>
    <s v="O102930"/>
    <x v="314"/>
    <x v="2"/>
    <x v="7"/>
    <x v="3"/>
    <x v="2"/>
    <n v="1"/>
    <n v="17507"/>
    <d v="2025-06-27T00:00:00"/>
    <n v="6"/>
    <n v="27"/>
    <n v="2025"/>
    <x v="2"/>
    <s v="Q2"/>
    <x v="3"/>
  </r>
  <r>
    <s v="O102090"/>
    <x v="396"/>
    <x v="10"/>
    <x v="7"/>
    <x v="2"/>
    <x v="3"/>
    <n v="1"/>
    <n v="17498"/>
    <d v="2025-07-05T00:00:00"/>
    <n v="7"/>
    <n v="5"/>
    <n v="2025"/>
    <x v="10"/>
    <s v="Q3"/>
    <x v="2"/>
  </r>
  <r>
    <s v="O102756"/>
    <x v="386"/>
    <x v="6"/>
    <x v="7"/>
    <x v="0"/>
    <x v="3"/>
    <n v="1"/>
    <n v="17477"/>
    <d v="2025-06-17T00:00:00"/>
    <n v="6"/>
    <n v="17"/>
    <n v="2025"/>
    <x v="2"/>
    <s v="Q2"/>
    <x v="0"/>
  </r>
  <r>
    <s v="O111416"/>
    <x v="547"/>
    <x v="2"/>
    <x v="7"/>
    <x v="2"/>
    <x v="0"/>
    <n v="1"/>
    <n v="17435"/>
    <d v="2026-11-25T00:00:00"/>
    <n v="11"/>
    <n v="25"/>
    <n v="2026"/>
    <x v="0"/>
    <s v="Q4"/>
    <x v="2"/>
  </r>
  <r>
    <s v="O111101"/>
    <x v="642"/>
    <x v="3"/>
    <x v="7"/>
    <x v="1"/>
    <x v="3"/>
    <n v="1"/>
    <n v="17413"/>
    <d v="2026-06-11T00:00:00"/>
    <n v="6"/>
    <n v="11"/>
    <n v="2026"/>
    <x v="2"/>
    <s v="Q2"/>
    <x v="1"/>
  </r>
  <r>
    <s v="O104247"/>
    <x v="448"/>
    <x v="6"/>
    <x v="7"/>
    <x v="1"/>
    <x v="1"/>
    <n v="1"/>
    <n v="17379"/>
    <d v="2025-09-15T00:00:00"/>
    <n v="9"/>
    <n v="15"/>
    <n v="2025"/>
    <x v="1"/>
    <s v="Q3"/>
    <x v="1"/>
  </r>
  <r>
    <s v="O100917"/>
    <x v="407"/>
    <x v="8"/>
    <x v="7"/>
    <x v="4"/>
    <x v="1"/>
    <n v="1"/>
    <n v="17371"/>
    <d v="2025-02-25T00:00:00"/>
    <n v="2"/>
    <n v="25"/>
    <n v="2025"/>
    <x v="4"/>
    <s v="Q1"/>
    <x v="4"/>
  </r>
  <r>
    <s v="O109229"/>
    <x v="499"/>
    <x v="1"/>
    <x v="7"/>
    <x v="0"/>
    <x v="0"/>
    <n v="1"/>
    <n v="17313"/>
    <d v="2026-07-15T00:00:00"/>
    <n v="7"/>
    <n v="15"/>
    <n v="2026"/>
    <x v="10"/>
    <s v="Q3"/>
    <x v="0"/>
  </r>
  <r>
    <s v="O102681"/>
    <x v="465"/>
    <x v="5"/>
    <x v="7"/>
    <x v="0"/>
    <x v="2"/>
    <n v="1"/>
    <n v="17300"/>
    <d v="2025-12-06T00:00:00"/>
    <n v="12"/>
    <n v="6"/>
    <n v="2025"/>
    <x v="7"/>
    <s v="Q4"/>
    <x v="0"/>
  </r>
  <r>
    <s v="O107261"/>
    <x v="259"/>
    <x v="2"/>
    <x v="7"/>
    <x v="1"/>
    <x v="3"/>
    <n v="1"/>
    <n v="17263"/>
    <d v="2026-03-18T00:00:00"/>
    <n v="3"/>
    <n v="18"/>
    <n v="2026"/>
    <x v="5"/>
    <s v="Q1"/>
    <x v="1"/>
  </r>
  <r>
    <s v="O103680"/>
    <x v="665"/>
    <x v="10"/>
    <x v="7"/>
    <x v="3"/>
    <x v="1"/>
    <n v="1"/>
    <n v="17185"/>
    <d v="2025-12-08T00:00:00"/>
    <n v="12"/>
    <n v="8"/>
    <n v="2025"/>
    <x v="7"/>
    <s v="Q4"/>
    <x v="3"/>
  </r>
  <r>
    <s v="O109987"/>
    <x v="230"/>
    <x v="8"/>
    <x v="7"/>
    <x v="1"/>
    <x v="2"/>
    <n v="1"/>
    <n v="17130"/>
    <d v="2026-08-30T00:00:00"/>
    <n v="8"/>
    <n v="30"/>
    <n v="2026"/>
    <x v="8"/>
    <s v="Q3"/>
    <x v="1"/>
  </r>
  <r>
    <s v="O103851"/>
    <x v="168"/>
    <x v="5"/>
    <x v="7"/>
    <x v="0"/>
    <x v="3"/>
    <n v="1"/>
    <n v="17122"/>
    <d v="2025-08-22T00:00:00"/>
    <n v="8"/>
    <n v="22"/>
    <n v="2025"/>
    <x v="8"/>
    <s v="Q3"/>
    <x v="0"/>
  </r>
  <r>
    <s v="O107046"/>
    <x v="548"/>
    <x v="8"/>
    <x v="7"/>
    <x v="1"/>
    <x v="3"/>
    <n v="1"/>
    <n v="17094"/>
    <d v="2026-05-03T00:00:00"/>
    <n v="5"/>
    <n v="3"/>
    <n v="2026"/>
    <x v="3"/>
    <s v="Q2"/>
    <x v="1"/>
  </r>
  <r>
    <s v="O109935"/>
    <x v="739"/>
    <x v="2"/>
    <x v="7"/>
    <x v="4"/>
    <x v="0"/>
    <n v="1"/>
    <n v="17058"/>
    <d v="2026-08-27T00:00:00"/>
    <n v="8"/>
    <n v="27"/>
    <n v="2026"/>
    <x v="8"/>
    <s v="Q3"/>
    <x v="4"/>
  </r>
  <r>
    <s v="O102144"/>
    <x v="490"/>
    <x v="9"/>
    <x v="7"/>
    <x v="0"/>
    <x v="0"/>
    <n v="1"/>
    <n v="17052"/>
    <d v="2025-11-05T00:00:00"/>
    <n v="11"/>
    <n v="5"/>
    <n v="2025"/>
    <x v="0"/>
    <s v="Q4"/>
    <x v="0"/>
  </r>
  <r>
    <s v="O109906"/>
    <x v="357"/>
    <x v="4"/>
    <x v="7"/>
    <x v="4"/>
    <x v="2"/>
    <n v="1"/>
    <n v="17048"/>
    <d v="2026-08-25T00:00:00"/>
    <n v="8"/>
    <n v="25"/>
    <n v="2026"/>
    <x v="8"/>
    <s v="Q3"/>
    <x v="4"/>
  </r>
  <r>
    <s v="O111709"/>
    <x v="595"/>
    <x v="9"/>
    <x v="7"/>
    <x v="0"/>
    <x v="2"/>
    <n v="1"/>
    <n v="17033"/>
    <d v="2026-12-13T00:00:00"/>
    <n v="12"/>
    <n v="13"/>
    <n v="2026"/>
    <x v="7"/>
    <s v="Q4"/>
    <x v="0"/>
  </r>
  <r>
    <s v="O103480"/>
    <x v="761"/>
    <x v="10"/>
    <x v="7"/>
    <x v="0"/>
    <x v="0"/>
    <n v="1"/>
    <n v="16980"/>
    <d v="2025-07-31T00:00:00"/>
    <n v="7"/>
    <n v="31"/>
    <n v="2025"/>
    <x v="10"/>
    <s v="Q3"/>
    <x v="0"/>
  </r>
  <r>
    <s v="O107605"/>
    <x v="582"/>
    <x v="6"/>
    <x v="7"/>
    <x v="4"/>
    <x v="3"/>
    <n v="1"/>
    <n v="16968"/>
    <d v="2026-07-04T00:00:00"/>
    <n v="7"/>
    <n v="4"/>
    <n v="2026"/>
    <x v="10"/>
    <s v="Q3"/>
    <x v="4"/>
  </r>
  <r>
    <s v="O111083"/>
    <x v="355"/>
    <x v="6"/>
    <x v="7"/>
    <x v="2"/>
    <x v="0"/>
    <n v="1"/>
    <n v="16953"/>
    <d v="2026-05-11T00:00:00"/>
    <n v="5"/>
    <n v="11"/>
    <n v="2026"/>
    <x v="3"/>
    <s v="Q2"/>
    <x v="2"/>
  </r>
  <r>
    <s v="O111133"/>
    <x v="510"/>
    <x v="9"/>
    <x v="7"/>
    <x v="3"/>
    <x v="2"/>
    <n v="1"/>
    <n v="16949"/>
    <d v="2026-08-11T00:00:00"/>
    <n v="8"/>
    <n v="11"/>
    <n v="2026"/>
    <x v="8"/>
    <s v="Q3"/>
    <x v="3"/>
  </r>
  <r>
    <s v="O110615"/>
    <x v="484"/>
    <x v="5"/>
    <x v="7"/>
    <x v="2"/>
    <x v="2"/>
    <n v="1"/>
    <n v="16913"/>
    <d v="2026-07-10T00:00:00"/>
    <n v="7"/>
    <n v="10"/>
    <n v="2026"/>
    <x v="10"/>
    <s v="Q3"/>
    <x v="2"/>
  </r>
  <r>
    <s v="O103279"/>
    <x v="762"/>
    <x v="10"/>
    <x v="7"/>
    <x v="1"/>
    <x v="0"/>
    <n v="1"/>
    <n v="16894"/>
    <d v="2025-07-19T00:00:00"/>
    <n v="7"/>
    <n v="19"/>
    <n v="2025"/>
    <x v="10"/>
    <s v="Q3"/>
    <x v="1"/>
  </r>
  <r>
    <s v="O106093"/>
    <x v="648"/>
    <x v="9"/>
    <x v="7"/>
    <x v="3"/>
    <x v="2"/>
    <n v="1"/>
    <n v="16849"/>
    <d v="2026-06-01T00:00:00"/>
    <n v="6"/>
    <n v="1"/>
    <n v="2026"/>
    <x v="2"/>
    <s v="Q2"/>
    <x v="3"/>
  </r>
  <r>
    <s v="O111781"/>
    <x v="651"/>
    <x v="2"/>
    <x v="7"/>
    <x v="4"/>
    <x v="1"/>
    <n v="1"/>
    <n v="16848"/>
    <d v="2026-12-17T00:00:00"/>
    <n v="12"/>
    <n v="17"/>
    <n v="2026"/>
    <x v="7"/>
    <s v="Q4"/>
    <x v="4"/>
  </r>
  <r>
    <s v="O110777"/>
    <x v="468"/>
    <x v="8"/>
    <x v="7"/>
    <x v="1"/>
    <x v="0"/>
    <n v="1"/>
    <n v="16837"/>
    <d v="2026-10-17T00:00:00"/>
    <n v="10"/>
    <n v="17"/>
    <n v="2026"/>
    <x v="9"/>
    <s v="Q4"/>
    <x v="1"/>
  </r>
  <r>
    <s v="O108458"/>
    <x v="137"/>
    <x v="10"/>
    <x v="7"/>
    <x v="3"/>
    <x v="3"/>
    <n v="1"/>
    <n v="16742"/>
    <d v="2026-05-29T00:00:00"/>
    <n v="5"/>
    <n v="29"/>
    <n v="2026"/>
    <x v="3"/>
    <s v="Q2"/>
    <x v="3"/>
  </r>
  <r>
    <s v="O109015"/>
    <x v="703"/>
    <x v="1"/>
    <x v="7"/>
    <x v="0"/>
    <x v="1"/>
    <n v="1"/>
    <n v="16694"/>
    <d v="2026-02-07T00:00:00"/>
    <n v="2"/>
    <n v="7"/>
    <n v="2026"/>
    <x v="4"/>
    <s v="Q1"/>
    <x v="0"/>
  </r>
  <r>
    <s v="O110797"/>
    <x v="303"/>
    <x v="2"/>
    <x v="7"/>
    <x v="2"/>
    <x v="3"/>
    <n v="1"/>
    <n v="16684"/>
    <d v="2026-10-18T00:00:00"/>
    <n v="10"/>
    <n v="18"/>
    <n v="2026"/>
    <x v="9"/>
    <s v="Q4"/>
    <x v="2"/>
  </r>
  <r>
    <s v="O106091"/>
    <x v="4"/>
    <x v="10"/>
    <x v="7"/>
    <x v="3"/>
    <x v="2"/>
    <n v="1"/>
    <n v="16655"/>
    <d v="2026-05-01T00:00:00"/>
    <n v="5"/>
    <n v="1"/>
    <n v="2026"/>
    <x v="3"/>
    <s v="Q2"/>
    <x v="3"/>
  </r>
  <r>
    <s v="O101544"/>
    <x v="510"/>
    <x v="5"/>
    <x v="7"/>
    <x v="1"/>
    <x v="3"/>
    <n v="1"/>
    <n v="16601"/>
    <d v="2025-04-04T00:00:00"/>
    <n v="4"/>
    <n v="4"/>
    <n v="2025"/>
    <x v="11"/>
    <s v="Q2"/>
    <x v="1"/>
  </r>
  <r>
    <s v="O103184"/>
    <x v="99"/>
    <x v="1"/>
    <x v="7"/>
    <x v="3"/>
    <x v="1"/>
    <n v="1"/>
    <n v="16590"/>
    <d v="2025-07-13T00:00:00"/>
    <n v="7"/>
    <n v="13"/>
    <n v="2025"/>
    <x v="10"/>
    <s v="Q3"/>
    <x v="3"/>
  </r>
  <r>
    <s v="O104686"/>
    <x v="579"/>
    <x v="3"/>
    <x v="7"/>
    <x v="1"/>
    <x v="2"/>
    <n v="1"/>
    <n v="16550"/>
    <d v="2025-12-10T00:00:00"/>
    <n v="12"/>
    <n v="10"/>
    <n v="2025"/>
    <x v="7"/>
    <s v="Q4"/>
    <x v="1"/>
  </r>
  <r>
    <s v="O101037"/>
    <x v="385"/>
    <x v="6"/>
    <x v="7"/>
    <x v="2"/>
    <x v="1"/>
    <n v="1"/>
    <n v="16531"/>
    <d v="2025-04-03T00:00:00"/>
    <n v="4"/>
    <n v="3"/>
    <n v="2025"/>
    <x v="11"/>
    <s v="Q2"/>
    <x v="2"/>
  </r>
  <r>
    <s v="O106880"/>
    <x v="106"/>
    <x v="1"/>
    <x v="7"/>
    <x v="1"/>
    <x v="0"/>
    <n v="1"/>
    <n v="16463"/>
    <d v="2026-02-22T00:00:00"/>
    <n v="2"/>
    <n v="22"/>
    <n v="2026"/>
    <x v="4"/>
    <s v="Q1"/>
    <x v="1"/>
  </r>
  <r>
    <s v="O107744"/>
    <x v="70"/>
    <x v="3"/>
    <x v="7"/>
    <x v="4"/>
    <x v="0"/>
    <n v="1"/>
    <n v="16453"/>
    <d v="2026-04-16T00:00:00"/>
    <n v="4"/>
    <n v="16"/>
    <n v="2026"/>
    <x v="11"/>
    <s v="Q2"/>
    <x v="4"/>
  </r>
  <r>
    <s v="O110499"/>
    <x v="568"/>
    <x v="10"/>
    <x v="7"/>
    <x v="0"/>
    <x v="0"/>
    <n v="1"/>
    <n v="16447"/>
    <d v="2026-09-30T00:00:00"/>
    <n v="9"/>
    <n v="30"/>
    <n v="2026"/>
    <x v="1"/>
    <s v="Q3"/>
    <x v="0"/>
  </r>
  <r>
    <s v="O109470"/>
    <x v="374"/>
    <x v="6"/>
    <x v="7"/>
    <x v="4"/>
    <x v="0"/>
    <n v="1"/>
    <n v="16318"/>
    <d v="2026-07-30T00:00:00"/>
    <n v="7"/>
    <n v="30"/>
    <n v="2026"/>
    <x v="10"/>
    <s v="Q3"/>
    <x v="4"/>
  </r>
  <r>
    <s v="O109635"/>
    <x v="522"/>
    <x v="4"/>
    <x v="7"/>
    <x v="0"/>
    <x v="2"/>
    <n v="1"/>
    <n v="16311"/>
    <d v="2026-09-08T00:00:00"/>
    <n v="9"/>
    <n v="8"/>
    <n v="2026"/>
    <x v="1"/>
    <s v="Q3"/>
    <x v="0"/>
  </r>
  <r>
    <s v="O100769"/>
    <x v="416"/>
    <x v="5"/>
    <x v="7"/>
    <x v="4"/>
    <x v="0"/>
    <n v="1"/>
    <n v="16278"/>
    <d v="2025-02-16T00:00:00"/>
    <n v="2"/>
    <n v="16"/>
    <n v="2025"/>
    <x v="4"/>
    <s v="Q1"/>
    <x v="4"/>
  </r>
  <r>
    <s v="O111482"/>
    <x v="646"/>
    <x v="6"/>
    <x v="7"/>
    <x v="1"/>
    <x v="0"/>
    <n v="1"/>
    <n v="16262"/>
    <d v="2026-11-29T00:00:00"/>
    <n v="11"/>
    <n v="29"/>
    <n v="2026"/>
    <x v="0"/>
    <s v="Q4"/>
    <x v="1"/>
  </r>
  <r>
    <s v="O105234"/>
    <x v="456"/>
    <x v="6"/>
    <x v="7"/>
    <x v="1"/>
    <x v="2"/>
    <n v="1"/>
    <n v="16257"/>
    <d v="2025-11-14T00:00:00"/>
    <n v="11"/>
    <n v="14"/>
    <n v="2025"/>
    <x v="0"/>
    <s v="Q4"/>
    <x v="1"/>
  </r>
  <r>
    <s v="O103194"/>
    <x v="269"/>
    <x v="1"/>
    <x v="7"/>
    <x v="4"/>
    <x v="0"/>
    <n v="1"/>
    <n v="16228"/>
    <d v="2025-07-13T00:00:00"/>
    <n v="7"/>
    <n v="13"/>
    <n v="2025"/>
    <x v="10"/>
    <s v="Q3"/>
    <x v="4"/>
  </r>
  <r>
    <s v="O101504"/>
    <x v="415"/>
    <x v="9"/>
    <x v="7"/>
    <x v="1"/>
    <x v="2"/>
    <n v="1"/>
    <n v="16189"/>
    <d v="2025-02-04T00:00:00"/>
    <n v="2"/>
    <n v="4"/>
    <n v="2025"/>
    <x v="4"/>
    <s v="Q1"/>
    <x v="1"/>
  </r>
  <r>
    <s v="O106536"/>
    <x v="93"/>
    <x v="5"/>
    <x v="7"/>
    <x v="3"/>
    <x v="0"/>
    <n v="1"/>
    <n v="16180"/>
    <d v="2026-02-02T00:00:00"/>
    <n v="2"/>
    <n v="2"/>
    <n v="2026"/>
    <x v="4"/>
    <s v="Q1"/>
    <x v="3"/>
  </r>
  <r>
    <s v="O100407"/>
    <x v="778"/>
    <x v="2"/>
    <x v="7"/>
    <x v="2"/>
    <x v="3"/>
    <n v="1"/>
    <n v="16175"/>
    <d v="2025-01-25T00:00:00"/>
    <n v="1"/>
    <n v="25"/>
    <n v="2025"/>
    <x v="6"/>
    <s v="Q1"/>
    <x v="2"/>
  </r>
  <r>
    <s v="O108693"/>
    <x v="528"/>
    <x v="2"/>
    <x v="7"/>
    <x v="0"/>
    <x v="0"/>
    <n v="1"/>
    <n v="16110"/>
    <d v="2026-06-13T00:00:00"/>
    <n v="6"/>
    <n v="13"/>
    <n v="2026"/>
    <x v="2"/>
    <s v="Q2"/>
    <x v="0"/>
  </r>
  <r>
    <s v="O108878"/>
    <x v="12"/>
    <x v="3"/>
    <x v="7"/>
    <x v="0"/>
    <x v="1"/>
    <n v="1"/>
    <n v="16093"/>
    <d v="2026-06-24T00:00:00"/>
    <n v="6"/>
    <n v="24"/>
    <n v="2026"/>
    <x v="2"/>
    <s v="Q2"/>
    <x v="0"/>
  </r>
  <r>
    <s v="O104259"/>
    <x v="392"/>
    <x v="2"/>
    <x v="7"/>
    <x v="1"/>
    <x v="1"/>
    <n v="1"/>
    <n v="15920"/>
    <d v="2025-09-16T00:00:00"/>
    <n v="9"/>
    <n v="16"/>
    <n v="2025"/>
    <x v="1"/>
    <s v="Q3"/>
    <x v="1"/>
  </r>
  <r>
    <s v="O110945"/>
    <x v="316"/>
    <x v="0"/>
    <x v="7"/>
    <x v="4"/>
    <x v="3"/>
    <n v="1"/>
    <n v="15888"/>
    <d v="2026-10-27T00:00:00"/>
    <n v="10"/>
    <n v="27"/>
    <n v="2026"/>
    <x v="9"/>
    <s v="Q4"/>
    <x v="4"/>
  </r>
  <r>
    <s v="O102500"/>
    <x v="391"/>
    <x v="2"/>
    <x v="7"/>
    <x v="2"/>
    <x v="3"/>
    <n v="1"/>
    <n v="15842"/>
    <d v="2025-01-06T00:00:00"/>
    <n v="1"/>
    <n v="6"/>
    <n v="2025"/>
    <x v="6"/>
    <s v="Q1"/>
    <x v="2"/>
  </r>
  <r>
    <s v="O106335"/>
    <x v="493"/>
    <x v="3"/>
    <x v="7"/>
    <x v="3"/>
    <x v="1"/>
    <n v="1"/>
    <n v="15831"/>
    <d v="2026-01-20T00:00:00"/>
    <n v="1"/>
    <n v="20"/>
    <n v="2026"/>
    <x v="6"/>
    <s v="Q1"/>
    <x v="3"/>
  </r>
  <r>
    <s v="O110973"/>
    <x v="38"/>
    <x v="6"/>
    <x v="7"/>
    <x v="4"/>
    <x v="2"/>
    <n v="1"/>
    <n v="15824"/>
    <d v="2026-10-29T00:00:00"/>
    <n v="10"/>
    <n v="29"/>
    <n v="2026"/>
    <x v="9"/>
    <s v="Q4"/>
    <x v="4"/>
  </r>
  <r>
    <s v="O108774"/>
    <x v="670"/>
    <x v="8"/>
    <x v="7"/>
    <x v="4"/>
    <x v="3"/>
    <n v="1"/>
    <n v="15809"/>
    <d v="2026-06-18T00:00:00"/>
    <n v="6"/>
    <n v="18"/>
    <n v="2026"/>
    <x v="2"/>
    <s v="Q2"/>
    <x v="4"/>
  </r>
  <r>
    <s v="O104829"/>
    <x v="92"/>
    <x v="5"/>
    <x v="7"/>
    <x v="1"/>
    <x v="3"/>
    <n v="1"/>
    <n v="15796"/>
    <d v="2025-10-21T00:00:00"/>
    <n v="10"/>
    <n v="21"/>
    <n v="2025"/>
    <x v="9"/>
    <s v="Q4"/>
    <x v="1"/>
  </r>
  <r>
    <s v="O109402"/>
    <x v="175"/>
    <x v="5"/>
    <x v="7"/>
    <x v="0"/>
    <x v="3"/>
    <n v="1"/>
    <n v="15785"/>
    <d v="2026-07-26T00:00:00"/>
    <n v="7"/>
    <n v="26"/>
    <n v="2026"/>
    <x v="10"/>
    <s v="Q3"/>
    <x v="0"/>
  </r>
  <r>
    <s v="O102216"/>
    <x v="774"/>
    <x v="10"/>
    <x v="7"/>
    <x v="3"/>
    <x v="0"/>
    <n v="1"/>
    <n v="15767"/>
    <d v="2025-05-15T00:00:00"/>
    <n v="5"/>
    <n v="15"/>
    <n v="2025"/>
    <x v="3"/>
    <s v="Q2"/>
    <x v="3"/>
  </r>
  <r>
    <s v="O106847"/>
    <x v="196"/>
    <x v="4"/>
    <x v="7"/>
    <x v="0"/>
    <x v="1"/>
    <n v="1"/>
    <n v="15761"/>
    <d v="2026-02-20T00:00:00"/>
    <n v="2"/>
    <n v="20"/>
    <n v="2026"/>
    <x v="4"/>
    <s v="Q1"/>
    <x v="0"/>
  </r>
  <r>
    <s v="O109535"/>
    <x v="406"/>
    <x v="8"/>
    <x v="7"/>
    <x v="3"/>
    <x v="3"/>
    <n v="1"/>
    <n v="15745"/>
    <d v="2026-03-08T00:00:00"/>
    <n v="3"/>
    <n v="8"/>
    <n v="2026"/>
    <x v="5"/>
    <s v="Q1"/>
    <x v="3"/>
  </r>
  <r>
    <s v="O100820"/>
    <x v="531"/>
    <x v="10"/>
    <x v="7"/>
    <x v="0"/>
    <x v="0"/>
    <n v="1"/>
    <n v="15730"/>
    <d v="2025-02-19T00:00:00"/>
    <n v="2"/>
    <n v="19"/>
    <n v="2025"/>
    <x v="4"/>
    <s v="Q1"/>
    <x v="0"/>
  </r>
  <r>
    <s v="O104739"/>
    <x v="696"/>
    <x v="5"/>
    <x v="7"/>
    <x v="3"/>
    <x v="3"/>
    <n v="1"/>
    <n v="15618"/>
    <d v="2025-10-15T00:00:00"/>
    <n v="10"/>
    <n v="15"/>
    <n v="2025"/>
    <x v="9"/>
    <s v="Q4"/>
    <x v="3"/>
  </r>
  <r>
    <s v="O102310"/>
    <x v="503"/>
    <x v="3"/>
    <x v="7"/>
    <x v="3"/>
    <x v="1"/>
    <n v="1"/>
    <n v="15569"/>
    <d v="2025-05-21T00:00:00"/>
    <n v="5"/>
    <n v="21"/>
    <n v="2025"/>
    <x v="3"/>
    <s v="Q2"/>
    <x v="3"/>
  </r>
  <r>
    <s v="O108057"/>
    <x v="795"/>
    <x v="10"/>
    <x v="7"/>
    <x v="2"/>
    <x v="0"/>
    <n v="1"/>
    <n v="15519"/>
    <d v="2026-05-05T00:00:00"/>
    <n v="5"/>
    <n v="5"/>
    <n v="2026"/>
    <x v="3"/>
    <s v="Q2"/>
    <x v="2"/>
  </r>
  <r>
    <s v="O105311"/>
    <x v="318"/>
    <x v="6"/>
    <x v="7"/>
    <x v="2"/>
    <x v="2"/>
    <n v="1"/>
    <n v="15505"/>
    <d v="2025-11-19T00:00:00"/>
    <n v="11"/>
    <n v="19"/>
    <n v="2025"/>
    <x v="0"/>
    <s v="Q4"/>
    <x v="2"/>
  </r>
  <r>
    <s v="O103766"/>
    <x v="257"/>
    <x v="6"/>
    <x v="7"/>
    <x v="4"/>
    <x v="1"/>
    <n v="1"/>
    <n v="15504"/>
    <d v="2025-08-17T00:00:00"/>
    <n v="8"/>
    <n v="17"/>
    <n v="2025"/>
    <x v="8"/>
    <s v="Q3"/>
    <x v="4"/>
  </r>
  <r>
    <s v="O103544"/>
    <x v="572"/>
    <x v="8"/>
    <x v="7"/>
    <x v="4"/>
    <x v="3"/>
    <n v="1"/>
    <n v="15356"/>
    <d v="2025-04-08T00:00:00"/>
    <n v="4"/>
    <n v="8"/>
    <n v="2025"/>
    <x v="11"/>
    <s v="Q2"/>
    <x v="4"/>
  </r>
  <r>
    <s v="O104099"/>
    <x v="236"/>
    <x v="4"/>
    <x v="7"/>
    <x v="4"/>
    <x v="0"/>
    <n v="1"/>
    <n v="15300"/>
    <d v="2025-06-09T00:00:00"/>
    <n v="6"/>
    <n v="9"/>
    <n v="2025"/>
    <x v="2"/>
    <s v="Q2"/>
    <x v="4"/>
  </r>
  <r>
    <s v="O107950"/>
    <x v="600"/>
    <x v="8"/>
    <x v="7"/>
    <x v="1"/>
    <x v="1"/>
    <n v="1"/>
    <n v="15298"/>
    <d v="2026-04-28T00:00:00"/>
    <n v="4"/>
    <n v="28"/>
    <n v="2026"/>
    <x v="11"/>
    <s v="Q2"/>
    <x v="1"/>
  </r>
  <r>
    <s v="O102068"/>
    <x v="243"/>
    <x v="5"/>
    <x v="7"/>
    <x v="3"/>
    <x v="3"/>
    <n v="1"/>
    <n v="15247"/>
    <d v="2025-06-05T00:00:00"/>
    <n v="6"/>
    <n v="5"/>
    <n v="2025"/>
    <x v="2"/>
    <s v="Q2"/>
    <x v="3"/>
  </r>
  <r>
    <s v="O108144"/>
    <x v="176"/>
    <x v="9"/>
    <x v="7"/>
    <x v="1"/>
    <x v="2"/>
    <n v="1"/>
    <n v="15198"/>
    <d v="2026-10-05T00:00:00"/>
    <n v="10"/>
    <n v="5"/>
    <n v="2026"/>
    <x v="9"/>
    <s v="Q4"/>
    <x v="1"/>
  </r>
  <r>
    <s v="O108502"/>
    <x v="688"/>
    <x v="0"/>
    <x v="7"/>
    <x v="1"/>
    <x v="0"/>
    <n v="1"/>
    <n v="15122"/>
    <d v="2026-01-06T00:00:00"/>
    <n v="1"/>
    <n v="6"/>
    <n v="2026"/>
    <x v="6"/>
    <s v="Q1"/>
    <x v="1"/>
  </r>
  <r>
    <s v="O101029"/>
    <x v="39"/>
    <x v="9"/>
    <x v="7"/>
    <x v="2"/>
    <x v="2"/>
    <n v="1"/>
    <n v="15091"/>
    <d v="2025-04-03T00:00:00"/>
    <n v="4"/>
    <n v="3"/>
    <n v="2025"/>
    <x v="11"/>
    <s v="Q2"/>
    <x v="2"/>
  </r>
  <r>
    <s v="O109274"/>
    <x v="763"/>
    <x v="6"/>
    <x v="7"/>
    <x v="0"/>
    <x v="3"/>
    <n v="1"/>
    <n v="15056"/>
    <d v="2026-07-18T00:00:00"/>
    <n v="7"/>
    <n v="18"/>
    <n v="2026"/>
    <x v="10"/>
    <s v="Q3"/>
    <x v="0"/>
  </r>
  <r>
    <s v="O106592"/>
    <x v="16"/>
    <x v="1"/>
    <x v="7"/>
    <x v="0"/>
    <x v="0"/>
    <n v="1"/>
    <n v="14959"/>
    <d v="2026-05-02T00:00:00"/>
    <n v="5"/>
    <n v="2"/>
    <n v="2026"/>
    <x v="3"/>
    <s v="Q2"/>
    <x v="0"/>
  </r>
  <r>
    <s v="O108758"/>
    <x v="671"/>
    <x v="6"/>
    <x v="7"/>
    <x v="1"/>
    <x v="2"/>
    <n v="1"/>
    <n v="14939"/>
    <d v="2026-06-17T00:00:00"/>
    <n v="6"/>
    <n v="17"/>
    <n v="2026"/>
    <x v="2"/>
    <s v="Q2"/>
    <x v="1"/>
  </r>
  <r>
    <s v="O100976"/>
    <x v="518"/>
    <x v="6"/>
    <x v="7"/>
    <x v="3"/>
    <x v="0"/>
    <n v="1"/>
    <n v="14895"/>
    <d v="2025-01-03T00:00:00"/>
    <n v="1"/>
    <n v="3"/>
    <n v="2025"/>
    <x v="6"/>
    <s v="Q1"/>
    <x v="3"/>
  </r>
  <r>
    <s v="O107270"/>
    <x v="494"/>
    <x v="8"/>
    <x v="7"/>
    <x v="0"/>
    <x v="3"/>
    <n v="1"/>
    <n v="14892"/>
    <d v="2026-03-18T00:00:00"/>
    <n v="3"/>
    <n v="18"/>
    <n v="2026"/>
    <x v="5"/>
    <s v="Q1"/>
    <x v="0"/>
  </r>
  <r>
    <s v="O104374"/>
    <x v="85"/>
    <x v="4"/>
    <x v="7"/>
    <x v="0"/>
    <x v="1"/>
    <n v="1"/>
    <n v="14822"/>
    <d v="2025-09-23T00:00:00"/>
    <n v="9"/>
    <n v="23"/>
    <n v="2025"/>
    <x v="1"/>
    <s v="Q3"/>
    <x v="0"/>
  </r>
  <r>
    <s v="O111137"/>
    <x v="689"/>
    <x v="6"/>
    <x v="7"/>
    <x v="4"/>
    <x v="3"/>
    <n v="1"/>
    <n v="14791"/>
    <d v="2026-08-11T00:00:00"/>
    <n v="8"/>
    <n v="11"/>
    <n v="2026"/>
    <x v="8"/>
    <s v="Q3"/>
    <x v="4"/>
  </r>
  <r>
    <s v="O106598"/>
    <x v="504"/>
    <x v="5"/>
    <x v="7"/>
    <x v="0"/>
    <x v="0"/>
    <n v="1"/>
    <n v="14773"/>
    <d v="2026-05-02T00:00:00"/>
    <n v="5"/>
    <n v="2"/>
    <n v="2026"/>
    <x v="3"/>
    <s v="Q2"/>
    <x v="0"/>
  </r>
  <r>
    <s v="O100324"/>
    <x v="394"/>
    <x v="1"/>
    <x v="7"/>
    <x v="1"/>
    <x v="2"/>
    <n v="1"/>
    <n v="14740"/>
    <d v="2025-01-20T00:00:00"/>
    <n v="1"/>
    <n v="20"/>
    <n v="2025"/>
    <x v="6"/>
    <s v="Q1"/>
    <x v="1"/>
  </r>
  <r>
    <s v="O109598"/>
    <x v="660"/>
    <x v="3"/>
    <x v="7"/>
    <x v="4"/>
    <x v="2"/>
    <n v="1"/>
    <n v="14696"/>
    <d v="2026-07-08T00:00:00"/>
    <n v="7"/>
    <n v="8"/>
    <n v="2026"/>
    <x v="10"/>
    <m/>
    <x v="4"/>
  </r>
  <r>
    <s v="O106776"/>
    <x v="442"/>
    <x v="5"/>
    <x v="7"/>
    <x v="3"/>
    <x v="0"/>
    <n v="1"/>
    <n v="14581"/>
    <d v="2026-02-16T00:00:00"/>
    <n v="2"/>
    <n v="16"/>
    <n v="2026"/>
    <x v="4"/>
    <s v="Q1"/>
    <x v="3"/>
  </r>
  <r>
    <s v="O106230"/>
    <x v="131"/>
    <x v="5"/>
    <x v="7"/>
    <x v="0"/>
    <x v="1"/>
    <n v="1"/>
    <n v="14557"/>
    <d v="2026-01-14T00:00:00"/>
    <n v="1"/>
    <n v="14"/>
    <n v="2026"/>
    <x v="6"/>
    <s v="Q1"/>
    <x v="0"/>
  </r>
  <r>
    <s v="O105353"/>
    <x v="649"/>
    <x v="3"/>
    <x v="7"/>
    <x v="3"/>
    <x v="3"/>
    <n v="1"/>
    <n v="14552"/>
    <d v="2025-11-22T00:00:00"/>
    <n v="11"/>
    <n v="22"/>
    <n v="2025"/>
    <x v="0"/>
    <s v="Q4"/>
    <x v="3"/>
  </r>
  <r>
    <s v="O102751"/>
    <x v="520"/>
    <x v="5"/>
    <x v="7"/>
    <x v="1"/>
    <x v="1"/>
    <n v="1"/>
    <n v="14493"/>
    <d v="2025-06-17T00:00:00"/>
    <n v="6"/>
    <n v="17"/>
    <n v="2025"/>
    <x v="2"/>
    <s v="Q2"/>
    <x v="1"/>
  </r>
  <r>
    <s v="O110020"/>
    <x v="284"/>
    <x v="0"/>
    <x v="7"/>
    <x v="1"/>
    <x v="1"/>
    <n v="1"/>
    <n v="14449"/>
    <d v="2026-01-09T00:00:00"/>
    <n v="1"/>
    <n v="9"/>
    <n v="2026"/>
    <x v="6"/>
    <s v="Q1"/>
    <x v="1"/>
  </r>
  <r>
    <s v="O102841"/>
    <x v="102"/>
    <x v="9"/>
    <x v="7"/>
    <x v="2"/>
    <x v="2"/>
    <n v="1"/>
    <n v="14443"/>
    <d v="2025-06-22T00:00:00"/>
    <n v="6"/>
    <n v="22"/>
    <n v="2025"/>
    <x v="2"/>
    <s v="Q2"/>
    <x v="2"/>
  </r>
  <r>
    <s v="O103863"/>
    <x v="290"/>
    <x v="0"/>
    <x v="7"/>
    <x v="0"/>
    <x v="2"/>
    <n v="1"/>
    <n v="14431"/>
    <d v="2025-08-23T00:00:00"/>
    <n v="8"/>
    <n v="23"/>
    <n v="2025"/>
    <x v="8"/>
    <s v="Q3"/>
    <x v="0"/>
  </r>
  <r>
    <s v="O108031"/>
    <x v="514"/>
    <x v="3"/>
    <x v="7"/>
    <x v="3"/>
    <x v="2"/>
    <n v="1"/>
    <n v="14376"/>
    <d v="2026-03-05T00:00:00"/>
    <n v="3"/>
    <n v="5"/>
    <n v="2026"/>
    <x v="5"/>
    <m/>
    <x v="3"/>
  </r>
  <r>
    <s v="O100411"/>
    <x v="569"/>
    <x v="4"/>
    <x v="7"/>
    <x v="2"/>
    <x v="1"/>
    <n v="1"/>
    <n v="14342"/>
    <d v="2025-01-25T00:00:00"/>
    <n v="1"/>
    <n v="25"/>
    <n v="2025"/>
    <x v="6"/>
    <s v="Q1"/>
    <x v="2"/>
  </r>
  <r>
    <s v="O100123"/>
    <x v="214"/>
    <x v="3"/>
    <x v="7"/>
    <x v="3"/>
    <x v="2"/>
    <n v="1"/>
    <n v="14286"/>
    <d v="2025-08-01T00:00:00"/>
    <n v="8"/>
    <n v="1"/>
    <n v="2025"/>
    <x v="8"/>
    <s v="Q3"/>
    <x v="3"/>
  </r>
  <r>
    <s v="O107009"/>
    <x v="666"/>
    <x v="8"/>
    <x v="7"/>
    <x v="2"/>
    <x v="1"/>
    <n v="1"/>
    <n v="14215"/>
    <d v="2026-02-03T00:00:00"/>
    <n v="2"/>
    <n v="3"/>
    <n v="2026"/>
    <x v="4"/>
    <m/>
    <x v="2"/>
  </r>
  <r>
    <s v="O107689"/>
    <x v="29"/>
    <x v="9"/>
    <x v="7"/>
    <x v="2"/>
    <x v="2"/>
    <n v="1"/>
    <n v="14212"/>
    <d v="2026-04-13T00:00:00"/>
    <n v="4"/>
    <n v="13"/>
    <n v="2026"/>
    <x v="11"/>
    <s v="Q2"/>
    <x v="2"/>
  </r>
  <r>
    <s v="O100195"/>
    <x v="469"/>
    <x v="0"/>
    <x v="7"/>
    <x v="4"/>
    <x v="1"/>
    <n v="1"/>
    <n v="14198"/>
    <d v="2025-12-01T00:00:00"/>
    <n v="12"/>
    <n v="1"/>
    <n v="2025"/>
    <x v="7"/>
    <s v="Q4"/>
    <x v="4"/>
  </r>
  <r>
    <s v="O110683"/>
    <x v="432"/>
    <x v="8"/>
    <x v="7"/>
    <x v="4"/>
    <x v="3"/>
    <n v="1"/>
    <n v="14101"/>
    <d v="2026-11-10T00:00:00"/>
    <n v="11"/>
    <n v="10"/>
    <n v="2026"/>
    <x v="0"/>
    <s v="Q4"/>
    <x v="4"/>
  </r>
  <r>
    <s v="O104278"/>
    <x v="425"/>
    <x v="2"/>
    <x v="7"/>
    <x v="4"/>
    <x v="1"/>
    <n v="1"/>
    <n v="14083"/>
    <d v="2025-09-17T00:00:00"/>
    <n v="9"/>
    <n v="17"/>
    <n v="2025"/>
    <x v="1"/>
    <s v="Q3"/>
    <x v="4"/>
  </r>
  <r>
    <s v="O111704"/>
    <x v="255"/>
    <x v="6"/>
    <x v="7"/>
    <x v="4"/>
    <x v="0"/>
    <n v="1"/>
    <n v="14078"/>
    <d v="2026-12-13T00:00:00"/>
    <n v="12"/>
    <n v="13"/>
    <n v="2026"/>
    <x v="7"/>
    <s v="Q4"/>
    <x v="4"/>
  </r>
  <r>
    <s v="O100580"/>
    <x v="714"/>
    <x v="4"/>
    <x v="7"/>
    <x v="4"/>
    <x v="3"/>
    <n v="1"/>
    <n v="14059"/>
    <d v="2025-05-02T00:00:00"/>
    <n v="5"/>
    <n v="2"/>
    <n v="2025"/>
    <x v="3"/>
    <s v="Q2"/>
    <x v="4"/>
  </r>
  <r>
    <s v="O108281"/>
    <x v="55"/>
    <x v="2"/>
    <x v="7"/>
    <x v="0"/>
    <x v="0"/>
    <n v="1"/>
    <n v="14041"/>
    <d v="2026-05-19T00:00:00"/>
    <n v="5"/>
    <n v="19"/>
    <n v="2026"/>
    <x v="3"/>
    <s v="Q2"/>
    <x v="0"/>
  </r>
  <r>
    <s v="O109312"/>
    <x v="292"/>
    <x v="6"/>
    <x v="7"/>
    <x v="5"/>
    <x v="1"/>
    <n v="1"/>
    <n v="14002"/>
    <d v="2026-07-20T00:00:00"/>
    <n v="7"/>
    <n v="20"/>
    <n v="2026"/>
    <x v="10"/>
    <s v="Q3"/>
    <x v="5"/>
  </r>
  <r>
    <s v="O104461"/>
    <x v="257"/>
    <x v="2"/>
    <x v="7"/>
    <x v="0"/>
    <x v="1"/>
    <n v="1"/>
    <n v="13944"/>
    <d v="2025-09-28T00:00:00"/>
    <n v="9"/>
    <n v="28"/>
    <n v="2025"/>
    <x v="1"/>
    <s v="Q3"/>
    <x v="0"/>
  </r>
  <r>
    <s v="O105935"/>
    <x v="237"/>
    <x v="6"/>
    <x v="7"/>
    <x v="3"/>
    <x v="0"/>
    <n v="1"/>
    <n v="13924"/>
    <d v="2025-12-27T00:00:00"/>
    <n v="12"/>
    <n v="27"/>
    <n v="2025"/>
    <x v="7"/>
    <s v="Q4"/>
    <x v="3"/>
  </r>
  <r>
    <s v="O108826"/>
    <x v="302"/>
    <x v="3"/>
    <x v="7"/>
    <x v="1"/>
    <x v="1"/>
    <n v="1"/>
    <n v="13903"/>
    <d v="2026-06-21T00:00:00"/>
    <n v="6"/>
    <n v="21"/>
    <n v="2026"/>
    <x v="2"/>
    <s v="Q2"/>
    <x v="1"/>
  </r>
  <r>
    <s v="O107700"/>
    <x v="728"/>
    <x v="8"/>
    <x v="7"/>
    <x v="0"/>
    <x v="2"/>
    <n v="1"/>
    <n v="13818"/>
    <d v="2026-04-13T00:00:00"/>
    <n v="4"/>
    <n v="13"/>
    <n v="2026"/>
    <x v="11"/>
    <s v="Q2"/>
    <x v="0"/>
  </r>
  <r>
    <s v="O108772"/>
    <x v="632"/>
    <x v="0"/>
    <x v="7"/>
    <x v="4"/>
    <x v="3"/>
    <n v="1"/>
    <n v="13781"/>
    <d v="2026-06-17T00:00:00"/>
    <n v="6"/>
    <n v="17"/>
    <n v="2026"/>
    <x v="2"/>
    <s v="Q2"/>
    <x v="4"/>
  </r>
  <r>
    <s v="O107335"/>
    <x v="578"/>
    <x v="2"/>
    <x v="7"/>
    <x v="4"/>
    <x v="1"/>
    <n v="1"/>
    <n v="13778"/>
    <d v="2026-03-22T00:00:00"/>
    <n v="3"/>
    <n v="22"/>
    <n v="2026"/>
    <x v="5"/>
    <s v="Q1"/>
    <x v="4"/>
  </r>
  <r>
    <s v="O107445"/>
    <x v="637"/>
    <x v="0"/>
    <x v="7"/>
    <x v="4"/>
    <x v="1"/>
    <n v="1"/>
    <n v="13776"/>
    <d v="2026-03-29T00:00:00"/>
    <n v="3"/>
    <n v="29"/>
    <n v="2026"/>
    <x v="5"/>
    <s v="Q1"/>
    <x v="4"/>
  </r>
  <r>
    <s v="O108413"/>
    <x v="706"/>
    <x v="0"/>
    <x v="7"/>
    <x v="4"/>
    <x v="1"/>
    <n v="1"/>
    <n v="13728"/>
    <d v="2026-05-27T00:00:00"/>
    <n v="5"/>
    <n v="27"/>
    <n v="2026"/>
    <x v="3"/>
    <s v="Q2"/>
    <x v="4"/>
  </r>
  <r>
    <s v="O101204"/>
    <x v="70"/>
    <x v="1"/>
    <x v="7"/>
    <x v="0"/>
    <x v="2"/>
    <n v="1"/>
    <n v="13726"/>
    <d v="2025-03-15T00:00:00"/>
    <n v="3"/>
    <n v="15"/>
    <n v="2025"/>
    <x v="5"/>
    <s v="Q1"/>
    <x v="0"/>
  </r>
  <r>
    <s v="O110996"/>
    <x v="345"/>
    <x v="9"/>
    <x v="7"/>
    <x v="1"/>
    <x v="1"/>
    <n v="1"/>
    <n v="13685"/>
    <d v="2026-10-31T00:00:00"/>
    <n v="10"/>
    <n v="31"/>
    <n v="2026"/>
    <x v="9"/>
    <s v="Q4"/>
    <x v="1"/>
  </r>
  <r>
    <s v="O106197"/>
    <x v="465"/>
    <x v="1"/>
    <x v="7"/>
    <x v="2"/>
    <x v="0"/>
    <n v="1"/>
    <n v="13582"/>
    <d v="2026-12-01T00:00:00"/>
    <n v="12"/>
    <n v="1"/>
    <n v="2026"/>
    <x v="7"/>
    <s v="Q4"/>
    <x v="2"/>
  </r>
  <r>
    <s v="O108193"/>
    <x v="49"/>
    <x v="8"/>
    <x v="7"/>
    <x v="0"/>
    <x v="1"/>
    <n v="1"/>
    <n v="13513"/>
    <d v="2026-05-13T00:00:00"/>
    <n v="5"/>
    <n v="13"/>
    <n v="2026"/>
    <x v="3"/>
    <s v="Q2"/>
    <x v="0"/>
  </r>
  <r>
    <s v="O107699"/>
    <x v="598"/>
    <x v="10"/>
    <x v="7"/>
    <x v="4"/>
    <x v="3"/>
    <n v="1"/>
    <n v="13502"/>
    <d v="2026-04-13T00:00:00"/>
    <n v="4"/>
    <n v="13"/>
    <n v="2026"/>
    <x v="11"/>
    <s v="Q2"/>
    <x v="4"/>
  </r>
  <r>
    <s v="O109751"/>
    <x v="761"/>
    <x v="7"/>
    <x v="7"/>
    <x v="3"/>
    <x v="0"/>
    <n v="1"/>
    <n v="13469"/>
    <d v="2026-08-16T00:00:00"/>
    <n v="8"/>
    <n v="16"/>
    <n v="2026"/>
    <x v="8"/>
    <s v="Q3"/>
    <x v="3"/>
  </r>
  <r>
    <s v="O110436"/>
    <x v="562"/>
    <x v="4"/>
    <x v="7"/>
    <x v="7"/>
    <x v="3"/>
    <n v="1"/>
    <n v="13461"/>
    <d v="2026-09-26T00:00:00"/>
    <n v="9"/>
    <n v="26"/>
    <n v="2026"/>
    <x v="1"/>
    <s v="Q3"/>
    <x v="3"/>
  </r>
  <r>
    <s v="O101071"/>
    <x v="597"/>
    <x v="8"/>
    <x v="7"/>
    <x v="0"/>
    <x v="1"/>
    <n v="1"/>
    <n v="13458"/>
    <d v="2025-07-03T00:00:00"/>
    <n v="7"/>
    <n v="3"/>
    <n v="2025"/>
    <x v="10"/>
    <s v="Q3"/>
    <x v="0"/>
  </r>
  <r>
    <s v="O102491"/>
    <x v="781"/>
    <x v="5"/>
    <x v="7"/>
    <x v="3"/>
    <x v="1"/>
    <n v="1"/>
    <n v="13393"/>
    <d v="2025-01-06T00:00:00"/>
    <n v="1"/>
    <n v="6"/>
    <n v="2025"/>
    <x v="6"/>
    <s v="Q1"/>
    <x v="3"/>
  </r>
  <r>
    <s v="O100330"/>
    <x v="49"/>
    <x v="1"/>
    <x v="7"/>
    <x v="3"/>
    <x v="3"/>
    <n v="1"/>
    <n v="13371"/>
    <d v="2025-01-20T00:00:00"/>
    <n v="1"/>
    <n v="20"/>
    <n v="2025"/>
    <x v="6"/>
    <s v="Q1"/>
    <x v="3"/>
  </r>
  <r>
    <s v="O104095"/>
    <x v="323"/>
    <x v="0"/>
    <x v="7"/>
    <x v="4"/>
    <x v="3"/>
    <n v="1"/>
    <n v="13362"/>
    <d v="2025-06-09T00:00:00"/>
    <n v="6"/>
    <n v="9"/>
    <n v="2025"/>
    <x v="2"/>
    <s v="Q2"/>
    <x v="4"/>
  </r>
  <r>
    <s v="O109820"/>
    <x v="350"/>
    <x v="9"/>
    <x v="7"/>
    <x v="4"/>
    <x v="2"/>
    <n v="1"/>
    <n v="13341"/>
    <d v="2026-08-20T00:00:00"/>
    <n v="8"/>
    <n v="20"/>
    <n v="2026"/>
    <x v="8"/>
    <s v="Q3"/>
    <x v="4"/>
  </r>
  <r>
    <s v="O108780"/>
    <x v="387"/>
    <x v="2"/>
    <x v="7"/>
    <x v="0"/>
    <x v="3"/>
    <n v="1"/>
    <n v="13225"/>
    <d v="2026-06-18T00:00:00"/>
    <n v="6"/>
    <n v="18"/>
    <n v="2026"/>
    <x v="2"/>
    <s v="Q2"/>
    <x v="0"/>
  </r>
  <r>
    <s v="O103834"/>
    <x v="425"/>
    <x v="0"/>
    <x v="7"/>
    <x v="0"/>
    <x v="0"/>
    <n v="1"/>
    <n v="13220"/>
    <d v="2025-08-21T00:00:00"/>
    <n v="8"/>
    <n v="21"/>
    <n v="2025"/>
    <x v="8"/>
    <s v="Q3"/>
    <x v="0"/>
  </r>
  <r>
    <s v="O101145"/>
    <x v="366"/>
    <x v="6"/>
    <x v="7"/>
    <x v="0"/>
    <x v="0"/>
    <n v="1"/>
    <n v="13214"/>
    <d v="2025-11-03T00:00:00"/>
    <n v="11"/>
    <n v="3"/>
    <n v="2025"/>
    <x v="0"/>
    <s v="Q4"/>
    <x v="0"/>
  </r>
  <r>
    <s v="O109748"/>
    <x v="393"/>
    <x v="5"/>
    <x v="7"/>
    <x v="3"/>
    <x v="2"/>
    <n v="1"/>
    <n v="13180"/>
    <d v="2026-08-16T00:00:00"/>
    <n v="8"/>
    <n v="16"/>
    <n v="2026"/>
    <x v="8"/>
    <s v="Q3"/>
    <x v="3"/>
  </r>
  <r>
    <s v="O107201"/>
    <x v="326"/>
    <x v="10"/>
    <x v="7"/>
    <x v="0"/>
    <x v="0"/>
    <n v="1"/>
    <n v="13113"/>
    <d v="2026-03-14T00:00:00"/>
    <n v="3"/>
    <n v="14"/>
    <n v="2026"/>
    <x v="5"/>
    <s v="Q1"/>
    <x v="0"/>
  </r>
  <r>
    <s v="O101535"/>
    <x v="621"/>
    <x v="6"/>
    <x v="7"/>
    <x v="0"/>
    <x v="2"/>
    <n v="1"/>
    <n v="13052"/>
    <d v="2025-04-04T00:00:00"/>
    <n v="4"/>
    <n v="4"/>
    <n v="2025"/>
    <x v="11"/>
    <s v="Q2"/>
    <x v="0"/>
  </r>
  <r>
    <s v="O106720"/>
    <x v="468"/>
    <x v="5"/>
    <x v="7"/>
    <x v="2"/>
    <x v="3"/>
    <n v="1"/>
    <n v="12919"/>
    <d v="2026-02-13T00:00:00"/>
    <n v="2"/>
    <n v="13"/>
    <n v="2026"/>
    <x v="4"/>
    <s v="Q1"/>
    <x v="2"/>
  </r>
  <r>
    <s v="O103163"/>
    <x v="667"/>
    <x v="1"/>
    <x v="7"/>
    <x v="3"/>
    <x v="2"/>
    <n v="1"/>
    <n v="12830"/>
    <d v="2025-12-07T00:00:00"/>
    <n v="12"/>
    <n v="7"/>
    <n v="2025"/>
    <x v="7"/>
    <s v="Q4"/>
    <x v="3"/>
  </r>
  <r>
    <s v="O109138"/>
    <x v="524"/>
    <x v="1"/>
    <x v="7"/>
    <x v="1"/>
    <x v="3"/>
    <n v="1"/>
    <n v="12697"/>
    <d v="2026-10-07T00:00:00"/>
    <n v="10"/>
    <n v="7"/>
    <n v="2026"/>
    <x v="9"/>
    <s v="Q4"/>
    <x v="1"/>
  </r>
  <r>
    <s v="O102523"/>
    <x v="522"/>
    <x v="1"/>
    <x v="7"/>
    <x v="4"/>
    <x v="0"/>
    <n v="1"/>
    <n v="12695"/>
    <d v="2025-03-06T00:00:00"/>
    <n v="3"/>
    <n v="6"/>
    <n v="2025"/>
    <x v="5"/>
    <s v="Q1"/>
    <x v="4"/>
  </r>
  <r>
    <s v="O105464"/>
    <x v="246"/>
    <x v="10"/>
    <x v="7"/>
    <x v="4"/>
    <x v="3"/>
    <n v="1"/>
    <n v="12689"/>
    <d v="2025-11-28T00:00:00"/>
    <n v="11"/>
    <n v="28"/>
    <n v="2025"/>
    <x v="0"/>
    <s v="Q4"/>
    <x v="4"/>
  </r>
  <r>
    <s v="O100608"/>
    <x v="306"/>
    <x v="4"/>
    <x v="7"/>
    <x v="1"/>
    <x v="3"/>
    <n v="1"/>
    <n v="12643"/>
    <d v="2025-06-02T00:00:00"/>
    <n v="6"/>
    <n v="2"/>
    <n v="2025"/>
    <x v="2"/>
    <s v="Q2"/>
    <x v="1"/>
  </r>
  <r>
    <s v="O108955"/>
    <x v="170"/>
    <x v="5"/>
    <x v="7"/>
    <x v="1"/>
    <x v="0"/>
    <n v="1"/>
    <n v="12487"/>
    <d v="2026-06-29T00:00:00"/>
    <n v="6"/>
    <n v="29"/>
    <n v="2026"/>
    <x v="2"/>
    <s v="Q2"/>
    <x v="1"/>
  </r>
  <r>
    <s v="O102909"/>
    <x v="250"/>
    <x v="4"/>
    <x v="7"/>
    <x v="3"/>
    <x v="0"/>
    <n v="1"/>
    <n v="12388"/>
    <d v="2025-06-26T00:00:00"/>
    <n v="6"/>
    <n v="26"/>
    <n v="2025"/>
    <x v="2"/>
    <s v="Q2"/>
    <x v="3"/>
  </r>
  <r>
    <s v="O105551"/>
    <x v="29"/>
    <x v="9"/>
    <x v="7"/>
    <x v="2"/>
    <x v="2"/>
    <n v="1"/>
    <n v="12378"/>
    <d v="2025-04-12T00:00:00"/>
    <n v="4"/>
    <n v="12"/>
    <n v="2025"/>
    <x v="11"/>
    <s v="Q2"/>
    <x v="2"/>
  </r>
  <r>
    <s v="O106218"/>
    <x v="760"/>
    <x v="3"/>
    <x v="7"/>
    <x v="0"/>
    <x v="2"/>
    <n v="1"/>
    <n v="12367"/>
    <d v="2026-01-13T00:00:00"/>
    <n v="1"/>
    <n v="13"/>
    <n v="2026"/>
    <x v="6"/>
    <s v="Q1"/>
    <x v="0"/>
  </r>
  <r>
    <s v="O109427"/>
    <x v="593"/>
    <x v="6"/>
    <x v="7"/>
    <x v="1"/>
    <x v="1"/>
    <n v="1"/>
    <n v="12331"/>
    <d v="2026-07-27T00:00:00"/>
    <n v="7"/>
    <n v="27"/>
    <n v="2026"/>
    <x v="10"/>
    <s v="Q3"/>
    <x v="1"/>
  </r>
  <r>
    <s v="O102646"/>
    <x v="544"/>
    <x v="1"/>
    <x v="7"/>
    <x v="4"/>
    <x v="2"/>
    <n v="1"/>
    <n v="12323"/>
    <d v="2025-10-06T00:00:00"/>
    <n v="10"/>
    <n v="6"/>
    <n v="2025"/>
    <x v="9"/>
    <s v="Q4"/>
    <x v="4"/>
  </r>
  <r>
    <s v="O109026"/>
    <x v="218"/>
    <x v="3"/>
    <x v="7"/>
    <x v="4"/>
    <x v="1"/>
    <n v="1"/>
    <n v="12285"/>
    <d v="2026-03-07T00:00:00"/>
    <n v="3"/>
    <n v="7"/>
    <n v="2026"/>
    <x v="5"/>
    <s v="Q1"/>
    <x v="4"/>
  </r>
  <r>
    <s v="O106684"/>
    <x v="125"/>
    <x v="4"/>
    <x v="7"/>
    <x v="2"/>
    <x v="3"/>
    <n v="1"/>
    <n v="12250"/>
    <d v="2026-11-02T00:00:00"/>
    <n v="11"/>
    <n v="2"/>
    <n v="2026"/>
    <x v="0"/>
    <s v="Q4"/>
    <x v="2"/>
  </r>
  <r>
    <s v="O111767"/>
    <x v="298"/>
    <x v="3"/>
    <x v="7"/>
    <x v="1"/>
    <x v="0"/>
    <n v="1"/>
    <n v="12233"/>
    <d v="2026-12-16T00:00:00"/>
    <n v="12"/>
    <n v="16"/>
    <n v="2026"/>
    <x v="7"/>
    <s v="Q4"/>
    <x v="1"/>
  </r>
  <r>
    <s v="O101846"/>
    <x v="320"/>
    <x v="10"/>
    <x v="7"/>
    <x v="0"/>
    <x v="1"/>
    <n v="1"/>
    <n v="12209"/>
    <d v="2025-04-23T00:00:00"/>
    <n v="4"/>
    <n v="23"/>
    <n v="2025"/>
    <x v="11"/>
    <s v="Q2"/>
    <x v="0"/>
  </r>
  <r>
    <s v="O104711"/>
    <x v="266"/>
    <x v="4"/>
    <x v="7"/>
    <x v="0"/>
    <x v="1"/>
    <n v="1"/>
    <n v="12163"/>
    <d v="2025-10-14T00:00:00"/>
    <n v="10"/>
    <n v="14"/>
    <n v="2025"/>
    <x v="9"/>
    <s v="Q4"/>
    <x v="0"/>
  </r>
  <r>
    <s v="O106269"/>
    <x v="527"/>
    <x v="0"/>
    <x v="7"/>
    <x v="0"/>
    <x v="1"/>
    <n v="1"/>
    <n v="12161"/>
    <d v="2026-01-16T00:00:00"/>
    <n v="1"/>
    <n v="16"/>
    <n v="2026"/>
    <x v="6"/>
    <m/>
    <x v="0"/>
  </r>
  <r>
    <s v="O107609"/>
    <x v="435"/>
    <x v="4"/>
    <x v="7"/>
    <x v="4"/>
    <x v="0"/>
    <n v="1"/>
    <n v="12039"/>
    <d v="2026-08-04T00:00:00"/>
    <n v="8"/>
    <n v="4"/>
    <n v="2026"/>
    <x v="8"/>
    <s v="Q3"/>
    <x v="4"/>
  </r>
  <r>
    <s v="O110096"/>
    <x v="422"/>
    <x v="3"/>
    <x v="7"/>
    <x v="0"/>
    <x v="0"/>
    <n v="1"/>
    <n v="11971"/>
    <d v="2026-06-09T00:00:00"/>
    <n v="6"/>
    <n v="9"/>
    <n v="2026"/>
    <x v="2"/>
    <m/>
    <x v="0"/>
  </r>
  <r>
    <s v="O108807"/>
    <x v="52"/>
    <x v="8"/>
    <x v="7"/>
    <x v="0"/>
    <x v="3"/>
    <n v="1"/>
    <n v="11883"/>
    <d v="2026-06-20T00:00:00"/>
    <n v="6"/>
    <n v="20"/>
    <n v="2026"/>
    <x v="2"/>
    <s v="Q2"/>
    <x v="0"/>
  </r>
  <r>
    <s v="O104531"/>
    <x v="787"/>
    <x v="4"/>
    <x v="7"/>
    <x v="2"/>
    <x v="1"/>
    <n v="1"/>
    <n v="11877"/>
    <d v="2025-03-10T00:00:00"/>
    <n v="3"/>
    <n v="10"/>
    <n v="2025"/>
    <x v="5"/>
    <s v="Q1"/>
    <x v="2"/>
  </r>
  <r>
    <s v="O106781"/>
    <x v="173"/>
    <x v="4"/>
    <x v="7"/>
    <x v="3"/>
    <x v="1"/>
    <n v="1"/>
    <n v="11855"/>
    <d v="2026-02-16T00:00:00"/>
    <n v="2"/>
    <n v="16"/>
    <n v="2026"/>
    <x v="4"/>
    <s v="Q1"/>
    <x v="3"/>
  </r>
  <r>
    <s v="O104437"/>
    <x v="485"/>
    <x v="10"/>
    <x v="7"/>
    <x v="1"/>
    <x v="2"/>
    <n v="1"/>
    <n v="11842"/>
    <d v="2025-09-27T00:00:00"/>
    <n v="9"/>
    <n v="27"/>
    <n v="2025"/>
    <x v="1"/>
    <s v="Q3"/>
    <x v="1"/>
  </r>
  <r>
    <s v="O102200"/>
    <x v="563"/>
    <x v="1"/>
    <x v="7"/>
    <x v="4"/>
    <x v="1"/>
    <n v="1"/>
    <n v="11837"/>
    <d v="2025-05-14T00:00:00"/>
    <n v="5"/>
    <n v="14"/>
    <n v="2025"/>
    <x v="3"/>
    <s v="Q2"/>
    <x v="4"/>
  </r>
  <r>
    <s v="O106305"/>
    <x v="167"/>
    <x v="2"/>
    <x v="7"/>
    <x v="1"/>
    <x v="0"/>
    <n v="1"/>
    <n v="11791"/>
    <d v="2026-01-18T00:00:00"/>
    <n v="1"/>
    <n v="18"/>
    <n v="2026"/>
    <x v="6"/>
    <s v="Q1"/>
    <x v="1"/>
  </r>
  <r>
    <s v="O110245"/>
    <x v="755"/>
    <x v="0"/>
    <x v="7"/>
    <x v="1"/>
    <x v="2"/>
    <n v="1"/>
    <n v="11784"/>
    <d v="2026-09-15T00:00:00"/>
    <n v="9"/>
    <n v="15"/>
    <n v="2026"/>
    <x v="1"/>
    <s v="Q3"/>
    <x v="1"/>
  </r>
  <r>
    <s v="O101723"/>
    <x v="100"/>
    <x v="10"/>
    <x v="7"/>
    <x v="4"/>
    <x v="0"/>
    <n v="1"/>
    <n v="11747"/>
    <d v="2025-04-15T00:00:00"/>
    <n v="4"/>
    <n v="15"/>
    <n v="2025"/>
    <x v="11"/>
    <s v="Q2"/>
    <x v="4"/>
  </r>
  <r>
    <s v="O100488"/>
    <x v="365"/>
    <x v="3"/>
    <x v="7"/>
    <x v="0"/>
    <x v="2"/>
    <n v="1"/>
    <n v="11692"/>
    <d v="2025-01-30T00:00:00"/>
    <n v="1"/>
    <n v="30"/>
    <n v="2025"/>
    <x v="6"/>
    <s v="Q1"/>
    <x v="0"/>
  </r>
  <r>
    <s v="O107303"/>
    <x v="234"/>
    <x v="8"/>
    <x v="7"/>
    <x v="3"/>
    <x v="2"/>
    <n v="1"/>
    <n v="11636"/>
    <d v="2026-03-20T00:00:00"/>
    <n v="3"/>
    <n v="20"/>
    <n v="2026"/>
    <x v="5"/>
    <s v="Q1"/>
    <x v="3"/>
  </r>
  <r>
    <s v="O102548"/>
    <x v="79"/>
    <x v="1"/>
    <x v="7"/>
    <x v="0"/>
    <x v="1"/>
    <n v="1"/>
    <n v="11543"/>
    <d v="2025-04-06T00:00:00"/>
    <n v="4"/>
    <n v="6"/>
    <n v="2025"/>
    <x v="11"/>
    <s v="Q2"/>
    <x v="0"/>
  </r>
  <r>
    <s v="O110690"/>
    <x v="460"/>
    <x v="10"/>
    <x v="7"/>
    <x v="1"/>
    <x v="2"/>
    <n v="1"/>
    <n v="11542"/>
    <d v="2026-12-10T00:00:00"/>
    <n v="12"/>
    <n v="10"/>
    <n v="2026"/>
    <x v="7"/>
    <s v="Q4"/>
    <x v="1"/>
  </r>
  <r>
    <s v="O102551"/>
    <x v="192"/>
    <x v="8"/>
    <x v="7"/>
    <x v="0"/>
    <x v="2"/>
    <n v="1"/>
    <n v="11534"/>
    <d v="2025-04-06T00:00:00"/>
    <n v="4"/>
    <n v="6"/>
    <n v="2025"/>
    <x v="11"/>
    <s v="Q2"/>
    <x v="0"/>
  </r>
  <r>
    <s v="O104562"/>
    <x v="699"/>
    <x v="1"/>
    <x v="7"/>
    <x v="2"/>
    <x v="1"/>
    <n v="1"/>
    <n v="11522"/>
    <d v="2025-05-10T00:00:00"/>
    <n v="5"/>
    <n v="10"/>
    <n v="2025"/>
    <x v="3"/>
    <s v="Q2"/>
    <x v="2"/>
  </r>
  <r>
    <s v="O111319"/>
    <x v="156"/>
    <x v="4"/>
    <x v="7"/>
    <x v="3"/>
    <x v="3"/>
    <n v="1"/>
    <n v="11407"/>
    <d v="2026-11-19T00:00:00"/>
    <n v="11"/>
    <n v="19"/>
    <n v="2026"/>
    <x v="0"/>
    <s v="Q4"/>
    <x v="3"/>
  </r>
  <r>
    <s v="O111820"/>
    <x v="325"/>
    <x v="4"/>
    <x v="7"/>
    <x v="2"/>
    <x v="0"/>
    <n v="1"/>
    <n v="11294"/>
    <d v="2026-12-20T00:00:00"/>
    <n v="12"/>
    <n v="20"/>
    <n v="2026"/>
    <x v="7"/>
    <s v="Q4"/>
    <x v="2"/>
  </r>
  <r>
    <s v="O103977"/>
    <x v="265"/>
    <x v="9"/>
    <x v="7"/>
    <x v="0"/>
    <x v="2"/>
    <n v="1"/>
    <n v="11290"/>
    <d v="2025-08-30T00:00:00"/>
    <n v="8"/>
    <n v="30"/>
    <n v="2025"/>
    <x v="8"/>
    <s v="Q3"/>
    <x v="0"/>
  </r>
  <r>
    <s v="O100392"/>
    <x v="7"/>
    <x v="3"/>
    <x v="7"/>
    <x v="3"/>
    <x v="1"/>
    <n v="1"/>
    <n v="11285"/>
    <d v="2025-01-24T00:00:00"/>
    <n v="1"/>
    <n v="24"/>
    <n v="2025"/>
    <x v="6"/>
    <s v="Q1"/>
    <x v="3"/>
  </r>
  <r>
    <s v="O101269"/>
    <x v="627"/>
    <x v="2"/>
    <x v="2"/>
    <x v="3"/>
    <x v="3"/>
    <n v="7"/>
    <n v="-12876"/>
    <d v="2025-03-19T00:00:00"/>
    <n v="3"/>
    <n v="19"/>
    <n v="2025"/>
    <x v="5"/>
    <s v="Q1"/>
    <x v="3"/>
  </r>
  <r>
    <s v="O103529"/>
    <x v="572"/>
    <x v="4"/>
    <x v="3"/>
    <x v="2"/>
    <x v="1"/>
    <n v="1"/>
    <n v="-17067"/>
    <d v="2025-03-08T00:00:00"/>
    <n v="3"/>
    <n v="8"/>
    <n v="2025"/>
    <x v="5"/>
    <s v="Q1"/>
    <x v="2"/>
  </r>
  <r>
    <s v="O103042"/>
    <x v="606"/>
    <x v="10"/>
    <x v="3"/>
    <x v="3"/>
    <x v="2"/>
    <n v="4"/>
    <n v="-19493"/>
    <d v="2025-04-07T00:00:00"/>
    <n v="4"/>
    <n v="7"/>
    <n v="2025"/>
    <x v="11"/>
    <s v="Q2"/>
    <x v="3"/>
  </r>
  <r>
    <s v="O108934"/>
    <x v="354"/>
    <x v="10"/>
    <x v="2"/>
    <x v="3"/>
    <x v="2"/>
    <n v="7"/>
    <n v="-46924"/>
    <d v="2026-06-27T00:00:00"/>
    <n v="6"/>
    <n v="27"/>
    <n v="2026"/>
    <x v="2"/>
    <s v="Q2"/>
    <x v="3"/>
  </r>
  <r>
    <s v="O111194"/>
    <x v="7"/>
    <x v="10"/>
    <x v="2"/>
    <x v="0"/>
    <x v="1"/>
    <n v="8"/>
    <n v="-49157"/>
    <d v="2026-12-11T00:00:00"/>
    <n v="12"/>
    <n v="11"/>
    <n v="2026"/>
    <x v="7"/>
    <s v="Q4"/>
    <x v="0"/>
  </r>
  <r>
    <s v="O109708"/>
    <x v="147"/>
    <x v="2"/>
    <x v="6"/>
    <x v="1"/>
    <x v="3"/>
    <n v="8"/>
    <n v="-71029"/>
    <d v="2026-08-13T00:00:00"/>
    <n v="8"/>
    <n v="13"/>
    <n v="2026"/>
    <x v="8"/>
    <s v="Q3"/>
    <x v="1"/>
  </r>
  <r>
    <s v="O111715"/>
    <x v="399"/>
    <x v="10"/>
    <x v="0"/>
    <x v="0"/>
    <x v="1"/>
    <n v="10"/>
    <n v="-73588"/>
    <d v="2026-12-13T00:00:00"/>
    <n v="12"/>
    <n v="13"/>
    <n v="2026"/>
    <x v="7"/>
    <s v="Q4"/>
    <x v="0"/>
  </r>
  <r>
    <s v="O109094"/>
    <x v="752"/>
    <x v="5"/>
    <x v="4"/>
    <x v="3"/>
    <x v="3"/>
    <n v="4"/>
    <n v="-78529"/>
    <d v="2026-07-07T00:00:00"/>
    <n v="7"/>
    <n v="7"/>
    <n v="2026"/>
    <x v="10"/>
    <s v="Q3"/>
    <x v="3"/>
  </r>
  <r>
    <s v="O105452"/>
    <x v="799"/>
    <x v="9"/>
    <x v="0"/>
    <x v="3"/>
    <x v="2"/>
    <n v="7"/>
    <n v="-129125"/>
    <d v="2025-11-28T00:00:00"/>
    <n v="11"/>
    <n v="28"/>
    <n v="2025"/>
    <x v="0"/>
    <s v="Q4"/>
    <x v="3"/>
  </r>
  <r>
    <s v="O104642"/>
    <x v="731"/>
    <x v="1"/>
    <x v="7"/>
    <x v="2"/>
    <x v="2"/>
    <n v="5"/>
    <n v="-139113"/>
    <d v="2025-09-10T00:00:00"/>
    <n v="9"/>
    <n v="10"/>
    <n v="2025"/>
    <x v="1"/>
    <s v="Q3"/>
    <x v="2"/>
  </r>
  <r>
    <s v="O108321"/>
    <x v="473"/>
    <x v="3"/>
    <x v="0"/>
    <x v="2"/>
    <x v="2"/>
    <n v="2"/>
    <n v="-144531"/>
    <d v="2026-05-21T00:00:00"/>
    <n v="5"/>
    <n v="21"/>
    <n v="2026"/>
    <x v="3"/>
    <s v="Q2"/>
    <x v="2"/>
  </r>
  <r>
    <s v="O105917"/>
    <x v="2"/>
    <x v="6"/>
    <x v="3"/>
    <x v="1"/>
    <x v="3"/>
    <n v="2"/>
    <n v="-145762"/>
    <d v="2025-12-26T00:00:00"/>
    <n v="12"/>
    <n v="26"/>
    <n v="2025"/>
    <x v="7"/>
    <s v="Q4"/>
    <x v="1"/>
  </r>
  <r>
    <s v="O102652"/>
    <x v="503"/>
    <x v="1"/>
    <x v="7"/>
    <x v="1"/>
    <x v="3"/>
    <n v="3"/>
    <m/>
    <d v="2025-11-06T00:00:00"/>
    <n v="11"/>
    <n v="6"/>
    <n v="2025"/>
    <x v="0"/>
    <s v="Q4"/>
    <x v="1"/>
  </r>
  <r>
    <s v="O100072"/>
    <x v="374"/>
    <x v="6"/>
    <x v="0"/>
    <x v="0"/>
    <x v="2"/>
    <n v="9"/>
    <m/>
    <d v="2025-05-01T00:00:00"/>
    <n v="5"/>
    <n v="1"/>
    <n v="2025"/>
    <x v="3"/>
    <s v="Q2"/>
    <x v="0"/>
  </r>
  <r>
    <s v="O103629"/>
    <x v="128"/>
    <x v="4"/>
    <x v="4"/>
    <x v="0"/>
    <x v="1"/>
    <n v="2"/>
    <m/>
    <d v="2025-09-08T00:00:00"/>
    <n v="9"/>
    <n v="8"/>
    <n v="2025"/>
    <x v="1"/>
    <s v="Q3"/>
    <x v="0"/>
  </r>
  <r>
    <s v="O107971"/>
    <x v="574"/>
    <x v="2"/>
    <x v="3"/>
    <x v="4"/>
    <x v="3"/>
    <n v="9"/>
    <m/>
    <d v="2026-04-30T00:00:00"/>
    <n v="4"/>
    <n v="30"/>
    <n v="2026"/>
    <x v="11"/>
    <s v="Q2"/>
    <x v="4"/>
  </r>
  <r>
    <s v="O107863"/>
    <x v="3"/>
    <x v="0"/>
    <x v="0"/>
    <x v="0"/>
    <x v="3"/>
    <n v="4"/>
    <m/>
    <d v="2026-04-23T00:00:00"/>
    <n v="4"/>
    <n v="23"/>
    <n v="2026"/>
    <x v="11"/>
    <s v="Q2"/>
    <x v="0"/>
  </r>
  <r>
    <s v="O107321"/>
    <x v="142"/>
    <x v="10"/>
    <x v="7"/>
    <x v="0"/>
    <x v="1"/>
    <n v="8"/>
    <m/>
    <d v="2026-03-21T00:00:00"/>
    <n v="3"/>
    <n v="21"/>
    <n v="2026"/>
    <x v="5"/>
    <s v="Q1"/>
    <x v="0"/>
  </r>
  <r>
    <s v="O100286"/>
    <x v="246"/>
    <x v="1"/>
    <x v="0"/>
    <x v="0"/>
    <x v="0"/>
    <n v="2"/>
    <m/>
    <d v="2025-01-18T00:00:00"/>
    <n v="1"/>
    <n v="18"/>
    <n v="2025"/>
    <x v="6"/>
    <s v="Q1"/>
    <x v="0"/>
  </r>
  <r>
    <s v="O103403"/>
    <x v="456"/>
    <x v="1"/>
    <x v="3"/>
    <x v="3"/>
    <x v="2"/>
    <n v="10"/>
    <m/>
    <d v="2025-07-26T00:00:00"/>
    <n v="7"/>
    <n v="26"/>
    <n v="2025"/>
    <x v="10"/>
    <s v="Q3"/>
    <x v="3"/>
  </r>
  <r>
    <s v="O101267"/>
    <x v="577"/>
    <x v="4"/>
    <x v="7"/>
    <x v="2"/>
    <x v="0"/>
    <n v="5"/>
    <m/>
    <d v="2025-03-18T00:00:00"/>
    <n v="3"/>
    <n v="18"/>
    <n v="2025"/>
    <x v="5"/>
    <s v="Q1"/>
    <x v="2"/>
  </r>
  <r>
    <s v="O106892"/>
    <x v="670"/>
    <x v="10"/>
    <x v="5"/>
    <x v="1"/>
    <x v="0"/>
    <n v="4"/>
    <m/>
    <d v="2026-02-23T00:00:00"/>
    <n v="2"/>
    <n v="23"/>
    <n v="2026"/>
    <x v="4"/>
    <s v="Q1"/>
    <x v="1"/>
  </r>
  <r>
    <s v="O107060"/>
    <x v="37"/>
    <x v="2"/>
    <x v="3"/>
    <x v="1"/>
    <x v="1"/>
    <n v="1"/>
    <m/>
    <d v="2026-05-03T00:00:00"/>
    <n v="5"/>
    <n v="3"/>
    <n v="2026"/>
    <x v="3"/>
    <s v="Q2"/>
    <x v="1"/>
  </r>
  <r>
    <s v="O105738"/>
    <x v="13"/>
    <x v="5"/>
    <x v="7"/>
    <x v="4"/>
    <x v="1"/>
    <n v="4"/>
    <m/>
    <d v="2025-12-15T00:00:00"/>
    <n v="12"/>
    <n v="15"/>
    <n v="2025"/>
    <x v="7"/>
    <s v="Q4"/>
    <x v="4"/>
  </r>
  <r>
    <s v="O109218"/>
    <x v="166"/>
    <x v="9"/>
    <x v="3"/>
    <x v="3"/>
    <x v="2"/>
    <n v="4"/>
    <m/>
    <d v="2026-07-14T00:00:00"/>
    <n v="7"/>
    <n v="14"/>
    <n v="2026"/>
    <x v="10"/>
    <s v="Q3"/>
    <x v="3"/>
  </r>
  <r>
    <s v="O102203"/>
    <x v="329"/>
    <x v="3"/>
    <x v="6"/>
    <x v="2"/>
    <x v="0"/>
    <n v="8"/>
    <m/>
    <d v="2025-05-14T00:00:00"/>
    <n v="5"/>
    <n v="14"/>
    <n v="2025"/>
    <x v="3"/>
    <s v="Q2"/>
    <x v="2"/>
  </r>
  <r>
    <s v="O109630"/>
    <x v="768"/>
    <x v="4"/>
    <x v="7"/>
    <x v="2"/>
    <x v="1"/>
    <n v="10"/>
    <m/>
    <d v="2026-09-08T00:00:00"/>
    <n v="9"/>
    <n v="8"/>
    <n v="2026"/>
    <x v="1"/>
    <s v="Q3"/>
    <x v="2"/>
  </r>
  <r>
    <s v="O105641"/>
    <x v="653"/>
    <x v="10"/>
    <x v="2"/>
    <x v="2"/>
    <x v="0"/>
    <n v="7"/>
    <m/>
    <d v="2025-09-12T00:00:00"/>
    <n v="9"/>
    <n v="12"/>
    <n v="2025"/>
    <x v="1"/>
    <s v="Q3"/>
    <x v="2"/>
  </r>
  <r>
    <s v="O106397"/>
    <x v="549"/>
    <x v="9"/>
    <x v="6"/>
    <x v="2"/>
    <x v="0"/>
    <n v="1"/>
    <m/>
    <d v="2026-01-24T00:00:00"/>
    <n v="1"/>
    <n v="24"/>
    <n v="2026"/>
    <x v="6"/>
    <s v="Q1"/>
    <x v="2"/>
  </r>
  <r>
    <s v="O108219"/>
    <x v="83"/>
    <x v="1"/>
    <x v="7"/>
    <x v="1"/>
    <x v="0"/>
    <n v="1"/>
    <m/>
    <d v="2026-05-15T00:00:00"/>
    <n v="5"/>
    <n v="15"/>
    <n v="2026"/>
    <x v="3"/>
    <s v="Q2"/>
    <x v="1"/>
  </r>
  <r>
    <s v="O102165"/>
    <x v="568"/>
    <x v="10"/>
    <x v="6"/>
    <x v="2"/>
    <x v="2"/>
    <n v="6"/>
    <m/>
    <d v="2025-12-05T00:00:00"/>
    <n v="12"/>
    <n v="5"/>
    <n v="2025"/>
    <x v="7"/>
    <s v="Q4"/>
    <x v="2"/>
  </r>
  <r>
    <s v="O100261"/>
    <x v="324"/>
    <x v="2"/>
    <x v="2"/>
    <x v="1"/>
    <x v="1"/>
    <n v="4"/>
    <m/>
    <d v="2025-01-16T00:00:00"/>
    <n v="1"/>
    <n v="16"/>
    <n v="2025"/>
    <x v="6"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10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0"/>
        <item x="2"/>
        <item x="4"/>
        <item x="3"/>
        <item x="5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4"/>
  </rowFields>
  <rowItems count="7">
    <i>
      <x v="5"/>
    </i>
    <i>
      <x v="1"/>
    </i>
    <i>
      <x v="2"/>
    </i>
    <i>
      <x/>
    </i>
    <i>
      <x v="3"/>
    </i>
    <i>
      <x v="4"/>
    </i>
    <i t="grand">
      <x/>
    </i>
  </rowItems>
  <colItems count="1">
    <i/>
  </colItems>
  <dataFields count="1">
    <dataField name="Sum of  Sales " fld="7" baseField="1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9" firstHeaderRow="1" firstDataRow="1" firstDataCol="1"/>
  <pivotFields count="15">
    <pivotField showAll="0"/>
    <pivotField showAll="0"/>
    <pivotField showAll="0"/>
    <pivotField showAll="0"/>
    <pivotField showAll="0"/>
    <pivotField axis="axisRow" showAll="0" sortType="descending">
      <items count="6">
        <item x="2"/>
        <item x="3"/>
        <item x="1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6">
    <i>
      <x v="3"/>
    </i>
    <i>
      <x/>
    </i>
    <i>
      <x v="1"/>
    </i>
    <i>
      <x v="2"/>
    </i>
    <i>
      <x v="4"/>
    </i>
    <i t="grand">
      <x/>
    </i>
  </rowItems>
  <colItems count="1">
    <i/>
  </colItems>
  <dataFields count="1">
    <dataField name="Sum of  Sales " fld="7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A3:B17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4">
        <item x="6"/>
        <item x="4"/>
        <item x="5"/>
        <item x="11"/>
        <item x="3"/>
        <item x="2"/>
        <item x="10"/>
        <item x="8"/>
        <item x="1"/>
        <item x="9"/>
        <item x="0"/>
        <item x="7"/>
        <item x="12"/>
        <item t="default"/>
      </items>
    </pivotField>
    <pivotField showAll="0"/>
    <pivotField showAll="0"/>
  </pivotFields>
  <rowFields count="1">
    <field x="1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 Sales " fld="7" baseField="12" baseItem="6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12" firstHeaderRow="1" firstDataRow="1" firstDataCol="1"/>
  <pivotFields count="15">
    <pivotField showAll="0"/>
    <pivotField showAll="0"/>
    <pivotField showAll="0"/>
    <pivotField axis="axisRow" showAll="0" sortType="descending">
      <items count="9">
        <item x="2"/>
        <item x="6"/>
        <item x="0"/>
        <item x="4"/>
        <item x="7"/>
        <item x="5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9">
    <i>
      <x v="2"/>
    </i>
    <i>
      <x v="4"/>
    </i>
    <i>
      <x v="1"/>
    </i>
    <i>
      <x/>
    </i>
    <i>
      <x v="3"/>
    </i>
    <i>
      <x v="5"/>
    </i>
    <i>
      <x v="6"/>
    </i>
    <i>
      <x v="7"/>
    </i>
    <i t="grand">
      <x/>
    </i>
  </rowItems>
  <colItems count="1">
    <i/>
  </colItems>
  <dataFields count="1">
    <dataField name="Sum of Quantity" fld="6" baseField="0" baseItem="0"/>
  </dataFields>
  <formats count="4">
    <format dxfId="18">
      <pivotArea type="all" dataOnly="0" outline="0" fieldPosition="0"/>
    </format>
    <format dxfId="17">
      <pivotArea type="all" dataOnly="0" outline="0" fieldPosition="0"/>
    </format>
    <format dxfId="16">
      <pivotArea type="all" dataOnly="0" outline="0" fieldPosition="0"/>
    </format>
    <format dxfId="15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C10" firstHeaderRow="0" firstDataRow="1" firstDataCol="1"/>
  <pivotFields count="15">
    <pivotField showAll="0"/>
    <pivotField showAll="0"/>
    <pivotField showAll="0"/>
    <pivotField showAll="0"/>
    <pivotField showAll="0">
      <items count="12">
        <item x="9"/>
        <item x="8"/>
        <item x="6"/>
        <item x="7"/>
        <item x="10"/>
        <item x="0"/>
        <item x="2"/>
        <item x="4"/>
        <item x="3"/>
        <item x="5"/>
        <item x="1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0"/>
        <item x="2"/>
        <item x="4"/>
        <item x="3"/>
        <item x="5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</pivotFields>
  <rowFields count="1">
    <field x="14"/>
  </rowFields>
  <rowItems count="7">
    <i>
      <x v="3"/>
    </i>
    <i>
      <x v="5"/>
    </i>
    <i>
      <x v="2"/>
    </i>
    <i>
      <x v="1"/>
    </i>
    <i>
      <x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 Sales " fld="7" baseField="4" baseItem="0"/>
    <dataField name="Sum of Quantity" fld="6" baseField="4" baseItem="0"/>
  </dataFields>
  <formats count="3">
    <format dxfId="8">
      <pivotArea type="all" dataOnly="0" outline="0" fieldPosition="0"/>
    </format>
    <format dxfId="7">
      <pivotArea type="all" dataOnly="0" outline="0" fieldPosition="0"/>
    </format>
    <format dxfId="6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4" name="DataAudit" displayName="DataAudit" ref="A1:E9" totalsRowShown="0">
  <autoFilter ref="A1:E9"/>
  <tableColumns count="5">
    <tableColumn id="1" name="Column "/>
    <tableColumn id="2" name="Issue"/>
    <tableColumn id="3" name="Count"/>
    <tableColumn id="4" name="Action Taken"/>
    <tableColumn id="5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E8" totalsRowCount="1">
  <autoFilter ref="A1:E7"/>
  <sortState ref="A2:D7">
    <sortCondition descending="1" ref="B1:B7"/>
  </sortState>
  <tableColumns count="5">
    <tableColumn id="1" name="Region" totalsRowLabel="total"/>
    <tableColumn id="2" name="Total Sales" totalsRowFunction="custom" dataCellStyle="Currency">
      <totalsRowFormula>SUM(Table2[Total Sales])</totalsRowFormula>
    </tableColumn>
    <tableColumn id="3" name="Rank"/>
    <tableColumn id="4" name="Finding"/>
    <tableColumn id="5" name="Sales Contribution (%)" totalsRowFunction="custom" dataDxfId="19" dataCellStyle="Percent">
      <calculatedColumnFormula>B2/$B$8</calculatedColumnFormula>
      <totalsRowFormula>SUM(Table2[Sales Contribution (%)])</totalsRow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7" name="Table7" displayName="Table7" ref="F4:G9" totalsRowShown="0" headerRowDxfId="14" dataDxfId="13" tableBorderDxfId="12">
  <autoFilter ref="F4:G9"/>
  <tableColumns count="2">
    <tableColumn id="1" name="Metric" dataDxfId="11"/>
    <tableColumn id="2" name="Finding" dataDxfId="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6" name="Table6" displayName="Table6" ref="A1:D13" totalsRowShown="0">
  <autoFilter ref="A1:D13"/>
  <sortState ref="A2:D13">
    <sortCondition descending="1" ref="B1:B13"/>
  </sortState>
  <tableColumns count="4">
    <tableColumn id="1" name="Month"/>
    <tableColumn id="2" name="Total Sales" dataCellStyle="Currency"/>
    <tableColumn id="3" name="Sales Contribution (%)" dataDxfId="9"/>
    <tableColumn id="4" name="Findin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10" name="Table10" displayName="Table10" ref="G4:H9" totalsRowShown="0" headerRowDxfId="5" dataDxfId="4" tableBorderDxfId="3">
  <autoFilter ref="G4:H9"/>
  <tableColumns count="2">
    <tableColumn id="1" name="Metric" dataDxfId="2"/>
    <tableColumn id="2" name="Finding" dataDxfId="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5" name="Table5" displayName="Table5" ref="A1:D7" totalsRowShown="0">
  <autoFilter ref="A1:D7"/>
  <tableColumns count="4">
    <tableColumn id="1" name="Customer Segment"/>
    <tableColumn id="2" name="Total Sales"/>
    <tableColumn id="3" name="Rank"/>
    <tableColumn id="4" name="Sales Contribu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A7" sqref="A7"/>
    </sheetView>
  </sheetViews>
  <sheetFormatPr defaultRowHeight="14.5" x14ac:dyDescent="0.35"/>
  <cols>
    <col min="1" max="1" width="12.36328125" bestFit="1" customWidth="1"/>
    <col min="2" max="2" width="12.1796875" customWidth="1"/>
  </cols>
  <sheetData>
    <row r="3" spans="1:2" x14ac:dyDescent="0.35">
      <c r="A3" s="2" t="s">
        <v>46</v>
      </c>
      <c r="B3" t="s">
        <v>48</v>
      </c>
    </row>
    <row r="4" spans="1:2" x14ac:dyDescent="0.35">
      <c r="A4" s="3" t="s">
        <v>6</v>
      </c>
      <c r="B4" s="1">
        <v>2835421548</v>
      </c>
    </row>
    <row r="5" spans="1:2" x14ac:dyDescent="0.35">
      <c r="A5" s="3" t="s">
        <v>9</v>
      </c>
      <c r="B5" s="1">
        <v>2727754407</v>
      </c>
    </row>
    <row r="6" spans="1:2" x14ac:dyDescent="0.35">
      <c r="A6" s="3" t="s">
        <v>14</v>
      </c>
      <c r="B6" s="1">
        <v>2679262195</v>
      </c>
    </row>
    <row r="7" spans="1:2" x14ac:dyDescent="0.35">
      <c r="A7" s="3" t="s">
        <v>11</v>
      </c>
      <c r="B7" s="1">
        <v>2638860001</v>
      </c>
    </row>
    <row r="8" spans="1:2" x14ac:dyDescent="0.35">
      <c r="A8" s="3" t="s">
        <v>16</v>
      </c>
      <c r="B8" s="1">
        <v>2626931291</v>
      </c>
    </row>
    <row r="9" spans="1:2" x14ac:dyDescent="0.35">
      <c r="A9" s="3" t="s">
        <v>21</v>
      </c>
      <c r="B9" s="1">
        <v>52249328</v>
      </c>
    </row>
    <row r="10" spans="1:2" x14ac:dyDescent="0.35">
      <c r="A10" s="3" t="s">
        <v>47</v>
      </c>
      <c r="B10" s="1">
        <v>13560478770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A3" sqref="A3:B9"/>
    </sheetView>
  </sheetViews>
  <sheetFormatPr defaultRowHeight="14.5" x14ac:dyDescent="0.35"/>
  <cols>
    <col min="1" max="1" width="12.36328125" bestFit="1" customWidth="1"/>
    <col min="2" max="2" width="12.1796875" customWidth="1"/>
  </cols>
  <sheetData>
    <row r="3" spans="1:2" x14ac:dyDescent="0.35">
      <c r="A3" s="2" t="s">
        <v>46</v>
      </c>
      <c r="B3" t="s">
        <v>48</v>
      </c>
    </row>
    <row r="4" spans="1:2" x14ac:dyDescent="0.35">
      <c r="A4" s="3" t="s">
        <v>18</v>
      </c>
      <c r="B4" s="1">
        <v>3525913117</v>
      </c>
    </row>
    <row r="5" spans="1:2" x14ac:dyDescent="0.35">
      <c r="A5" s="3" t="s">
        <v>12</v>
      </c>
      <c r="B5" s="1">
        <v>3398065113</v>
      </c>
    </row>
    <row r="6" spans="1:2" x14ac:dyDescent="0.35">
      <c r="A6" s="3" t="s">
        <v>17</v>
      </c>
      <c r="B6" s="1">
        <v>3301389207</v>
      </c>
    </row>
    <row r="7" spans="1:2" x14ac:dyDescent="0.35">
      <c r="A7" s="3" t="s">
        <v>7</v>
      </c>
      <c r="B7" s="1">
        <v>3264495095</v>
      </c>
    </row>
    <row r="8" spans="1:2" x14ac:dyDescent="0.35">
      <c r="A8" s="3" t="s">
        <v>21</v>
      </c>
      <c r="B8" s="1">
        <v>70616238</v>
      </c>
    </row>
    <row r="9" spans="1:2" x14ac:dyDescent="0.35">
      <c r="A9" s="3" t="s">
        <v>47</v>
      </c>
      <c r="B9" s="1">
        <v>13560478770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7"/>
  <sheetViews>
    <sheetView workbookViewId="0">
      <selection activeCell="A4" sqref="A4:B15"/>
    </sheetView>
  </sheetViews>
  <sheetFormatPr defaultRowHeight="14.5" x14ac:dyDescent="0.35"/>
  <cols>
    <col min="1" max="1" width="12.36328125" bestFit="1" customWidth="1"/>
    <col min="2" max="2" width="12.1796875" customWidth="1"/>
    <col min="3" max="3" width="20.453125" customWidth="1"/>
  </cols>
  <sheetData>
    <row r="3" spans="1:3" x14ac:dyDescent="0.35">
      <c r="A3" s="2" t="s">
        <v>46</v>
      </c>
      <c r="B3" t="s">
        <v>48</v>
      </c>
      <c r="C3" s="6" t="s">
        <v>58</v>
      </c>
    </row>
    <row r="4" spans="1:3" x14ac:dyDescent="0.35">
      <c r="A4" s="3" t="s">
        <v>61</v>
      </c>
      <c r="B4" s="1">
        <v>1160189377</v>
      </c>
      <c r="C4" s="4">
        <f>B4/B17</f>
        <v>8.5556667775381207E-2</v>
      </c>
    </row>
    <row r="5" spans="1:3" x14ac:dyDescent="0.35">
      <c r="A5" s="3" t="s">
        <v>62</v>
      </c>
      <c r="B5" s="1">
        <v>1031493222</v>
      </c>
      <c r="C5" s="4">
        <f>B5/B17</f>
        <v>7.6066135974637128E-2</v>
      </c>
    </row>
    <row r="6" spans="1:3" x14ac:dyDescent="0.35">
      <c r="A6" s="3" t="s">
        <v>63</v>
      </c>
      <c r="B6" s="1">
        <v>1175224763</v>
      </c>
      <c r="C6" s="4">
        <f>B6/B17</f>
        <v>8.6665432904918002E-2</v>
      </c>
    </row>
    <row r="7" spans="1:3" x14ac:dyDescent="0.35">
      <c r="A7" s="3" t="s">
        <v>64</v>
      </c>
      <c r="B7" s="1">
        <v>1140190294</v>
      </c>
      <c r="C7" s="4">
        <f>B7/B17</f>
        <v>8.4081861218827741E-2</v>
      </c>
    </row>
    <row r="8" spans="1:3" x14ac:dyDescent="0.35">
      <c r="A8" s="3" t="s">
        <v>65</v>
      </c>
      <c r="B8" s="1">
        <v>1162690993</v>
      </c>
      <c r="C8" s="4">
        <f>B8/B17</f>
        <v>8.5741146217656744E-2</v>
      </c>
    </row>
    <row r="9" spans="1:3" x14ac:dyDescent="0.35">
      <c r="A9" s="3" t="s">
        <v>66</v>
      </c>
      <c r="B9" s="1">
        <v>1119679401</v>
      </c>
      <c r="C9" s="4">
        <f>B9/B17</f>
        <v>8.2569311894582914E-2</v>
      </c>
    </row>
    <row r="10" spans="1:3" x14ac:dyDescent="0.35">
      <c r="A10" s="3" t="s">
        <v>67</v>
      </c>
      <c r="B10" s="1">
        <v>1132941239</v>
      </c>
      <c r="C10" s="4">
        <f>B10/B17</f>
        <v>8.3547289016551438E-2</v>
      </c>
    </row>
    <row r="11" spans="1:3" x14ac:dyDescent="0.35">
      <c r="A11" s="3" t="s">
        <v>68</v>
      </c>
      <c r="B11" s="1">
        <v>1118802389</v>
      </c>
      <c r="C11" s="4">
        <f>B11/B17</f>
        <v>8.2504637776885811E-2</v>
      </c>
    </row>
    <row r="12" spans="1:3" x14ac:dyDescent="0.35">
      <c r="A12" s="3" t="s">
        <v>69</v>
      </c>
      <c r="B12" s="1">
        <v>1129756638</v>
      </c>
      <c r="C12" s="4">
        <f>B12/B17</f>
        <v>8.3312444727200438E-2</v>
      </c>
    </row>
    <row r="13" spans="1:3" x14ac:dyDescent="0.35">
      <c r="A13" s="3" t="s">
        <v>70</v>
      </c>
      <c r="B13" s="1">
        <v>1144640708</v>
      </c>
      <c r="C13" s="4">
        <f>B13/B17</f>
        <v>8.441005125366971E-2</v>
      </c>
    </row>
    <row r="14" spans="1:3" x14ac:dyDescent="0.35">
      <c r="A14" s="3" t="s">
        <v>71</v>
      </c>
      <c r="B14" s="1">
        <v>1043221237</v>
      </c>
      <c r="C14" s="4">
        <f>B14/B17</f>
        <v>7.6931003299671841E-2</v>
      </c>
    </row>
    <row r="15" spans="1:3" x14ac:dyDescent="0.35">
      <c r="A15" s="3" t="s">
        <v>72</v>
      </c>
      <c r="B15" s="1">
        <v>1192091091</v>
      </c>
      <c r="C15" s="4">
        <f>B15/B17</f>
        <v>8.7909218488456065E-2</v>
      </c>
    </row>
    <row r="16" spans="1:3" x14ac:dyDescent="0.35">
      <c r="A16" s="3"/>
      <c r="B16" s="1">
        <v>9557418</v>
      </c>
      <c r="C16" s="4">
        <f>B16/B17</f>
        <v>7.0479945156095691E-4</v>
      </c>
    </row>
    <row r="17" spans="1:3" x14ac:dyDescent="0.35">
      <c r="A17" s="3" t="s">
        <v>47</v>
      </c>
      <c r="B17" s="1">
        <v>13560478770</v>
      </c>
      <c r="C17" s="7">
        <f>SUM(C4:C16)</f>
        <v>1</v>
      </c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B16" sqref="B16"/>
    </sheetView>
  </sheetViews>
  <sheetFormatPr defaultRowHeight="14.5" x14ac:dyDescent="0.35"/>
  <cols>
    <col min="1" max="1" width="35.81640625" customWidth="1"/>
    <col min="2" max="2" width="34" customWidth="1"/>
    <col min="4" max="4" width="98.08984375" customWidth="1"/>
  </cols>
  <sheetData>
    <row r="1" spans="1:5" x14ac:dyDescent="0.35">
      <c r="A1" t="s">
        <v>25</v>
      </c>
      <c r="B1" t="s">
        <v>22</v>
      </c>
      <c r="C1" t="s">
        <v>23</v>
      </c>
      <c r="D1" t="s">
        <v>28</v>
      </c>
      <c r="E1" t="s">
        <v>24</v>
      </c>
    </row>
    <row r="2" spans="1:5" x14ac:dyDescent="0.35">
      <c r="A2" t="s">
        <v>0</v>
      </c>
      <c r="B2" t="s">
        <v>26</v>
      </c>
      <c r="D2" t="s">
        <v>27</v>
      </c>
      <c r="E2" t="s">
        <v>29</v>
      </c>
    </row>
    <row r="3" spans="1:5" x14ac:dyDescent="0.35">
      <c r="A3" t="s">
        <v>30</v>
      </c>
      <c r="B3" t="s">
        <v>31</v>
      </c>
      <c r="C3">
        <v>45</v>
      </c>
      <c r="D3" t="s">
        <v>32</v>
      </c>
      <c r="E3" t="s">
        <v>29</v>
      </c>
    </row>
    <row r="4" spans="1:5" x14ac:dyDescent="0.35">
      <c r="A4" t="s">
        <v>1</v>
      </c>
      <c r="B4" t="s">
        <v>31</v>
      </c>
      <c r="C4">
        <v>18</v>
      </c>
      <c r="D4" t="s">
        <v>33</v>
      </c>
      <c r="E4" t="s">
        <v>29</v>
      </c>
    </row>
    <row r="5" spans="1:5" x14ac:dyDescent="0.35">
      <c r="A5" t="s">
        <v>3</v>
      </c>
      <c r="B5" t="s">
        <v>34</v>
      </c>
      <c r="C5">
        <v>15</v>
      </c>
      <c r="D5" t="s">
        <v>35</v>
      </c>
      <c r="E5" t="s">
        <v>29</v>
      </c>
    </row>
    <row r="6" spans="1:5" x14ac:dyDescent="0.35">
      <c r="A6" t="s">
        <v>36</v>
      </c>
      <c r="B6" t="s">
        <v>31</v>
      </c>
      <c r="C6">
        <v>20</v>
      </c>
      <c r="D6" t="s">
        <v>37</v>
      </c>
      <c r="E6" t="s">
        <v>29</v>
      </c>
    </row>
    <row r="7" spans="1:5" x14ac:dyDescent="0.35">
      <c r="A7" t="s">
        <v>36</v>
      </c>
      <c r="B7" t="s">
        <v>34</v>
      </c>
      <c r="C7">
        <v>12</v>
      </c>
      <c r="D7" t="s">
        <v>38</v>
      </c>
      <c r="E7" t="s">
        <v>29</v>
      </c>
    </row>
    <row r="8" spans="1:5" x14ac:dyDescent="0.35">
      <c r="A8" t="s">
        <v>4</v>
      </c>
      <c r="B8" t="s">
        <v>39</v>
      </c>
      <c r="C8">
        <v>5</v>
      </c>
      <c r="D8" t="s">
        <v>40</v>
      </c>
      <c r="E8" t="s">
        <v>29</v>
      </c>
    </row>
    <row r="9" spans="1:5" x14ac:dyDescent="0.35">
      <c r="A9" t="s">
        <v>42</v>
      </c>
      <c r="B9" t="s">
        <v>43</v>
      </c>
      <c r="C9">
        <v>5</v>
      </c>
      <c r="D9" t="s">
        <v>44</v>
      </c>
      <c r="E9" t="s">
        <v>45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C2" sqref="C2"/>
    </sheetView>
  </sheetViews>
  <sheetFormatPr defaultRowHeight="14.5" x14ac:dyDescent="0.35"/>
  <cols>
    <col min="2" max="2" width="19.90625" customWidth="1"/>
    <col min="3" max="3" width="28" customWidth="1"/>
    <col min="4" max="4" width="33.7265625" customWidth="1"/>
    <col min="5" max="5" width="35.08984375" customWidth="1"/>
  </cols>
  <sheetData>
    <row r="1" spans="1:5" x14ac:dyDescent="0.35">
      <c r="A1" t="s">
        <v>2</v>
      </c>
      <c r="B1" t="s">
        <v>50</v>
      </c>
      <c r="C1" t="s">
        <v>49</v>
      </c>
      <c r="D1" t="s">
        <v>51</v>
      </c>
      <c r="E1" t="s">
        <v>58</v>
      </c>
    </row>
    <row r="2" spans="1:5" x14ac:dyDescent="0.35">
      <c r="A2" t="s">
        <v>6</v>
      </c>
      <c r="B2" s="8">
        <v>2835421548</v>
      </c>
      <c r="C2">
        <f>RANK(B2,$B$2:$B$6,0)</f>
        <v>1</v>
      </c>
      <c r="D2" t="s">
        <v>52</v>
      </c>
      <c r="E2" s="4">
        <f t="shared" ref="E2:E7" si="0">B2/$B$8</f>
        <v>0.2090945014620601</v>
      </c>
    </row>
    <row r="3" spans="1:5" x14ac:dyDescent="0.35">
      <c r="A3" t="s">
        <v>9</v>
      </c>
      <c r="B3" s="8">
        <v>2727754407</v>
      </c>
      <c r="C3">
        <f t="shared" ref="C3:C6" si="1">RANK(B3,$B$2:$B$6,0)</f>
        <v>2</v>
      </c>
      <c r="D3" t="s">
        <v>53</v>
      </c>
      <c r="E3" s="4">
        <f t="shared" si="0"/>
        <v>0.20115472714979959</v>
      </c>
    </row>
    <row r="4" spans="1:5" x14ac:dyDescent="0.35">
      <c r="A4" t="s">
        <v>14</v>
      </c>
      <c r="B4" s="8">
        <v>2679262195</v>
      </c>
      <c r="C4">
        <f t="shared" si="1"/>
        <v>3</v>
      </c>
      <c r="D4" t="s">
        <v>54</v>
      </c>
      <c r="E4" s="4">
        <f t="shared" si="0"/>
        <v>0.19757873158043371</v>
      </c>
    </row>
    <row r="5" spans="1:5" x14ac:dyDescent="0.35">
      <c r="A5" t="s">
        <v>11</v>
      </c>
      <c r="B5" s="8">
        <v>2638860001</v>
      </c>
      <c r="C5">
        <f t="shared" si="1"/>
        <v>4</v>
      </c>
      <c r="D5" t="s">
        <v>55</v>
      </c>
      <c r="E5" s="4">
        <f t="shared" si="0"/>
        <v>0.19459932394407634</v>
      </c>
    </row>
    <row r="6" spans="1:5" x14ac:dyDescent="0.35">
      <c r="A6" t="s">
        <v>16</v>
      </c>
      <c r="B6" s="8">
        <v>2626931291</v>
      </c>
      <c r="C6">
        <f t="shared" si="1"/>
        <v>5</v>
      </c>
      <c r="D6" t="s">
        <v>56</v>
      </c>
      <c r="E6" s="4">
        <f t="shared" si="0"/>
        <v>0.19371965662536855</v>
      </c>
    </row>
    <row r="7" spans="1:5" x14ac:dyDescent="0.35">
      <c r="A7" t="s">
        <v>21</v>
      </c>
      <c r="B7" s="8">
        <v>52249328</v>
      </c>
      <c r="D7" t="s">
        <v>57</v>
      </c>
      <c r="E7" s="4">
        <f t="shared" si="0"/>
        <v>3.8530592382616884E-3</v>
      </c>
    </row>
    <row r="8" spans="1:5" x14ac:dyDescent="0.35">
      <c r="A8" t="s">
        <v>75</v>
      </c>
      <c r="B8" s="8">
        <f>SUM(Table2[Total Sales])</f>
        <v>13560478770</v>
      </c>
      <c r="E8" s="9">
        <f>SUM(Table2[Sales Contribution (%)])</f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2"/>
  <sheetViews>
    <sheetView topLeftCell="A3" workbookViewId="0">
      <selection activeCell="I9" sqref="I9"/>
    </sheetView>
  </sheetViews>
  <sheetFormatPr defaultRowHeight="14.5" x14ac:dyDescent="0.35"/>
  <cols>
    <col min="1" max="1" width="12.36328125" bestFit="1" customWidth="1"/>
    <col min="2" max="2" width="14.54296875" bestFit="1" customWidth="1"/>
    <col min="6" max="6" width="28.453125" customWidth="1"/>
    <col min="7" max="7" width="18.26953125" customWidth="1"/>
  </cols>
  <sheetData>
    <row r="3" spans="1:7" x14ac:dyDescent="0.35">
      <c r="A3" s="13" t="s">
        <v>46</v>
      </c>
      <c r="B3" s="14" t="s">
        <v>79</v>
      </c>
    </row>
    <row r="4" spans="1:7" x14ac:dyDescent="0.35">
      <c r="A4" s="15" t="s">
        <v>15</v>
      </c>
      <c r="B4" s="16">
        <v>15886</v>
      </c>
      <c r="F4" s="11" t="s">
        <v>76</v>
      </c>
      <c r="G4" s="11" t="s">
        <v>51</v>
      </c>
    </row>
    <row r="5" spans="1:7" x14ac:dyDescent="0.35">
      <c r="A5" s="15" t="s">
        <v>5</v>
      </c>
      <c r="B5" s="16">
        <v>12022</v>
      </c>
      <c r="F5" s="11" t="s">
        <v>80</v>
      </c>
      <c r="G5" s="11" t="s">
        <v>81</v>
      </c>
    </row>
    <row r="6" spans="1:7" x14ac:dyDescent="0.35">
      <c r="A6" s="15" t="s">
        <v>20</v>
      </c>
      <c r="B6" s="16">
        <v>9263</v>
      </c>
      <c r="F6" s="11" t="s">
        <v>82</v>
      </c>
      <c r="G6" s="11" t="s">
        <v>83</v>
      </c>
    </row>
    <row r="7" spans="1:7" x14ac:dyDescent="0.35">
      <c r="A7" s="15" t="s">
        <v>13</v>
      </c>
      <c r="B7" s="16">
        <v>8423</v>
      </c>
      <c r="F7" s="11" t="s">
        <v>84</v>
      </c>
      <c r="G7" s="12">
        <v>0.24260000000000001</v>
      </c>
    </row>
    <row r="8" spans="1:7" ht="29" x14ac:dyDescent="0.35">
      <c r="A8" s="15" t="s">
        <v>10</v>
      </c>
      <c r="B8" s="16">
        <v>7560</v>
      </c>
      <c r="F8" s="11" t="s">
        <v>85</v>
      </c>
      <c r="G8" s="12">
        <v>0.42620000000000002</v>
      </c>
    </row>
    <row r="9" spans="1:7" x14ac:dyDescent="0.35">
      <c r="A9" s="15" t="s">
        <v>19</v>
      </c>
      <c r="B9" s="16">
        <v>6516</v>
      </c>
      <c r="F9" s="11" t="s">
        <v>86</v>
      </c>
      <c r="G9" s="11">
        <v>112</v>
      </c>
    </row>
    <row r="10" spans="1:7" x14ac:dyDescent="0.35">
      <c r="A10" s="15" t="s">
        <v>8</v>
      </c>
      <c r="B10" s="16">
        <v>5713</v>
      </c>
      <c r="D10" s="10"/>
    </row>
    <row r="11" spans="1:7" x14ac:dyDescent="0.35">
      <c r="A11" s="15" t="s">
        <v>78</v>
      </c>
      <c r="B11" s="16">
        <v>112</v>
      </c>
    </row>
    <row r="12" spans="1:7" x14ac:dyDescent="0.35">
      <c r="A12" s="17" t="s">
        <v>47</v>
      </c>
      <c r="B12" s="18">
        <v>65495</v>
      </c>
    </row>
  </sheetData>
  <pageMargins left="0.7" right="0.7" top="0.75" bottom="0.75" header="0.3" footer="0.3"/>
  <pageSetup orientation="portrait"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H12" sqref="H12"/>
    </sheetView>
  </sheetViews>
  <sheetFormatPr defaultRowHeight="14.5" x14ac:dyDescent="0.35"/>
  <cols>
    <col min="2" max="2" width="18.36328125" customWidth="1"/>
    <col min="3" max="3" width="31.08984375" customWidth="1"/>
    <col min="4" max="4" width="44.36328125" customWidth="1"/>
  </cols>
  <sheetData>
    <row r="1" spans="1:4" x14ac:dyDescent="0.35">
      <c r="A1" t="s">
        <v>41</v>
      </c>
      <c r="B1" t="s">
        <v>50</v>
      </c>
      <c r="C1" t="s">
        <v>58</v>
      </c>
      <c r="D1" t="s">
        <v>51</v>
      </c>
    </row>
    <row r="2" spans="1:4" x14ac:dyDescent="0.35">
      <c r="A2" t="s">
        <v>72</v>
      </c>
      <c r="B2" s="8">
        <v>1192091091</v>
      </c>
      <c r="C2" s="5">
        <v>8.7900000000000006E-2</v>
      </c>
      <c r="D2" t="s">
        <v>74</v>
      </c>
    </row>
    <row r="3" spans="1:4" x14ac:dyDescent="0.35">
      <c r="A3" t="s">
        <v>63</v>
      </c>
      <c r="B3" s="8">
        <v>1175224763</v>
      </c>
      <c r="C3" s="5">
        <v>8.6699999999999999E-2</v>
      </c>
    </row>
    <row r="4" spans="1:4" x14ac:dyDescent="0.35">
      <c r="A4" t="s">
        <v>65</v>
      </c>
      <c r="B4" s="8">
        <v>1162690993</v>
      </c>
      <c r="C4" s="5">
        <v>8.5699999999999998E-2</v>
      </c>
    </row>
    <row r="5" spans="1:4" x14ac:dyDescent="0.35">
      <c r="A5" t="s">
        <v>61</v>
      </c>
      <c r="B5" s="8">
        <v>1160189377</v>
      </c>
      <c r="C5" s="5">
        <v>8.5599999999999996E-2</v>
      </c>
    </row>
    <row r="6" spans="1:4" x14ac:dyDescent="0.35">
      <c r="A6" t="s">
        <v>70</v>
      </c>
      <c r="B6" s="8">
        <v>1144640708</v>
      </c>
      <c r="C6" s="5">
        <v>8.4400000000000003E-2</v>
      </c>
    </row>
    <row r="7" spans="1:4" x14ac:dyDescent="0.35">
      <c r="A7" t="s">
        <v>64</v>
      </c>
      <c r="B7" s="8">
        <v>1140190294</v>
      </c>
      <c r="C7" s="5">
        <v>8.4099999999999994E-2</v>
      </c>
    </row>
    <row r="8" spans="1:4" x14ac:dyDescent="0.35">
      <c r="A8" t="s">
        <v>67</v>
      </c>
      <c r="B8" s="8">
        <v>1132941239</v>
      </c>
      <c r="C8" s="5">
        <v>8.3500000000000005E-2</v>
      </c>
    </row>
    <row r="9" spans="1:4" x14ac:dyDescent="0.35">
      <c r="A9" t="s">
        <v>69</v>
      </c>
      <c r="B9" s="8">
        <v>1129756638</v>
      </c>
      <c r="C9" s="5">
        <v>8.3299999999999999E-2</v>
      </c>
    </row>
    <row r="10" spans="1:4" x14ac:dyDescent="0.35">
      <c r="A10" t="s">
        <v>66</v>
      </c>
      <c r="B10" s="8">
        <v>1119679401</v>
      </c>
      <c r="C10" s="5">
        <v>8.2600000000000007E-2</v>
      </c>
    </row>
    <row r="11" spans="1:4" x14ac:dyDescent="0.35">
      <c r="A11" t="s">
        <v>68</v>
      </c>
      <c r="B11" s="8">
        <v>1118802389</v>
      </c>
      <c r="C11" s="5">
        <v>8.2500000000000004E-2</v>
      </c>
    </row>
    <row r="12" spans="1:4" x14ac:dyDescent="0.35">
      <c r="A12" t="s">
        <v>71</v>
      </c>
      <c r="B12" s="8">
        <v>1043221237</v>
      </c>
      <c r="C12" s="5">
        <v>7.6899999999999996E-2</v>
      </c>
    </row>
    <row r="13" spans="1:4" x14ac:dyDescent="0.35">
      <c r="A13" t="s">
        <v>62</v>
      </c>
      <c r="B13" s="8">
        <v>1031493222</v>
      </c>
      <c r="C13" s="5">
        <v>7.6100000000000001E-2</v>
      </c>
      <c r="D13" t="s">
        <v>73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1"/>
  <sheetViews>
    <sheetView tabSelected="1" topLeftCell="G3" workbookViewId="0">
      <selection activeCell="I15" sqref="I15"/>
    </sheetView>
  </sheetViews>
  <sheetFormatPr defaultRowHeight="14.5" x14ac:dyDescent="0.35"/>
  <cols>
    <col min="1" max="1" width="12.36328125" customWidth="1"/>
    <col min="2" max="2" width="12.1796875" customWidth="1"/>
    <col min="3" max="3" width="14.54296875" bestFit="1" customWidth="1"/>
    <col min="7" max="7" width="19.7265625" customWidth="1"/>
    <col min="8" max="8" width="30.26953125" customWidth="1"/>
  </cols>
  <sheetData>
    <row r="3" spans="1:8" x14ac:dyDescent="0.35">
      <c r="A3" s="13" t="s">
        <v>46</v>
      </c>
      <c r="B3" s="19" t="s">
        <v>48</v>
      </c>
      <c r="C3" s="14" t="s">
        <v>79</v>
      </c>
    </row>
    <row r="4" spans="1:8" x14ac:dyDescent="0.35">
      <c r="A4" s="15" t="s">
        <v>16</v>
      </c>
      <c r="B4" s="20">
        <v>2626931291</v>
      </c>
      <c r="C4" s="16">
        <v>13380</v>
      </c>
      <c r="G4" s="24" t="s">
        <v>76</v>
      </c>
      <c r="H4" s="24" t="s">
        <v>51</v>
      </c>
    </row>
    <row r="5" spans="1:8" x14ac:dyDescent="0.35">
      <c r="A5" s="15" t="s">
        <v>6</v>
      </c>
      <c r="B5" s="20">
        <v>2835421548</v>
      </c>
      <c r="C5" s="16">
        <v>13093</v>
      </c>
      <c r="G5" s="24" t="s">
        <v>87</v>
      </c>
      <c r="H5" s="24" t="s">
        <v>88</v>
      </c>
    </row>
    <row r="6" spans="1:8" x14ac:dyDescent="0.35">
      <c r="A6" s="15" t="s">
        <v>14</v>
      </c>
      <c r="B6" s="20">
        <v>2679262195</v>
      </c>
      <c r="C6" s="16">
        <v>13078</v>
      </c>
      <c r="G6" s="24" t="s">
        <v>89</v>
      </c>
      <c r="H6" s="24" t="s">
        <v>90</v>
      </c>
    </row>
    <row r="7" spans="1:8" ht="43.5" x14ac:dyDescent="0.35">
      <c r="A7" s="15" t="s">
        <v>9</v>
      </c>
      <c r="B7" s="20">
        <v>2727754407</v>
      </c>
      <c r="C7" s="16">
        <v>12924</v>
      </c>
      <c r="G7" s="24" t="s">
        <v>91</v>
      </c>
      <c r="H7" s="24" t="s">
        <v>92</v>
      </c>
    </row>
    <row r="8" spans="1:8" ht="29" x14ac:dyDescent="0.35">
      <c r="A8" s="15" t="s">
        <v>11</v>
      </c>
      <c r="B8" s="20">
        <v>2638860001</v>
      </c>
      <c r="C8" s="16">
        <v>12819</v>
      </c>
      <c r="G8" s="24" t="s">
        <v>93</v>
      </c>
      <c r="H8" s="25">
        <v>208490257</v>
      </c>
    </row>
    <row r="9" spans="1:8" ht="43.5" x14ac:dyDescent="0.35">
      <c r="A9" s="15" t="s">
        <v>21</v>
      </c>
      <c r="B9" s="20">
        <v>52249328</v>
      </c>
      <c r="C9" s="16">
        <v>201</v>
      </c>
      <c r="G9" s="24" t="s">
        <v>77</v>
      </c>
      <c r="H9" s="24" t="s">
        <v>94</v>
      </c>
    </row>
    <row r="10" spans="1:8" x14ac:dyDescent="0.35">
      <c r="A10" s="15" t="s">
        <v>47</v>
      </c>
      <c r="B10" s="20">
        <v>13560478770</v>
      </c>
      <c r="C10" s="16">
        <v>65495</v>
      </c>
    </row>
    <row r="11" spans="1:8" x14ac:dyDescent="0.35">
      <c r="A11" s="21"/>
      <c r="B11" s="22"/>
      <c r="C11" s="23"/>
    </row>
  </sheetData>
  <pageMargins left="0.7" right="0.7" top="0.75" bottom="0.75" header="0.3" footer="0.3"/>
  <pageSetup orientation="portrait"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F8" sqref="F8"/>
    </sheetView>
  </sheetViews>
  <sheetFormatPr defaultRowHeight="14.5" x14ac:dyDescent="0.35"/>
  <cols>
    <col min="1" max="1" width="18.7265625" customWidth="1"/>
    <col min="2" max="2" width="11.7265625" customWidth="1"/>
    <col min="4" max="4" width="18.1796875" customWidth="1"/>
  </cols>
  <sheetData>
    <row r="1" spans="1:4" x14ac:dyDescent="0.35">
      <c r="A1" t="s">
        <v>59</v>
      </c>
      <c r="B1" t="s">
        <v>50</v>
      </c>
      <c r="C1" t="s">
        <v>49</v>
      </c>
      <c r="D1" t="s">
        <v>60</v>
      </c>
    </row>
    <row r="2" spans="1:4" x14ac:dyDescent="0.35">
      <c r="A2" t="s">
        <v>18</v>
      </c>
      <c r="B2">
        <v>3525913117</v>
      </c>
      <c r="C2">
        <v>1</v>
      </c>
      <c r="D2" s="5">
        <v>0.26</v>
      </c>
    </row>
    <row r="3" spans="1:4" x14ac:dyDescent="0.35">
      <c r="A3" t="s">
        <v>12</v>
      </c>
      <c r="B3">
        <v>3398065113</v>
      </c>
      <c r="C3">
        <v>2</v>
      </c>
      <c r="D3" s="5">
        <v>0.25059999999999999</v>
      </c>
    </row>
    <row r="4" spans="1:4" x14ac:dyDescent="0.35">
      <c r="A4" t="s">
        <v>17</v>
      </c>
      <c r="B4">
        <v>3301389207</v>
      </c>
      <c r="C4">
        <v>3</v>
      </c>
      <c r="D4" s="5">
        <v>0.24340000000000001</v>
      </c>
    </row>
    <row r="5" spans="1:4" x14ac:dyDescent="0.35">
      <c r="A5" t="s">
        <v>7</v>
      </c>
      <c r="B5">
        <v>3264495095</v>
      </c>
      <c r="C5">
        <v>4</v>
      </c>
      <c r="D5" s="5">
        <v>0.2407</v>
      </c>
    </row>
    <row r="6" spans="1:4" x14ac:dyDescent="0.35">
      <c r="A6" t="s">
        <v>21</v>
      </c>
      <c r="B6">
        <v>70616238</v>
      </c>
      <c r="D6" s="5">
        <v>5.1999999999999998E-3</v>
      </c>
    </row>
    <row r="7" spans="1:4" x14ac:dyDescent="0.35">
      <c r="A7" t="s">
        <v>47</v>
      </c>
      <c r="B7">
        <v>13560478770</v>
      </c>
      <c r="D7" s="5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Sheet2</vt:lpstr>
      <vt:lpstr>Sheet3</vt:lpstr>
      <vt:lpstr>Sheet5</vt:lpstr>
      <vt:lpstr>Data_Audit</vt:lpstr>
      <vt:lpstr>Regional_Analysis</vt:lpstr>
      <vt:lpstr>Product Analysis.</vt:lpstr>
      <vt:lpstr>Monthly_Analysis</vt:lpstr>
      <vt:lpstr>Quantity Analysis</vt:lpstr>
      <vt:lpstr>Segment_Analysis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HP-PC</dc:creator>
  <cp:lastModifiedBy>HP-PC</cp:lastModifiedBy>
  <dcterms:created xsi:type="dcterms:W3CDTF">2026-10-17T00:44:59Z</dcterms:created>
  <dcterms:modified xsi:type="dcterms:W3CDTF">2026-10-25T01:39:36Z</dcterms:modified>
</cp:coreProperties>
</file>